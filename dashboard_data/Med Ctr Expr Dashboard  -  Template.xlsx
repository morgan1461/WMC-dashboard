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K:\AP\TTM\Data\WMC_Dashboard\dashboard_data\"/>
    </mc:Choice>
  </mc:AlternateContent>
  <xr:revisionPtr revIDLastSave="0" documentId="13_ncr:1_{25D07D66-D419-442C-85A7-592EF571D7B5}" xr6:coauthVersionLast="47" xr6:coauthVersionMax="47" xr10:uidLastSave="{00000000-0000-0000-0000-000000000000}"/>
  <bookViews>
    <workbookView xWindow="-120" yWindow="-120" windowWidth="29040" windowHeight="15720" activeTab="2" xr2:uid="{00000000-000D-0000-FFFF-FFFF00000000}"/>
  </bookViews>
  <sheets>
    <sheet name="Dashboard" sheetId="1" r:id="rId1"/>
    <sheet name="Definitions" sheetId="4" r:id="rId2"/>
    <sheet name="Start Here" sheetId="7" r:id="rId3"/>
    <sheet name="Data Landing Pad" sheetId="8" r:id="rId4"/>
    <sheet name="Calculations" sheetId="9" r:id="rId5"/>
  </sheets>
  <externalReferences>
    <externalReference r:id="rId6"/>
    <externalReference r:id="rId7"/>
    <externalReference r:id="rId8"/>
    <externalReference r:id="rId9"/>
    <externalReference r:id="rId10"/>
    <externalReference r:id="rId11"/>
    <externalReference r:id="rId12"/>
  </externalReferences>
  <definedNames>
    <definedName name="_xlnm._FilterDatabase" localSheetId="1" hidden="1">Definitions!$B$3:$D$8</definedName>
    <definedName name="ASD">'[1]Paste Consol Stats Values'!$Z$3</definedName>
    <definedName name="Asof_os">[1]BALNCMB!$V$7</definedName>
    <definedName name="ConsolGenFunds" localSheetId="1">[1]BALNCMB!#REF!</definedName>
    <definedName name="ConsolGenFunds">[1]BALNCMB!#REF!</definedName>
    <definedName name="DATA">#REF!</definedName>
    <definedName name="FinanceDR" localSheetId="1">[2]FinancialData!$G:$BF</definedName>
    <definedName name="FinanceDR">[3]FinancialData!$G:$AW</definedName>
    <definedName name="FinFYDataRange" localSheetId="1">[4]FinancialData!$H:$CC</definedName>
    <definedName name="FinFYDataRange">[5]FinancialData!$H:$CC</definedName>
    <definedName name="FYDataRange" localSheetId="1">[6]Data!$G:$BL</definedName>
    <definedName name="FYDataRange">[7]Data!$G:$BL</definedName>
    <definedName name="layout_name_os">[1]BALNCMB!$V$4</definedName>
    <definedName name="NvsASD">"V2008-08-31"</definedName>
    <definedName name="NvsAutoDrillOk">"VN"</definedName>
    <definedName name="NvsElapsedTime">0.00333333333401242</definedName>
    <definedName name="NvsEndTime">39701.678912037</definedName>
    <definedName name="NvsInstLang">"VENG"</definedName>
    <definedName name="NvsInstSpec">"%,FFUND_CODE,TOSUMC_FUND_DETAIL,NCONSOL_OFI_RU"</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"%,X,RPF..nplosion1,CZF.."</definedName>
    <definedName name="NvsPanelEffdt">"V1994-01-01"</definedName>
    <definedName name="NvsPanelSetid">"VUNIV"</definedName>
    <definedName name="NvsReqBU">"VOSUMC"</definedName>
    <definedName name="NvsReqBUOnly">"VY"</definedName>
    <definedName name="NvsTransLed">"VN"</definedName>
    <definedName name="NvsTreeASD">"V2008-08-31"</definedName>
    <definedName name="NvsValTbl.ACCOUNT">"GL_ACCOUNT_TBL"</definedName>
    <definedName name="NvsValTbl.FUND_CODE">"FUND_TBL"</definedName>
    <definedName name="_xlnm.Print_Area" localSheetId="0">Dashboard!$A$1:$N$55</definedName>
    <definedName name="_xlnm.Print_Area" localSheetId="1">Definitions!$B$3:$D$8</definedName>
    <definedName name="_xlnm.Print_Titles" localSheetId="1">Definitions!$4:$4</definedName>
    <definedName name="scope_val_dept_ios" localSheetId="1">[1]BALNCMB!#REF!</definedName>
    <definedName name="scope_val_dept_ios">[1]BALNCMB!#REF!</definedName>
    <definedName name="scope_val_dept_os" localSheetId="1">[1]BALNCMB!#REF!</definedName>
    <definedName name="scope_val_dept_os">[1]BALNCMB!#REF!</definedName>
    <definedName name="scope_value_fund_os">[1]BALNCMB!$V$9</definedName>
    <definedName name="scp_valu_dept_os" localSheetId="1">#REF!</definedName>
    <definedName name="scp_valu_dept_os">#REF!</definedName>
    <definedName name="scp_valudept_ios" localSheetId="1">#REF!</definedName>
    <definedName name="scp_valudept_ios">#REF!</definedName>
    <definedName name="Sep_FY14" localSheetId="1">#REF!</definedName>
    <definedName name="Sep_FY14">#REF!</definedName>
    <definedName name="SFD">[1]BALNCMB!$V$6</definedName>
    <definedName name="SFV">[1]BALNCMB!$V$5</definedName>
    <definedName name="yyyy">[1]BALNCMB!#REF!</definedName>
    <definedName name="Z_30923651_8C9A_4CAA_8993_1EB997D850C0_.wvu.FilterData" localSheetId="1" hidden="1">Definitions!$B$3:$D$8</definedName>
    <definedName name="Z_5F879776_C63B_434F_AE68_A29DD23601BD_.wvu.FilterData" localSheetId="1" hidden="1">Definitions!$B$3:$D$8</definedName>
    <definedName name="Z_CFAC352A_A92C_48AF_B2E1_138C3BE3ECE2_.wvu.FilterData" localSheetId="1" hidden="1">Definitions!$B$3:$D$8</definedName>
    <definedName name="zzz" localSheetId="1">[1]BALNCMB!#REF!</definedName>
    <definedName name="zzz">[1]BALNCMB!#REF!</definedName>
    <definedName name="zzzz" localSheetId="1">[1]BALNCMB!#REF!</definedName>
    <definedName name="zzzz">[1]BALNCMB!#REF!</definedName>
    <definedName name="zzzzz" localSheetId="1">[1]BALNCMB!#REF!</definedName>
    <definedName name="zzzzz">[1]BALNCMB!#REF!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N55" i="1"/>
  <c r="AF19" i="9" l="1"/>
  <c r="P35" i="9"/>
  <c r="H5" i="9"/>
  <c r="H6" i="9"/>
  <c r="H7" i="9"/>
  <c r="H8" i="9"/>
  <c r="H9" i="9"/>
  <c r="H10" i="9"/>
  <c r="H4" i="9"/>
  <c r="D5" i="9"/>
  <c r="E5" i="9"/>
  <c r="F5" i="9"/>
  <c r="D6" i="9"/>
  <c r="E6" i="9"/>
  <c r="F6" i="9"/>
  <c r="D7" i="9"/>
  <c r="E7" i="9"/>
  <c r="F7" i="9"/>
  <c r="D8" i="9"/>
  <c r="E8" i="9"/>
  <c r="F8" i="9"/>
  <c r="D9" i="9"/>
  <c r="E9" i="9"/>
  <c r="F9" i="9"/>
  <c r="D10" i="9"/>
  <c r="E10" i="9"/>
  <c r="F10" i="9"/>
  <c r="E4" i="9"/>
  <c r="F4" i="9"/>
  <c r="D4" i="9"/>
  <c r="O33" i="9"/>
  <c r="AF20" i="9" l="1"/>
  <c r="AF21" i="9"/>
  <c r="AF22" i="9"/>
  <c r="AF23" i="9"/>
  <c r="AF24" i="9"/>
  <c r="C40" i="9"/>
  <c r="B40" i="9"/>
  <c r="C49" i="1"/>
  <c r="O34" i="9"/>
  <c r="AE18" i="9"/>
  <c r="AE19" i="9"/>
  <c r="AG19" i="9"/>
  <c r="AE20" i="9"/>
  <c r="AG20" i="9"/>
  <c r="AE21" i="9"/>
  <c r="AG21" i="9"/>
  <c r="AE22" i="9"/>
  <c r="AG22" i="9"/>
  <c r="AE23" i="9"/>
  <c r="AG23" i="9"/>
  <c r="AE24" i="9"/>
  <c r="AG24" i="9"/>
  <c r="AD19" i="9"/>
  <c r="AD20" i="9"/>
  <c r="AD21" i="9"/>
  <c r="AD22" i="9"/>
  <c r="AD23" i="9"/>
  <c r="AD24" i="9"/>
  <c r="AD18" i="9"/>
  <c r="AB25" i="9"/>
  <c r="AB12" i="9" s="1"/>
  <c r="AA25" i="9"/>
  <c r="AA12" i="9" s="1"/>
  <c r="Z25" i="9"/>
  <c r="Z12" i="9" s="1"/>
  <c r="Y25" i="9"/>
  <c r="Y12" i="9" s="1"/>
  <c r="X25" i="9"/>
  <c r="W25" i="9"/>
  <c r="AK12" i="9" s="1"/>
  <c r="V25" i="9"/>
  <c r="V12" i="9" s="1"/>
  <c r="U25" i="9"/>
  <c r="T25" i="9"/>
  <c r="S25" i="9"/>
  <c r="R25" i="9"/>
  <c r="R12" i="9" s="1"/>
  <c r="Q25" i="9"/>
  <c r="AE12" i="9" s="1"/>
  <c r="D40" i="9"/>
  <c r="E40" i="9"/>
  <c r="F40" i="9"/>
  <c r="G40" i="9"/>
  <c r="H40" i="9"/>
  <c r="I40" i="9"/>
  <c r="J40" i="9"/>
  <c r="K40" i="9"/>
  <c r="L40" i="9"/>
  <c r="M40" i="9"/>
  <c r="D20" i="9"/>
  <c r="D20" i="1" s="1"/>
  <c r="E20" i="9"/>
  <c r="E20" i="1" s="1"/>
  <c r="F20" i="9"/>
  <c r="F20" i="1" s="1"/>
  <c r="D21" i="9"/>
  <c r="D21" i="1" s="1"/>
  <c r="E21" i="9"/>
  <c r="E21" i="1" s="1"/>
  <c r="F21" i="9"/>
  <c r="F21" i="1" s="1"/>
  <c r="D22" i="9"/>
  <c r="D22" i="1" s="1"/>
  <c r="E22" i="9"/>
  <c r="E22" i="1" s="1"/>
  <c r="F22" i="9"/>
  <c r="F22" i="1" s="1"/>
  <c r="D23" i="9"/>
  <c r="D23" i="1" s="1"/>
  <c r="E23" i="9"/>
  <c r="E23" i="1" s="1"/>
  <c r="F23" i="9"/>
  <c r="F23" i="1" s="1"/>
  <c r="D24" i="9"/>
  <c r="D24" i="1" s="1"/>
  <c r="E24" i="9"/>
  <c r="E24" i="1" s="1"/>
  <c r="F24" i="9"/>
  <c r="F24" i="1" s="1"/>
  <c r="D25" i="9"/>
  <c r="D25" i="1" s="1"/>
  <c r="E25" i="9"/>
  <c r="E25" i="1" s="1"/>
  <c r="F25" i="9"/>
  <c r="F25" i="1" s="1"/>
  <c r="D26" i="9"/>
  <c r="D26" i="1" s="1"/>
  <c r="E26" i="9"/>
  <c r="E26" i="1" s="1"/>
  <c r="F26" i="9"/>
  <c r="F26" i="1" s="1"/>
  <c r="C22" i="9"/>
  <c r="C22" i="1" s="1"/>
  <c r="C23" i="9"/>
  <c r="C23" i="1" s="1"/>
  <c r="C24" i="9"/>
  <c r="C24" i="1" s="1"/>
  <c r="C25" i="9"/>
  <c r="C25" i="1" s="1"/>
  <c r="C26" i="9"/>
  <c r="C26" i="1" s="1"/>
  <c r="C20" i="9"/>
  <c r="C20" i="1" s="1"/>
  <c r="C21" i="9"/>
  <c r="C21" i="1" s="1"/>
  <c r="F27" i="9"/>
  <c r="F27" i="1" s="1"/>
  <c r="E27" i="9"/>
  <c r="E27" i="1" s="1"/>
  <c r="D27" i="9"/>
  <c r="C27" i="9"/>
  <c r="C17" i="9"/>
  <c r="G5" i="9"/>
  <c r="G6" i="9"/>
  <c r="G7" i="9"/>
  <c r="G8" i="9"/>
  <c r="G9" i="9"/>
  <c r="G10" i="9"/>
  <c r="G4" i="9"/>
  <c r="E11" i="1"/>
  <c r="E6" i="1"/>
  <c r="F6" i="1"/>
  <c r="E7" i="1"/>
  <c r="F7" i="1"/>
  <c r="E8" i="1"/>
  <c r="F8" i="1"/>
  <c r="E9" i="1"/>
  <c r="F9" i="1"/>
  <c r="E10" i="1"/>
  <c r="F10" i="1"/>
  <c r="F11" i="1"/>
  <c r="E12" i="1"/>
  <c r="F12" i="1"/>
  <c r="D12" i="1"/>
  <c r="D11" i="1"/>
  <c r="D10" i="1"/>
  <c r="D9" i="1"/>
  <c r="D8" i="1"/>
  <c r="D7" i="1"/>
  <c r="D6" i="1"/>
  <c r="C2" i="9"/>
  <c r="AG12" i="9" l="1"/>
  <c r="S12" i="9"/>
  <c r="AL12" i="9"/>
  <c r="X12" i="9"/>
  <c r="AI12" i="9"/>
  <c r="U12" i="9"/>
  <c r="AH12" i="9"/>
  <c r="T12" i="9"/>
  <c r="W12" i="9"/>
  <c r="AO12" i="9"/>
  <c r="AP12" i="9"/>
  <c r="AM12" i="9"/>
  <c r="AN12" i="9"/>
  <c r="AJ12" i="9"/>
  <c r="AF12" i="9"/>
  <c r="E50" i="1"/>
  <c r="E49" i="1"/>
  <c r="C50" i="1"/>
  <c r="Q12" i="9"/>
  <c r="F28" i="9"/>
  <c r="F28" i="1" s="1"/>
  <c r="D28" i="9"/>
  <c r="D28" i="1" s="1"/>
  <c r="E28" i="9"/>
  <c r="E28" i="1" s="1"/>
  <c r="D29" i="9"/>
  <c r="D29" i="1" s="1"/>
  <c r="F29" i="9"/>
  <c r="F29" i="1" s="1"/>
  <c r="E29" i="9"/>
  <c r="E29" i="1" s="1"/>
  <c r="C29" i="9"/>
  <c r="C29" i="1" s="1"/>
  <c r="D27" i="1"/>
  <c r="C27" i="1"/>
  <c r="C28" i="9"/>
  <c r="C28" i="1" s="1"/>
  <c r="G11" i="9"/>
  <c r="H11" i="9" s="1"/>
  <c r="C17" i="1"/>
  <c r="C4" i="1"/>
  <c r="A1" i="1"/>
  <c r="L42" i="4" l="1"/>
  <c r="F42" i="4"/>
  <c r="F55" i="1"/>
</calcChain>
</file>

<file path=xl/sharedStrings.xml><?xml version="1.0" encoding="utf-8"?>
<sst xmlns="http://schemas.openxmlformats.org/spreadsheetml/2006/main" count="280" uniqueCount="126">
  <si>
    <t>Jan</t>
  </si>
  <si>
    <t>Feb</t>
  </si>
  <si>
    <t>Mar</t>
  </si>
  <si>
    <t>Apr</t>
  </si>
  <si>
    <t>May</t>
  </si>
  <si>
    <t>Jun</t>
  </si>
  <si>
    <t>Jul</t>
  </si>
  <si>
    <t>Aug</t>
  </si>
  <si>
    <t>Sep</t>
  </si>
  <si>
    <t>Oct</t>
  </si>
  <si>
    <t>Nov</t>
  </si>
  <si>
    <t>Dec</t>
  </si>
  <si>
    <t>1. Headway - Frequency Between Buses</t>
  </si>
  <si>
    <t>Time Period</t>
  </si>
  <si>
    <t>Target Headway (mins.)</t>
  </si>
  <si>
    <r>
      <t>50</t>
    </r>
    <r>
      <rPr>
        <b/>
        <vertAlign val="superscript"/>
        <sz val="11"/>
        <color theme="1"/>
        <rFont val="Calibri"/>
        <family val="2"/>
        <scheme val="minor"/>
      </rPr>
      <t>th</t>
    </r>
    <r>
      <rPr>
        <b/>
        <sz val="11"/>
        <color theme="1"/>
        <rFont val="Calibri"/>
        <family val="2"/>
        <scheme val="minor"/>
      </rPr>
      <t>-%ile Actual (mins.)*</t>
    </r>
  </si>
  <si>
    <r>
      <t>75</t>
    </r>
    <r>
      <rPr>
        <b/>
        <vertAlign val="superscript"/>
        <sz val="11"/>
        <color theme="1"/>
        <rFont val="Calibri"/>
        <family val="2"/>
        <scheme val="minor"/>
      </rPr>
      <t>th</t>
    </r>
    <r>
      <rPr>
        <b/>
        <sz val="11"/>
        <color theme="1"/>
        <rFont val="Calibri"/>
        <family val="2"/>
        <scheme val="minor"/>
      </rPr>
      <t>-%ile Actual (mins.)*</t>
    </r>
  </si>
  <si>
    <r>
      <t>90</t>
    </r>
    <r>
      <rPr>
        <b/>
        <vertAlign val="superscript"/>
        <sz val="11"/>
        <color theme="1"/>
        <rFont val="Calibri"/>
        <family val="2"/>
        <scheme val="minor"/>
      </rPr>
      <t>th</t>
    </r>
    <r>
      <rPr>
        <b/>
        <sz val="11"/>
        <color theme="1"/>
        <rFont val="Calibri"/>
        <family val="2"/>
        <scheme val="minor"/>
      </rPr>
      <t>-%ile Actual (mins.)*</t>
    </r>
  </si>
  <si>
    <t>#trips</t>
  </si>
  <si>
    <t>% at or below target</t>
  </si>
  <si>
    <t>5-6a</t>
  </si>
  <si>
    <t>6-7a</t>
  </si>
  <si>
    <t>7-8a</t>
  </si>
  <si>
    <t>8a-2p</t>
  </si>
  <si>
    <t>2-8p</t>
  </si>
  <si>
    <t>8-10p</t>
  </si>
  <si>
    <t>10p-12a</t>
  </si>
  <si>
    <t>** Estimated weighted average of % at or below target for each time period (using all trips in a month for weighting)</t>
  </si>
  <si>
    <t>2. Capacity</t>
  </si>
  <si>
    <t>Passenger Count</t>
  </si>
  <si>
    <t xml:space="preserve">0-30 </t>
  </si>
  <si>
    <t xml:space="preserve">30-50 </t>
  </si>
  <si>
    <t xml:space="preserve">50-65 </t>
  </si>
  <si>
    <t xml:space="preserve">65+ </t>
  </si>
  <si>
    <t>% of Trips Overcapacity</t>
  </si>
  <si>
    <t># Trips</t>
  </si>
  <si>
    <t xml:space="preserve">% for Month </t>
  </si>
  <si>
    <t>% CYTD*</t>
  </si>
  <si>
    <t xml:space="preserve">Buses vary in seat capacity from 31 to 43. Passenger volume is collected via automated sensors and may be slightly inaccurate.  </t>
  </si>
  <si>
    <t>* Calendar YTD (Beginning in January)</t>
  </si>
  <si>
    <t>5:30-7a</t>
  </si>
  <si>
    <t>7-10a</t>
  </si>
  <si>
    <t>10a-4p</t>
  </si>
  <si>
    <t>4p-7p</t>
  </si>
  <si>
    <t>7p-12a</t>
  </si>
  <si>
    <t>12a-5a</t>
  </si>
  <si>
    <t>Wtd. Avg.</t>
  </si>
  <si>
    <t>4. Traffic Accidents - Med Center Express</t>
  </si>
  <si>
    <t>Riders in Accidents as % of Total Riders</t>
  </si>
  <si>
    <t>Date</t>
  </si>
  <si>
    <t>Injuries?</t>
  </si>
  <si>
    <t>Police Report?</t>
  </si>
  <si>
    <t>OSU At Fault?</t>
  </si>
  <si>
    <t># Riders in Bus</t>
  </si>
  <si>
    <t>Notes</t>
  </si>
  <si>
    <t>Med Center Express Dashboard Definitions</t>
  </si>
  <si>
    <t>Metric</t>
  </si>
  <si>
    <t>Source</t>
  </si>
  <si>
    <t>Comments</t>
  </si>
  <si>
    <t>1. Headway- Frequency Between Buses</t>
  </si>
  <si>
    <t>3. Travel Time</t>
  </si>
  <si>
    <t xml:space="preserve">The number of riders involved in traffic accidents on Med Center Express divided by total Med Center Express ridership. </t>
  </si>
  <si>
    <t>OSU's accident database (Access), which is housed in TTM.</t>
  </si>
  <si>
    <t>Passenger Load - April 2019</t>
  </si>
  <si>
    <t>In April, buses were overcapacity 0.25% of total trips (23 of 9,138 trips)</t>
  </si>
  <si>
    <t>Apr 2019:</t>
  </si>
  <si>
    <t xml:space="preserve"> 0 in 181,862</t>
  </si>
  <si>
    <t xml:space="preserve"> 70 in 1.60 Million</t>
  </si>
  <si>
    <t>CYTD:</t>
  </si>
  <si>
    <t>CYTD*:</t>
  </si>
  <si>
    <t>N/A</t>
  </si>
  <si>
    <t>Med Center Express Dashboard - December 2019</t>
  </si>
  <si>
    <t>Definition</t>
  </si>
  <si>
    <t xml:space="preserve"> </t>
  </si>
  <si>
    <t>Time</t>
  </si>
  <si>
    <t>Time Period:</t>
  </si>
  <si>
    <t>Set the month and year of the time period that the dashboard is for:</t>
  </si>
  <si>
    <t>Paste dashboard output from R Script here:</t>
  </si>
  <si>
    <t>4-7p</t>
  </si>
  <si>
    <t>12-5a</t>
  </si>
  <si>
    <t>Loops</t>
  </si>
  <si>
    <t>current:</t>
  </si>
  <si>
    <t>Transpose all data highlighted into corresponding spots HERE.</t>
  </si>
  <si>
    <t>Travel times calculations get tranposed into appropriate chart based on direction.</t>
  </si>
  <si>
    <t># of Trips in RideCheck Time Frames</t>
  </si>
  <si>
    <t># of PAX Injured and Total Ridership</t>
  </si>
  <si>
    <t>Headway on Time Weighted %</t>
  </si>
  <si>
    <t>Trips by PAX Load Type</t>
  </si>
  <si>
    <t>Enter date prepared when finished.</t>
  </si>
  <si>
    <t>Date finished:</t>
  </si>
  <si>
    <t>Passenger Count Categories</t>
  </si>
  <si>
    <t>Met</t>
  </si>
  <si>
    <t>Paste headways output from R Script here:</t>
  </si>
  <si>
    <t>Headway report produced internally by TTM's Transportation Data Analyst. Data is generated by the Clever Devices system on each bus and scrubbed through the Ridecheck+ software.</t>
  </si>
  <si>
    <t>Passenger loads calculated internally by TTM's Transportation Data Analyst. The passenger counts are collected via automatic passenger counters on the buses and may be slightly inaccurate. Data is then scrubbed through the Ridecheck+ software.</t>
  </si>
  <si>
    <t xml:space="preserve">Data is collected by the Clever Devices system on each bus and reported through the Ridecheck+ reporting software. </t>
  </si>
  <si>
    <t>This is the percentage of trips for each capacity category for the month, as well as a total volume for each category.  Buses vary in number of seats from 31 to 43,  and in area available for standing passengers. Overcapacity is defined as a bus having 65 or more passengers for a trip, which would include both seated and standing passengers. Prior to June 2022, this information was produced by the College of Engineering's Transit Lab from raw passenger data generated by the Clever Devices system on each bus. Through quality checks using sample video comparisons, it was determined TTM can produce more accurate and auditable information.</t>
  </si>
  <si>
    <t>Paste runtime output from R script here:</t>
  </si>
  <si>
    <t>0-30</t>
  </si>
  <si>
    <t>30-50</t>
  </si>
  <si>
    <t>50-65</t>
  </si>
  <si>
    <t>65+</t>
  </si>
  <si>
    <t>Open 1. Headways output and paste table HERE.</t>
  </si>
  <si>
    <t>Open 2. Capacity output and paste table HERE.</t>
  </si>
  <si>
    <t>Open 3. Travel Time output and paste loop counts HERE.</t>
  </si>
  <si>
    <t>Avg. Minutes from Doan Hall to Carmack 2*</t>
  </si>
  <si>
    <t>2:DOAN</t>
  </si>
  <si>
    <t>DOAN:2</t>
  </si>
  <si>
    <t>This is the difference in time between the arrival of buses. It is based on an unweighted average of the sample headways for Carmack 2, Carmack 3, University Hospital, and Doan Hall for each time period listed. The percentage of all trips at or below the target is based on a weighted average of the percentage under target for each time period. Prior to June 2022, this information was produced by the College of Engineering's Transit Lab from raw passenger data generated by the Clever Devices system on each bus. Through quality checks using sample video comparisons, it was determined TTM can produce more accurate and auditable information.</t>
  </si>
  <si>
    <r>
      <rPr>
        <b/>
        <sz val="11"/>
        <color theme="1"/>
        <rFont val="Calibri"/>
        <family val="2"/>
        <scheme val="minor"/>
      </rPr>
      <t>NOTE:</t>
    </r>
    <r>
      <rPr>
        <sz val="11"/>
        <color theme="1"/>
        <rFont val="Calibri"/>
        <family val="2"/>
        <scheme val="minor"/>
      </rPr>
      <t xml:space="preserve"> This script should take approximately 3-5 minutes to run as it is reading </t>
    </r>
    <r>
      <rPr>
        <i/>
        <sz val="11"/>
        <color theme="1"/>
        <rFont val="Calibri"/>
        <family val="2"/>
        <scheme val="minor"/>
      </rPr>
      <t>millions</t>
    </r>
    <r>
      <rPr>
        <sz val="11"/>
        <color theme="1"/>
        <rFont val="Calibri"/>
        <family val="2"/>
        <scheme val="minor"/>
      </rPr>
      <t xml:space="preserve"> of entries. Depending on what machine it is running on do not be concerned if it takes 5+ minutes.</t>
    </r>
  </si>
  <si>
    <t>If BusState for the month has not been processed, process BusState in the jupyter notebook stored at ~\Data\WMC_Dashboard\busstate_processing_pipeline.ipynb</t>
  </si>
  <si>
    <t>Run jupyter notebook to process Med Center Express data with ~\Data\WMC_Dashboard\med_center_dashboard_metrics.ipynb</t>
  </si>
  <si>
    <t>Navigate to the created subfolder for the appropriate month in ~\Data\WMC_Dashboard\Dashboard Data\YEAR\MONTH\</t>
  </si>
  <si>
    <t>* Departure from Doan Hall to arrival at Carmack 2.</t>
  </si>
  <si>
    <t>* Values are estimates based on unweighted averages of the samples for the 4 stops (M-F)</t>
  </si>
  <si>
    <t>CMCK2:UH/DOAN</t>
  </si>
  <si>
    <t>DOAN:UH/CMCK2</t>
  </si>
  <si>
    <t>Avg. Minutes from Carmack 2 to University Hospital*</t>
  </si>
  <si>
    <t>* Departure from Carmack 2 to arrival at University Hospital.</t>
  </si>
  <si>
    <t xml:space="preserve">    Includes stops at  Carmack 3 and Carmack 5.</t>
  </si>
  <si>
    <t>Get boardings from TotalBoardings-MON-YEAR.txt and put HERE:</t>
  </si>
  <si>
    <t xml:space="preserve">Travel time is shown for Carmack 2 to University Hospital, which is measured from the time a bus departs Carmack 2 until it arrives at University Hospital. It does not include the dwell time at Carmack 2, but it does include any dwell time at Carmack 3 or Carmack 5. Doan Hall to Carmack 2 travel time is measured from the time a bus departs Doan Hall until it arrives at Carmack 2. </t>
  </si>
  <si>
    <r>
      <rPr>
        <b/>
        <sz val="11"/>
        <color theme="1"/>
        <rFont val="Calibri"/>
        <family val="2"/>
        <scheme val="minor"/>
      </rPr>
      <t>NOTE:</t>
    </r>
    <r>
      <rPr>
        <sz val="11"/>
        <color theme="1"/>
        <rFont val="Calibri"/>
        <family val="2"/>
        <scheme val="minor"/>
      </rPr>
      <t xml:space="preserve"> For detailed instructions and documentation for the code of this dashboard, use README.md or visit the github repo at https://github.com/morgan1461/WMC-dashboard</t>
    </r>
  </si>
  <si>
    <t>January 2026</t>
  </si>
  <si>
    <t>X</t>
  </si>
  <si>
    <r>
      <rPr>
        <b/>
        <sz val="11"/>
        <color theme="1"/>
        <rFont val="Calibri"/>
        <family val="2"/>
        <scheme val="minor"/>
      </rPr>
      <t>NOTE:</t>
    </r>
    <r>
      <rPr>
        <sz val="11"/>
        <color theme="1"/>
        <rFont val="Calibri"/>
        <family val="2"/>
        <scheme val="minor"/>
      </rPr>
      <t xml:space="preserve"> This script will also take a while to run as it is performing 6 distance calculations for each of the nearly million entries. Don't be concerned if it takes 5+ minutes to complete.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</si>
</sst>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00%"/>
    <numFmt numFmtId="166" formatCode="_(* #,##0_);_(* \(#,##0\);_(* &quot;-&quot;??_);_(@_)"/>
    <numFmt numFmtId="167" formatCode="m/d/yy;@"/>
    <numFmt numFmtId="168" formatCode="0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b/>
      <sz val="18"/>
      <color theme="4" tint="-0.249977111117893"/>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b/>
      <sz val="11"/>
      <color theme="0"/>
      <name val="Calibri"/>
      <family val="2"/>
      <scheme val="minor"/>
    </font>
    <font>
      <b/>
      <sz val="14"/>
      <name val="Calibri"/>
      <family val="2"/>
      <scheme val="minor"/>
    </font>
    <font>
      <b/>
      <sz val="12"/>
      <color theme="0"/>
      <name val="Calibri"/>
      <family val="2"/>
      <scheme val="minor"/>
    </font>
    <font>
      <sz val="11"/>
      <color theme="1"/>
      <name val="Arial"/>
      <family val="2"/>
    </font>
    <font>
      <b/>
      <sz val="9"/>
      <name val="Calibri"/>
      <family val="2"/>
      <scheme val="minor"/>
    </font>
    <font>
      <sz val="9"/>
      <name val="Calibri"/>
      <family val="2"/>
      <scheme val="minor"/>
    </font>
    <font>
      <b/>
      <vertAlign val="superscript"/>
      <sz val="11"/>
      <color theme="1"/>
      <name val="Calibri"/>
      <family val="2"/>
      <scheme val="minor"/>
    </font>
    <font>
      <b/>
      <sz val="10"/>
      <color theme="1"/>
      <name val="Calibri"/>
      <family val="2"/>
      <scheme val="minor"/>
    </font>
    <font>
      <b/>
      <u/>
      <sz val="12"/>
      <color theme="1"/>
      <name val="Calibri"/>
      <family val="2"/>
      <scheme val="minor"/>
    </font>
    <font>
      <b/>
      <sz val="20"/>
      <color theme="1"/>
      <name val="Calibri"/>
      <family val="2"/>
      <scheme val="minor"/>
    </font>
    <font>
      <b/>
      <sz val="12"/>
      <color theme="1"/>
      <name val="Calibri"/>
      <family val="2"/>
      <scheme val="minor"/>
    </font>
    <font>
      <b/>
      <sz val="11"/>
      <color indexed="8"/>
      <name val="Calibri"/>
      <family val="2"/>
      <scheme val="minor"/>
    </font>
    <font>
      <sz val="6"/>
      <color theme="1"/>
      <name val="Calibri"/>
      <family val="2"/>
      <scheme val="minor"/>
    </font>
    <font>
      <sz val="11"/>
      <name val="Calibri"/>
      <family val="2"/>
      <scheme val="minor"/>
    </font>
    <font>
      <u/>
      <sz val="11"/>
      <color theme="10"/>
      <name val="Calibri"/>
      <family val="2"/>
      <scheme val="minor"/>
    </font>
    <font>
      <sz val="8"/>
      <name val="Calibri"/>
      <family val="2"/>
      <scheme val="minor"/>
    </font>
    <font>
      <i/>
      <sz val="11"/>
      <color theme="1"/>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00B0F0"/>
        <bgColor indexed="64"/>
      </patternFill>
    </fill>
    <fill>
      <patternFill patternType="solid">
        <fgColor rgb="FFFF85FF"/>
        <bgColor indexed="64"/>
      </patternFill>
    </fill>
    <fill>
      <patternFill patternType="solid">
        <fgColor rgb="FFFF0000"/>
        <bgColor indexed="64"/>
      </patternFill>
    </fill>
    <fill>
      <patternFill patternType="solid">
        <fgColor rgb="FF009193"/>
        <bgColor indexed="64"/>
      </patternFill>
    </fill>
    <fill>
      <patternFill patternType="solid">
        <fgColor rgb="FFFFFF00"/>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0" fontId="11" fillId="0" borderId="0"/>
    <xf numFmtId="43" fontId="2" fillId="0" borderId="0" applyFont="0" applyFill="0" applyBorder="0" applyAlignment="0" applyProtection="0"/>
    <xf numFmtId="0" fontId="22" fillId="0" borderId="0" applyNumberFormat="0" applyFill="0" applyBorder="0" applyAlignment="0" applyProtection="0"/>
  </cellStyleXfs>
  <cellXfs count="251">
    <xf numFmtId="0" fontId="0" fillId="0" borderId="0" xfId="0"/>
    <xf numFmtId="0" fontId="4" fillId="0" borderId="0" xfId="0" applyFont="1"/>
    <xf numFmtId="0" fontId="1" fillId="0" borderId="0" xfId="0" applyFont="1"/>
    <xf numFmtId="0" fontId="1" fillId="2" borderId="1" xfId="0" applyFont="1" applyFill="1" applyBorder="1" applyAlignment="1">
      <alignment horizontal="right"/>
    </xf>
    <xf numFmtId="0" fontId="1" fillId="2" borderId="6" xfId="0" applyFont="1" applyFill="1" applyBorder="1" applyAlignment="1">
      <alignment horizontal="right"/>
    </xf>
    <xf numFmtId="0" fontId="0" fillId="0" borderId="0" xfId="0" applyAlignment="1">
      <alignment horizontal="center"/>
    </xf>
    <xf numFmtId="0" fontId="1" fillId="2" borderId="13" xfId="0" applyFont="1" applyFill="1" applyBorder="1"/>
    <xf numFmtId="0" fontId="1" fillId="2" borderId="14" xfId="0" applyFont="1" applyFill="1" applyBorder="1"/>
    <xf numFmtId="0" fontId="6" fillId="0" borderId="2" xfId="0" applyFont="1" applyBorder="1"/>
    <xf numFmtId="0" fontId="6" fillId="0" borderId="0" xfId="0" applyFont="1"/>
    <xf numFmtId="16" fontId="1" fillId="2" borderId="13" xfId="0" applyNumberFormat="1" applyFont="1" applyFill="1" applyBorder="1"/>
    <xf numFmtId="9" fontId="0" fillId="0" borderId="0" xfId="1" applyFont="1"/>
    <xf numFmtId="0" fontId="0" fillId="0" borderId="7" xfId="0" applyBorder="1"/>
    <xf numFmtId="0" fontId="7" fillId="0" borderId="0" xfId="0" applyFont="1"/>
    <xf numFmtId="165" fontId="0" fillId="0" borderId="0" xfId="1" applyNumberFormat="1" applyFont="1"/>
    <xf numFmtId="0" fontId="0" fillId="0" borderId="0" xfId="0" applyAlignment="1">
      <alignment horizontal="left" vertical="center" wrapText="1"/>
    </xf>
    <xf numFmtId="0" fontId="0" fillId="0" borderId="0" xfId="0" applyAlignment="1">
      <alignment horizontal="left" vertical="top" wrapText="1"/>
    </xf>
    <xf numFmtId="0" fontId="10" fillId="3" borderId="20" xfId="0" applyFont="1" applyFill="1" applyBorder="1" applyAlignment="1">
      <alignment horizontal="center" vertical="center" wrapText="1"/>
    </xf>
    <xf numFmtId="0" fontId="11" fillId="0" borderId="0" xfId="0" applyFont="1" applyAlignment="1">
      <alignment horizontal="left" vertical="top" wrapText="1"/>
    </xf>
    <xf numFmtId="0" fontId="5" fillId="0" borderId="0" xfId="0" applyFont="1" applyAlignment="1">
      <alignment horizontal="left" vertical="top" wrapText="1"/>
    </xf>
    <xf numFmtId="0" fontId="12" fillId="4" borderId="18" xfId="0" applyFont="1" applyFill="1" applyBorder="1" applyAlignment="1">
      <alignment horizontal="left" vertical="center" wrapText="1"/>
    </xf>
    <xf numFmtId="0" fontId="13" fillId="4" borderId="19" xfId="0" applyFont="1" applyFill="1" applyBorder="1" applyAlignment="1">
      <alignment horizontal="left" vertical="center" wrapText="1"/>
    </xf>
    <xf numFmtId="0" fontId="7" fillId="0" borderId="0" xfId="0" applyFont="1" applyAlignment="1">
      <alignment wrapText="1"/>
    </xf>
    <xf numFmtId="0" fontId="12" fillId="4" borderId="16" xfId="0" applyFont="1" applyFill="1" applyBorder="1" applyAlignment="1">
      <alignment horizontal="left" vertical="center" wrapText="1"/>
    </xf>
    <xf numFmtId="0" fontId="13" fillId="4" borderId="17" xfId="3" applyFont="1" applyFill="1" applyBorder="1" applyAlignment="1">
      <alignment horizontal="left" vertical="center" wrapText="1"/>
    </xf>
    <xf numFmtId="0" fontId="0" fillId="0" borderId="14" xfId="0" applyBorder="1" applyAlignment="1">
      <alignment horizontal="center"/>
    </xf>
    <xf numFmtId="0" fontId="1" fillId="0" borderId="0" xfId="0" applyFont="1" applyAlignment="1">
      <alignment horizontal="right"/>
    </xf>
    <xf numFmtId="0" fontId="9" fillId="2" borderId="3" xfId="0" applyFont="1" applyFill="1" applyBorder="1" applyAlignment="1">
      <alignmen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8" fillId="3" borderId="24" xfId="0" applyFont="1" applyFill="1" applyBorder="1" applyAlignment="1">
      <alignment horizontal="center" vertical="center" wrapText="1"/>
    </xf>
    <xf numFmtId="0" fontId="10" fillId="3" borderId="26" xfId="0" applyFont="1" applyFill="1" applyBorder="1" applyAlignment="1">
      <alignment horizontal="center" vertical="center" wrapText="1"/>
    </xf>
    <xf numFmtId="0" fontId="12" fillId="4" borderId="27" xfId="0" applyFont="1" applyFill="1" applyBorder="1" applyAlignment="1">
      <alignment horizontal="left" vertical="center" wrapText="1"/>
    </xf>
    <xf numFmtId="0" fontId="13" fillId="4" borderId="29" xfId="0" applyFont="1" applyFill="1" applyBorder="1" applyAlignment="1">
      <alignment horizontal="left" vertical="center" wrapText="1"/>
    </xf>
    <xf numFmtId="0" fontId="13" fillId="4" borderId="20" xfId="0" applyFont="1" applyFill="1" applyBorder="1" applyAlignment="1">
      <alignment horizontal="left" vertical="center" wrapText="1"/>
    </xf>
    <xf numFmtId="166" fontId="13" fillId="4" borderId="21" xfId="2" applyNumberFormat="1" applyFont="1" applyFill="1" applyBorder="1" applyAlignment="1">
      <alignment horizontal="left" vertical="center" wrapText="1"/>
    </xf>
    <xf numFmtId="0" fontId="1" fillId="2" borderId="4" xfId="0" applyFont="1" applyFill="1" applyBorder="1"/>
    <xf numFmtId="0" fontId="1" fillId="2" borderId="6" xfId="0" applyFont="1" applyFill="1" applyBorder="1"/>
    <xf numFmtId="0" fontId="1" fillId="0" borderId="7" xfId="0" applyFont="1" applyBorder="1" applyAlignment="1">
      <alignment wrapText="1"/>
    </xf>
    <xf numFmtId="9" fontId="0" fillId="0" borderId="11" xfId="0" applyNumberFormat="1" applyBorder="1" applyAlignment="1">
      <alignment horizontal="center"/>
    </xf>
    <xf numFmtId="0" fontId="1" fillId="2" borderId="0" xfId="0" applyFont="1" applyFill="1" applyAlignment="1">
      <alignment horizontal="center" wrapText="1"/>
    </xf>
    <xf numFmtId="9" fontId="0" fillId="0" borderId="0" xfId="0" applyNumberFormat="1" applyAlignment="1">
      <alignment horizont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10" fontId="0" fillId="0" borderId="0" xfId="0" applyNumberFormat="1" applyAlignment="1">
      <alignment horizontal="center"/>
    </xf>
    <xf numFmtId="164" fontId="0" fillId="0" borderId="3" xfId="0" applyNumberFormat="1" applyBorder="1" applyAlignment="1">
      <alignment horizontal="center"/>
    </xf>
    <xf numFmtId="164" fontId="0" fillId="0" borderId="4" xfId="0" applyNumberFormat="1" applyBorder="1" applyAlignment="1">
      <alignment horizontal="center"/>
    </xf>
    <xf numFmtId="164" fontId="0" fillId="0" borderId="5" xfId="0" applyNumberFormat="1" applyBorder="1" applyAlignment="1">
      <alignment horizontal="center"/>
    </xf>
    <xf numFmtId="164" fontId="0" fillId="0" borderId="8" xfId="0" applyNumberFormat="1" applyBorder="1" applyAlignment="1">
      <alignment horizontal="center"/>
    </xf>
    <xf numFmtId="10" fontId="1" fillId="0" borderId="6" xfId="0" applyNumberFormat="1" applyFont="1" applyBorder="1" applyAlignment="1">
      <alignment horizontal="center"/>
    </xf>
    <xf numFmtId="10" fontId="1" fillId="0" borderId="7" xfId="0" applyNumberFormat="1" applyFont="1" applyBorder="1" applyAlignment="1">
      <alignment horizontal="center"/>
    </xf>
    <xf numFmtId="10" fontId="1" fillId="0" borderId="8" xfId="0" applyNumberFormat="1" applyFont="1" applyBorder="1" applyAlignment="1">
      <alignment horizontal="center"/>
    </xf>
    <xf numFmtId="164" fontId="0" fillId="0" borderId="2" xfId="0" applyNumberFormat="1" applyBorder="1" applyAlignment="1">
      <alignment horizontal="center"/>
    </xf>
    <xf numFmtId="164" fontId="0" fillId="0" borderId="0" xfId="0" applyNumberFormat="1" applyAlignment="1">
      <alignment horizontal="center"/>
    </xf>
    <xf numFmtId="164" fontId="0" fillId="0" borderId="7" xfId="0" applyNumberFormat="1" applyBorder="1" applyAlignment="1">
      <alignment horizontal="center"/>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1" fillId="2" borderId="8" xfId="0" applyFont="1" applyFill="1" applyBorder="1" applyAlignment="1">
      <alignment horizontal="center" wrapText="1"/>
    </xf>
    <xf numFmtId="10" fontId="0" fillId="0" borderId="0" xfId="1" applyNumberFormat="1" applyFont="1" applyBorder="1" applyAlignment="1">
      <alignment horizontal="center"/>
    </xf>
    <xf numFmtId="0" fontId="1" fillId="2" borderId="9" xfId="0" applyFont="1" applyFill="1" applyBorder="1" applyAlignment="1">
      <alignment horizontal="center" wrapText="1"/>
    </xf>
    <xf numFmtId="0" fontId="0" fillId="0" borderId="15" xfId="0" applyBorder="1" applyAlignment="1">
      <alignment horizontal="center"/>
    </xf>
    <xf numFmtId="0" fontId="0" fillId="0" borderId="13" xfId="0" applyBorder="1" applyAlignment="1">
      <alignment horizontal="center"/>
    </xf>
    <xf numFmtId="0" fontId="15" fillId="0" borderId="4" xfId="0" applyFont="1" applyBorder="1"/>
    <xf numFmtId="0" fontId="15" fillId="0" borderId="6" xfId="0" applyFont="1" applyBorder="1"/>
    <xf numFmtId="0" fontId="0" fillId="0" borderId="4" xfId="0" applyBorder="1" applyAlignment="1">
      <alignment horizontal="left" vertical="top" wrapText="1"/>
    </xf>
    <xf numFmtId="0" fontId="0" fillId="0" borderId="5" xfId="0" applyBorder="1" applyAlignment="1">
      <alignment horizontal="left" vertical="top" wrapText="1"/>
    </xf>
    <xf numFmtId="0" fontId="1" fillId="2" borderId="1" xfId="0" applyFont="1" applyFill="1" applyBorder="1"/>
    <xf numFmtId="10" fontId="0" fillId="0" borderId="4" xfId="0" applyNumberFormat="1" applyBorder="1"/>
    <xf numFmtId="10" fontId="0" fillId="0" borderId="0" xfId="0" applyNumberFormat="1"/>
    <xf numFmtId="10" fontId="0" fillId="0" borderId="5" xfId="0" applyNumberFormat="1" applyBorder="1"/>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10" fontId="5" fillId="0" borderId="0" xfId="0" applyNumberFormat="1" applyFont="1" applyAlignment="1">
      <alignment horizontal="left" vertical="top" wrapText="1"/>
    </xf>
    <xf numFmtId="10" fontId="0" fillId="0" borderId="0" xfId="0" applyNumberFormat="1" applyAlignment="1">
      <alignment horizontal="left" vertical="top" wrapText="1"/>
    </xf>
    <xf numFmtId="9" fontId="0" fillId="0" borderId="0" xfId="0" applyNumberFormat="1" applyAlignment="1">
      <alignment horizontal="left" vertical="top" wrapText="1"/>
    </xf>
    <xf numFmtId="10" fontId="1" fillId="0" borderId="4" xfId="0" applyNumberFormat="1" applyFont="1" applyBorder="1" applyAlignment="1">
      <alignment horizontal="center"/>
    </xf>
    <xf numFmtId="10" fontId="1" fillId="0" borderId="0" xfId="0" applyNumberFormat="1" applyFont="1" applyAlignment="1">
      <alignment horizontal="center"/>
    </xf>
    <xf numFmtId="10" fontId="1" fillId="0" borderId="5" xfId="0" applyNumberFormat="1" applyFont="1" applyBorder="1" applyAlignment="1">
      <alignment horizontal="center"/>
    </xf>
    <xf numFmtId="10" fontId="19" fillId="0" borderId="4" xfId="0" applyNumberFormat="1" applyFont="1" applyBorder="1" applyAlignment="1">
      <alignment horizontal="center"/>
    </xf>
    <xf numFmtId="10" fontId="19" fillId="0" borderId="0" xfId="0" applyNumberFormat="1" applyFont="1" applyAlignment="1">
      <alignment horizontal="center"/>
    </xf>
    <xf numFmtId="10" fontId="19" fillId="0" borderId="5" xfId="0" applyNumberFormat="1"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0" fontId="0" fillId="0" borderId="6" xfId="0" applyNumberFormat="1" applyBorder="1" applyAlignment="1">
      <alignment horizontal="left" vertical="top" wrapText="1"/>
    </xf>
    <xf numFmtId="10" fontId="0" fillId="0" borderId="7" xfId="0" applyNumberFormat="1" applyBorder="1" applyAlignment="1">
      <alignment horizontal="left" vertical="top" wrapText="1"/>
    </xf>
    <xf numFmtId="10" fontId="0" fillId="0" borderId="8" xfId="0" applyNumberFormat="1" applyBorder="1" applyAlignment="1">
      <alignment horizontal="left" vertical="top" wrapText="1"/>
    </xf>
    <xf numFmtId="10" fontId="0" fillId="0" borderId="0" xfId="1" applyNumberFormat="1" applyFont="1" applyAlignment="1">
      <alignment horizontal="left" vertical="top" wrapText="1"/>
    </xf>
    <xf numFmtId="0" fontId="0" fillId="0" borderId="0" xfId="0" quotePrefix="1" applyAlignment="1">
      <alignment horizontal="left" vertical="top" wrapTex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0" fontId="3" fillId="0" borderId="0" xfId="0" applyFont="1" applyAlignment="1">
      <alignment vertical="center"/>
    </xf>
    <xf numFmtId="0" fontId="1" fillId="0" borderId="0" xfId="0" applyFont="1" applyAlignment="1">
      <alignment wrapText="1"/>
    </xf>
    <xf numFmtId="0" fontId="1" fillId="0" borderId="0" xfId="0" applyFont="1" applyAlignment="1">
      <alignment horizontal="center" wrapText="1"/>
    </xf>
    <xf numFmtId="16" fontId="1" fillId="0" borderId="0" xfId="0" applyNumberFormat="1" applyFont="1"/>
    <xf numFmtId="0" fontId="15" fillId="0" borderId="0" xfId="0" applyFont="1"/>
    <xf numFmtId="0" fontId="3" fillId="0" borderId="0" xfId="0" applyFont="1" applyAlignment="1">
      <alignment horizontal="left" vertical="center"/>
    </xf>
    <xf numFmtId="0" fontId="20" fillId="0" borderId="0" xfId="0" applyFont="1" applyAlignment="1">
      <alignment horizontal="right"/>
    </xf>
    <xf numFmtId="0" fontId="1" fillId="2" borderId="10" xfId="0" applyFont="1" applyFill="1" applyBorder="1" applyAlignment="1">
      <alignment horizontal="center" wrapText="1"/>
    </xf>
    <xf numFmtId="167" fontId="0" fillId="0" borderId="10" xfId="0" applyNumberFormat="1" applyBorder="1" applyAlignment="1">
      <alignment horizontal="center"/>
    </xf>
    <xf numFmtId="0" fontId="0" fillId="0" borderId="11" xfId="0" applyBorder="1" applyAlignment="1">
      <alignment horizontal="center"/>
    </xf>
    <xf numFmtId="0" fontId="21" fillId="0" borderId="0" xfId="0" applyFont="1"/>
    <xf numFmtId="0" fontId="10" fillId="3" borderId="25" xfId="0" quotePrefix="1" applyFont="1" applyFill="1" applyBorder="1" applyAlignment="1">
      <alignment horizontal="center" vertical="center" wrapText="1"/>
    </xf>
    <xf numFmtId="164" fontId="0" fillId="0" borderId="1" xfId="0" applyNumberFormat="1" applyBorder="1" applyAlignment="1">
      <alignment horizontal="center"/>
    </xf>
    <xf numFmtId="164" fontId="0" fillId="0" borderId="6" xfId="0" applyNumberFormat="1" applyBorder="1" applyAlignment="1">
      <alignment horizontal="center"/>
    </xf>
    <xf numFmtId="3" fontId="0" fillId="0" borderId="0" xfId="0" applyNumberFormat="1"/>
    <xf numFmtId="168" fontId="0" fillId="0" borderId="0" xfId="0" applyNumberFormat="1"/>
    <xf numFmtId="3" fontId="0" fillId="0" borderId="1" xfId="0" applyNumberFormat="1" applyBorder="1" applyAlignment="1">
      <alignment horizontal="center"/>
    </xf>
    <xf numFmtId="164" fontId="21" fillId="0" borderId="4" xfId="0" applyNumberFormat="1" applyFont="1" applyBorder="1" applyAlignment="1">
      <alignment horizontal="center"/>
    </xf>
    <xf numFmtId="0" fontId="0" fillId="0" borderId="27" xfId="0" applyBorder="1"/>
    <xf numFmtId="0" fontId="0" fillId="0" borderId="28" xfId="0" applyBorder="1"/>
    <xf numFmtId="0" fontId="0" fillId="0" borderId="29" xfId="0" applyBorder="1"/>
    <xf numFmtId="0" fontId="0" fillId="0" borderId="18" xfId="0" applyBorder="1"/>
    <xf numFmtId="0" fontId="0" fillId="0" borderId="19" xfId="0" applyBorder="1"/>
    <xf numFmtId="0" fontId="0" fillId="0" borderId="20" xfId="0" applyBorder="1"/>
    <xf numFmtId="0" fontId="0" fillId="0" borderId="16" xfId="0" applyBorder="1"/>
    <xf numFmtId="0" fontId="0" fillId="0" borderId="17" xfId="0" applyBorder="1"/>
    <xf numFmtId="0" fontId="0" fillId="0" borderId="21" xfId="0" applyBorder="1"/>
    <xf numFmtId="49" fontId="0" fillId="0" borderId="0" xfId="0" applyNumberFormat="1"/>
    <xf numFmtId="0" fontId="0" fillId="0" borderId="0" xfId="0" applyAlignment="1">
      <alignment horizontal="left"/>
    </xf>
    <xf numFmtId="0" fontId="0" fillId="0" borderId="7" xfId="0" applyBorder="1" applyAlignment="1">
      <alignment horizontal="center"/>
    </xf>
    <xf numFmtId="0" fontId="0" fillId="0" borderId="2" xfId="0" applyBorder="1"/>
    <xf numFmtId="0" fontId="0" fillId="0" borderId="3" xfId="0" applyBorder="1"/>
    <xf numFmtId="0" fontId="0" fillId="0" borderId="5" xfId="0" applyBorder="1"/>
    <xf numFmtId="0" fontId="0" fillId="0" borderId="8"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4" xfId="0" applyBorder="1" applyAlignment="1">
      <alignment horizontal="center"/>
    </xf>
    <xf numFmtId="0" fontId="0" fillId="0" borderId="6" xfId="0" applyBorder="1" applyAlignment="1">
      <alignment horizontal="center"/>
    </xf>
    <xf numFmtId="0" fontId="1" fillId="2" borderId="2" xfId="0" applyFont="1" applyFill="1" applyBorder="1" applyAlignment="1">
      <alignment horizontal="right"/>
    </xf>
    <xf numFmtId="0" fontId="1" fillId="2" borderId="3" xfId="0" applyFont="1" applyFill="1" applyBorder="1" applyAlignment="1">
      <alignment horizontal="right" wrapText="1"/>
    </xf>
    <xf numFmtId="9" fontId="0" fillId="0" borderId="0" xfId="1" applyFont="1" applyBorder="1"/>
    <xf numFmtId="9" fontId="0" fillId="0" borderId="3" xfId="1" applyFont="1" applyBorder="1"/>
    <xf numFmtId="9" fontId="0" fillId="0" borderId="5" xfId="1" applyFont="1" applyBorder="1"/>
    <xf numFmtId="9" fontId="0" fillId="0" borderId="8" xfId="1" applyFont="1" applyBorder="1"/>
    <xf numFmtId="0" fontId="0" fillId="2" borderId="0" xfId="0" applyFill="1"/>
    <xf numFmtId="9" fontId="0" fillId="0" borderId="12" xfId="0" applyNumberFormat="1" applyBorder="1" applyAlignment="1">
      <alignment horizontal="center"/>
    </xf>
    <xf numFmtId="3" fontId="0" fillId="5" borderId="1" xfId="0" applyNumberForma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3" fillId="4" borderId="0" xfId="0" applyFont="1" applyFill="1" applyAlignment="1">
      <alignment vertical="center"/>
    </xf>
    <xf numFmtId="0" fontId="0" fillId="4" borderId="0" xfId="0" applyFill="1"/>
    <xf numFmtId="0" fontId="3" fillId="4" borderId="0" xfId="0" applyFont="1" applyFill="1" applyAlignment="1">
      <alignment horizontal="left" vertical="center"/>
    </xf>
    <xf numFmtId="0" fontId="1" fillId="4" borderId="7" xfId="0" applyFont="1" applyFill="1" applyBorder="1" applyAlignment="1">
      <alignment wrapText="1"/>
    </xf>
    <xf numFmtId="0" fontId="1" fillId="4" borderId="10" xfId="0" applyFont="1" applyFill="1" applyBorder="1" applyAlignment="1">
      <alignment horizontal="center" wrapText="1"/>
    </xf>
    <xf numFmtId="0" fontId="1" fillId="4" borderId="11" xfId="0" applyFont="1" applyFill="1" applyBorder="1" applyAlignment="1">
      <alignment horizontal="center" wrapText="1"/>
    </xf>
    <xf numFmtId="0" fontId="1" fillId="4" borderId="12" xfId="0" applyFont="1" applyFill="1" applyBorder="1" applyAlignment="1">
      <alignment horizontal="center" wrapText="1"/>
    </xf>
    <xf numFmtId="0" fontId="1" fillId="4" borderId="8" xfId="0" applyFont="1" applyFill="1" applyBorder="1" applyAlignment="1">
      <alignment wrapText="1"/>
    </xf>
    <xf numFmtId="0" fontId="1" fillId="4" borderId="15" xfId="0" applyFont="1" applyFill="1" applyBorder="1"/>
    <xf numFmtId="164" fontId="0" fillId="4" borderId="1" xfId="0" applyNumberFormat="1" applyFill="1" applyBorder="1" applyAlignment="1">
      <alignment horizontal="center"/>
    </xf>
    <xf numFmtId="164" fontId="21" fillId="4" borderId="2" xfId="0" applyNumberFormat="1" applyFont="1" applyFill="1" applyBorder="1" applyAlignment="1">
      <alignment horizontal="center"/>
    </xf>
    <xf numFmtId="164" fontId="0" fillId="4" borderId="2" xfId="0" applyNumberFormat="1" applyFill="1" applyBorder="1" applyAlignment="1">
      <alignment horizontal="center"/>
    </xf>
    <xf numFmtId="164" fontId="0" fillId="4" borderId="3" xfId="0" applyNumberFormat="1" applyFill="1" applyBorder="1" applyAlignment="1">
      <alignment horizontal="center"/>
    </xf>
    <xf numFmtId="0" fontId="1" fillId="4" borderId="13" xfId="0" applyFont="1" applyFill="1" applyBorder="1"/>
    <xf numFmtId="16" fontId="1" fillId="4" borderId="13" xfId="0" applyNumberFormat="1" applyFont="1" applyFill="1" applyBorder="1"/>
    <xf numFmtId="164" fontId="0" fillId="4" borderId="4" xfId="0" applyNumberFormat="1" applyFill="1" applyBorder="1" applyAlignment="1">
      <alignment horizontal="center"/>
    </xf>
    <xf numFmtId="164" fontId="21" fillId="4" borderId="0" xfId="0" applyNumberFormat="1" applyFont="1" applyFill="1" applyAlignment="1">
      <alignment horizontal="center"/>
    </xf>
    <xf numFmtId="164" fontId="0" fillId="4" borderId="0" xfId="0" applyNumberFormat="1" applyFill="1" applyAlignment="1">
      <alignment horizontal="center"/>
    </xf>
    <xf numFmtId="164" fontId="0" fillId="4" borderId="5" xfId="0" applyNumberFormat="1" applyFill="1" applyBorder="1" applyAlignment="1">
      <alignment horizontal="center"/>
    </xf>
    <xf numFmtId="0" fontId="1" fillId="4" borderId="14" xfId="0" applyFont="1" applyFill="1" applyBorder="1"/>
    <xf numFmtId="164" fontId="0" fillId="4" borderId="6" xfId="0" applyNumberFormat="1" applyFill="1" applyBorder="1" applyAlignment="1">
      <alignment horizontal="center"/>
    </xf>
    <xf numFmtId="164" fontId="0" fillId="4" borderId="7" xfId="0" applyNumberFormat="1" applyFill="1" applyBorder="1" applyAlignment="1">
      <alignment horizontal="center"/>
    </xf>
    <xf numFmtId="164" fontId="0" fillId="4" borderId="8" xfId="0" applyNumberFormat="1" applyFill="1" applyBorder="1" applyAlignment="1">
      <alignment horizontal="center"/>
    </xf>
    <xf numFmtId="0" fontId="15" fillId="4" borderId="10" xfId="0" applyFont="1" applyFill="1" applyBorder="1"/>
    <xf numFmtId="164" fontId="0" fillId="4" borderId="10" xfId="0" applyNumberFormat="1" applyFill="1" applyBorder="1" applyAlignment="1">
      <alignment horizontal="center"/>
    </xf>
    <xf numFmtId="164" fontId="0" fillId="4" borderId="11" xfId="0" applyNumberFormat="1" applyFill="1" applyBorder="1" applyAlignment="1">
      <alignment horizontal="center"/>
    </xf>
    <xf numFmtId="164" fontId="0" fillId="4" borderId="12" xfId="0" applyNumberFormat="1" applyFill="1" applyBorder="1" applyAlignment="1">
      <alignment horizontal="center"/>
    </xf>
    <xf numFmtId="0" fontId="15" fillId="4" borderId="9" xfId="0" applyFont="1" applyFill="1" applyBorder="1"/>
    <xf numFmtId="0" fontId="6" fillId="4" borderId="0" xfId="0" applyFont="1" applyFill="1"/>
    <xf numFmtId="0" fontId="1" fillId="2" borderId="1" xfId="0" applyFont="1" applyFill="1" applyBorder="1" applyAlignment="1">
      <alignment horizontal="center"/>
    </xf>
    <xf numFmtId="0" fontId="1" fillId="2" borderId="2" xfId="0" applyFont="1" applyFill="1" applyBorder="1" applyAlignment="1">
      <alignment horizontal="center"/>
    </xf>
    <xf numFmtId="166" fontId="0" fillId="0" borderId="0" xfId="4" applyNumberFormat="1" applyFont="1"/>
    <xf numFmtId="17" fontId="3" fillId="0" borderId="0" xfId="0" quotePrefix="1" applyNumberFormat="1" applyFont="1"/>
    <xf numFmtId="10" fontId="0" fillId="0" borderId="7" xfId="0" applyNumberFormat="1" applyBorder="1" applyAlignment="1">
      <alignment horizontal="center"/>
    </xf>
    <xf numFmtId="10" fontId="0" fillId="0" borderId="7" xfId="1" applyNumberFormat="1" applyFont="1" applyBorder="1" applyAlignment="1">
      <alignment horizontal="center"/>
    </xf>
    <xf numFmtId="10" fontId="0" fillId="0" borderId="8" xfId="0" applyNumberFormat="1" applyBorder="1" applyAlignment="1">
      <alignment horizontal="center"/>
    </xf>
    <xf numFmtId="0" fontId="1" fillId="0" borderId="0" xfId="0" applyFont="1" applyAlignment="1">
      <alignment horizontal="right" wrapText="1"/>
    </xf>
    <xf numFmtId="0" fontId="1" fillId="2" borderId="0" xfId="0" applyFont="1" applyFill="1"/>
    <xf numFmtId="10" fontId="0" fillId="0" borderId="6" xfId="0" applyNumberFormat="1" applyBorder="1" applyAlignment="1">
      <alignment horizontal="center"/>
    </xf>
    <xf numFmtId="9" fontId="2" fillId="0" borderId="0" xfId="1" applyFont="1" applyFill="1"/>
    <xf numFmtId="0" fontId="0" fillId="2" borderId="10" xfId="0" applyFill="1" applyBorder="1"/>
    <xf numFmtId="0" fontId="0" fillId="2" borderId="11" xfId="0" applyFill="1" applyBorder="1"/>
    <xf numFmtId="0" fontId="0" fillId="2" borderId="12" xfId="0" applyFill="1" applyBorder="1"/>
    <xf numFmtId="9" fontId="0" fillId="0" borderId="10" xfId="0" applyNumberFormat="1" applyBorder="1" applyAlignment="1">
      <alignment horizontal="center"/>
    </xf>
    <xf numFmtId="166" fontId="0" fillId="0" borderId="4" xfId="4" applyNumberFormat="1" applyFont="1" applyFill="1" applyBorder="1"/>
    <xf numFmtId="0" fontId="0" fillId="0" borderId="6" xfId="0" applyBorder="1"/>
    <xf numFmtId="0" fontId="0" fillId="6" borderId="7" xfId="0" applyFill="1" applyBorder="1"/>
    <xf numFmtId="49" fontId="0" fillId="6" borderId="7" xfId="0" applyNumberFormat="1" applyFill="1" applyBorder="1"/>
    <xf numFmtId="14" fontId="0" fillId="6" borderId="7" xfId="0" applyNumberFormat="1" applyFill="1" applyBorder="1"/>
    <xf numFmtId="166" fontId="0" fillId="0" borderId="0" xfId="4" applyNumberFormat="1" applyFont="1" applyBorder="1"/>
    <xf numFmtId="0" fontId="0" fillId="0" borderId="7" xfId="0" applyBorder="1" applyAlignment="1">
      <alignment horizontal="right"/>
    </xf>
    <xf numFmtId="9" fontId="0" fillId="0" borderId="0" xfId="0" applyNumberFormat="1"/>
    <xf numFmtId="164" fontId="0" fillId="0" borderId="0" xfId="0" applyNumberFormat="1"/>
    <xf numFmtId="9" fontId="0" fillId="0" borderId="31" xfId="0" applyNumberFormat="1" applyBorder="1"/>
    <xf numFmtId="9" fontId="0" fillId="0" borderId="32" xfId="0" applyNumberFormat="1" applyBorder="1"/>
    <xf numFmtId="0" fontId="13" fillId="4" borderId="28" xfId="0" applyFont="1" applyFill="1" applyBorder="1" applyAlignment="1">
      <alignment horizontal="left" vertical="center" wrapText="1"/>
    </xf>
    <xf numFmtId="9" fontId="2" fillId="7" borderId="0" xfId="1" applyFont="1" applyFill="1"/>
    <xf numFmtId="0" fontId="0" fillId="8" borderId="0" xfId="0" applyFill="1"/>
    <xf numFmtId="3" fontId="0" fillId="8" borderId="0" xfId="0" applyNumberFormat="1" applyFill="1"/>
    <xf numFmtId="0" fontId="0" fillId="9" borderId="0" xfId="0" applyFill="1"/>
    <xf numFmtId="164" fontId="0" fillId="10" borderId="0" xfId="0" applyNumberFormat="1" applyFill="1"/>
    <xf numFmtId="0" fontId="0" fillId="11" borderId="0" xfId="0" applyFill="1"/>
    <xf numFmtId="0" fontId="0" fillId="0" borderId="0" xfId="0" applyAlignment="1">
      <alignment horizontal="left" wrapText="1"/>
    </xf>
    <xf numFmtId="0" fontId="0" fillId="0" borderId="0" xfId="0" quotePrefix="1"/>
    <xf numFmtId="0" fontId="0" fillId="0" borderId="11" xfId="0" applyBorder="1" applyAlignment="1">
      <alignment horizontal="left" wrapText="1"/>
    </xf>
    <xf numFmtId="0" fontId="0" fillId="0" borderId="12" xfId="0" applyBorder="1" applyAlignment="1">
      <alignment horizontal="left" wrapText="1"/>
    </xf>
    <xf numFmtId="17" fontId="3" fillId="0" borderId="0" xfId="0" quotePrefix="1" applyNumberFormat="1" applyFont="1" applyAlignment="1">
      <alignment horizontal="center"/>
    </xf>
    <xf numFmtId="0" fontId="6" fillId="0" borderId="2" xfId="0" applyFont="1" applyBorder="1" applyAlignment="1">
      <alignment horizontal="left" wrapText="1"/>
    </xf>
    <xf numFmtId="0" fontId="6" fillId="0" borderId="0" xfId="0" applyFont="1" applyAlignment="1">
      <alignment horizontal="left" wrapText="1"/>
    </xf>
    <xf numFmtId="0" fontId="3" fillId="0" borderId="0" xfId="0" applyFont="1" applyAlignment="1">
      <alignment horizontal="left" vertical="center"/>
    </xf>
    <xf numFmtId="0" fontId="18" fillId="2" borderId="0" xfId="0" applyFont="1" applyFill="1" applyAlignment="1">
      <alignment horizontal="center" vertical="center" wrapText="1"/>
    </xf>
    <xf numFmtId="17" fontId="16" fillId="2" borderId="1" xfId="0" quotePrefix="1" applyNumberFormat="1" applyFont="1" applyFill="1" applyBorder="1" applyAlignment="1">
      <alignment horizontal="center" vertical="center"/>
    </xf>
    <xf numFmtId="17" fontId="16" fillId="2" borderId="2" xfId="0" quotePrefix="1" applyNumberFormat="1" applyFont="1" applyFill="1" applyBorder="1" applyAlignment="1">
      <alignment horizontal="center" vertical="center"/>
    </xf>
    <xf numFmtId="17" fontId="16" fillId="2" borderId="3" xfId="0" quotePrefix="1" applyNumberFormat="1" applyFont="1" applyFill="1" applyBorder="1" applyAlignment="1">
      <alignment horizontal="center" vertical="center"/>
    </xf>
    <xf numFmtId="0" fontId="1" fillId="0" borderId="0" xfId="0" applyFont="1" applyAlignment="1">
      <alignment horizontal="left" wrapText="1"/>
    </xf>
    <xf numFmtId="0" fontId="1" fillId="0" borderId="7" xfId="0" applyFont="1" applyBorder="1" applyAlignment="1">
      <alignment horizontal="left" wrapText="1"/>
    </xf>
    <xf numFmtId="0" fontId="17" fillId="0" borderId="0" xfId="0" applyFont="1" applyAlignment="1">
      <alignment horizontal="center"/>
    </xf>
    <xf numFmtId="17" fontId="3" fillId="0" borderId="7" xfId="0" quotePrefix="1" applyNumberFormat="1" applyFont="1" applyBorder="1" applyAlignment="1">
      <alignment horizontal="center" shrinkToFi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0" fontId="1" fillId="2" borderId="10" xfId="0" applyFont="1" applyFill="1" applyBorder="1" applyAlignment="1">
      <alignment horizontal="center" wrapText="1"/>
    </xf>
    <xf numFmtId="165" fontId="0" fillId="0" borderId="1" xfId="1" applyNumberFormat="1" applyFont="1" applyBorder="1" applyAlignment="1">
      <alignment horizontal="center"/>
    </xf>
    <xf numFmtId="165" fontId="0" fillId="0" borderId="3" xfId="1" applyNumberFormat="1" applyFont="1" applyBorder="1" applyAlignment="1">
      <alignment horizontal="center"/>
    </xf>
    <xf numFmtId="165" fontId="0" fillId="0" borderId="6" xfId="1" applyNumberFormat="1" applyFont="1" applyBorder="1" applyAlignment="1">
      <alignment horizontal="center"/>
    </xf>
    <xf numFmtId="165" fontId="0" fillId="0" borderId="8" xfId="1" applyNumberFormat="1" applyFont="1" applyBorder="1" applyAlignment="1">
      <alignment horizontal="center"/>
    </xf>
    <xf numFmtId="0" fontId="10" fillId="0" borderId="0" xfId="0" applyFont="1" applyAlignment="1">
      <alignment horizont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0" fillId="0" borderId="0" xfId="0" applyAlignment="1">
      <alignment horizontal="center" vertical="top" wrapText="1"/>
    </xf>
    <xf numFmtId="0" fontId="0" fillId="0" borderId="0" xfId="0" applyAlignment="1">
      <alignment horizontal="left" wrapText="1"/>
    </xf>
    <xf numFmtId="0" fontId="0" fillId="0" borderId="0" xfId="0" applyAlignment="1">
      <alignment horizontal="left"/>
    </xf>
    <xf numFmtId="0" fontId="22" fillId="0" borderId="0" xfId="5" applyAlignment="1">
      <alignment horizontal="left"/>
    </xf>
    <xf numFmtId="0" fontId="0" fillId="0" borderId="0" xfId="0"/>
    <xf numFmtId="0" fontId="22" fillId="0" borderId="0" xfId="5" applyFill="1"/>
    <xf numFmtId="17" fontId="3" fillId="0" borderId="0" xfId="0" quotePrefix="1" applyNumberFormat="1" applyFont="1" applyAlignment="1">
      <alignment horizontal="center" shrinkToFit="1"/>
    </xf>
    <xf numFmtId="0" fontId="1" fillId="2" borderId="2" xfId="0" applyFont="1" applyFill="1" applyBorder="1" applyAlignment="1">
      <alignment horizontal="center"/>
    </xf>
    <xf numFmtId="0" fontId="1" fillId="0" borderId="7" xfId="0" applyFont="1" applyBorder="1" applyAlignment="1">
      <alignment horizontal="center"/>
    </xf>
    <xf numFmtId="0" fontId="3" fillId="0" borderId="7" xfId="0" applyFont="1" applyBorder="1" applyAlignment="1">
      <alignment horizontal="center"/>
    </xf>
    <xf numFmtId="0" fontId="0" fillId="0" borderId="0" xfId="0" applyAlignment="1">
      <alignment horizontal="center" textRotation="90"/>
    </xf>
    <xf numFmtId="166" fontId="0" fillId="0" borderId="0" xfId="4" applyNumberFormat="1" applyFont="1" applyBorder="1" applyAlignment="1">
      <alignment horizontal="center"/>
    </xf>
    <xf numFmtId="166" fontId="0" fillId="0" borderId="5" xfId="4" applyNumberFormat="1" applyFont="1" applyBorder="1" applyAlignment="1">
      <alignment horizontal="center"/>
    </xf>
    <xf numFmtId="0" fontId="1" fillId="2" borderId="3" xfId="0" applyFont="1" applyFill="1" applyBorder="1" applyAlignment="1">
      <alignment horizontal="center"/>
    </xf>
    <xf numFmtId="0" fontId="0" fillId="0" borderId="7" xfId="0" applyBorder="1" applyAlignment="1">
      <alignment horizontal="right"/>
    </xf>
    <xf numFmtId="0" fontId="0" fillId="0" borderId="8" xfId="0" applyBorder="1" applyAlignment="1">
      <alignment horizontal="right"/>
    </xf>
    <xf numFmtId="17" fontId="3" fillId="0" borderId="7" xfId="0" quotePrefix="1" applyNumberFormat="1" applyFont="1" applyBorder="1" applyAlignment="1">
      <alignment horizontal="center"/>
    </xf>
    <xf numFmtId="0" fontId="0" fillId="12" borderId="0" xfId="0" applyFill="1" applyAlignment="1">
      <alignment horizontal="center" wrapText="1"/>
    </xf>
  </cellXfs>
  <cellStyles count="6">
    <cellStyle name="Comma" xfId="4" builtinId="3"/>
    <cellStyle name="Currency" xfId="2" builtinId="4"/>
    <cellStyle name="Hyperlink" xfId="5" builtinId="8"/>
    <cellStyle name="Normal" xfId="0" builtinId="0"/>
    <cellStyle name="Normal 2 8" xfId="3" xr:uid="{00000000-0005-0000-0000-000004000000}"/>
    <cellStyle name="Percent" xfId="1" builtinId="5"/>
  </cellStyles>
  <dxfs count="6">
    <dxf>
      <fill>
        <patternFill>
          <bgColor rgb="FF009193"/>
        </patternFill>
      </fill>
    </dxf>
    <dxf>
      <fill>
        <patternFill>
          <bgColor rgb="FFFF85FF"/>
        </patternFill>
      </fill>
    </dxf>
    <dxf>
      <fill>
        <patternFill>
          <bgColor rgb="FFFF0000"/>
        </patternFill>
      </fill>
    </dxf>
    <dxf>
      <fill>
        <patternFill>
          <bgColor rgb="FF00B0F0"/>
        </patternFill>
      </fill>
    </dxf>
    <dxf>
      <fill>
        <patternFill>
          <bgColor rgb="FFFFC000"/>
        </patternFill>
      </fill>
    </dxf>
    <dxf>
      <fill>
        <patternFill>
          <bgColor rgb="FF92D050"/>
        </patternFill>
      </fill>
    </dxf>
  </dxfs>
  <tableStyles count="0" defaultTableStyle="TableStyleMedium2" defaultPivotStyle="PivotStyleLight16"/>
  <colors>
    <mruColors>
      <color rgb="FF009193"/>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 of Headway Times &lt; Target**</a:t>
            </a:r>
            <a:br>
              <a:rPr lang="en-US" baseline="0">
                <a:solidFill>
                  <a:schemeClr val="tx1"/>
                </a:solidFill>
              </a:rPr>
            </a:br>
            <a:r>
              <a:rPr lang="en-US" sz="1000" baseline="0">
                <a:solidFill>
                  <a:schemeClr val="tx1"/>
                </a:solidFill>
              </a:rPr>
              <a:t>Calendar 2025</a:t>
            </a:r>
          </a:p>
        </c:rich>
      </c:tx>
      <c:layout>
        <c:manualLayout>
          <c:xMode val="edge"/>
          <c:yMode val="edge"/>
          <c:x val="0.19856637987252035"/>
          <c:y val="2.3211022384250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153485705871217"/>
          <c:y val="0.26410608275871322"/>
          <c:w val="0.86173059932263285"/>
          <c:h val="0.58384533485544654"/>
        </c:manualLayout>
      </c:layout>
      <c:barChart>
        <c:barDir val="col"/>
        <c:grouping val="clustered"/>
        <c:varyColors val="0"/>
        <c:ser>
          <c:idx val="0"/>
          <c:order val="0"/>
          <c:spPr>
            <a:solidFill>
              <a:schemeClr val="accent1"/>
            </a:solidFill>
            <a:ln>
              <a:noFill/>
            </a:ln>
            <a:effectLst/>
          </c:spPr>
          <c:invertIfNegative val="0"/>
          <c:dLbls>
            <c:dLbl>
              <c:idx val="5"/>
              <c:layout>
                <c:manualLayout>
                  <c:x val="3.3256215573597707E-3"/>
                  <c:y val="1.96629227979977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EC-4AF2-959D-D706FA480BFA}"/>
                </c:ext>
              </c:extLst>
            </c:dLbl>
            <c:dLbl>
              <c:idx val="6"/>
              <c:layout>
                <c:manualLayout>
                  <c:x val="6.6512431147195414E-3"/>
                  <c:y val="3.93258455959955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EC-4AF2-959D-D706FA480BFA}"/>
                </c:ext>
              </c:extLst>
            </c:dLbl>
            <c:dLbl>
              <c:idx val="7"/>
              <c:layout>
                <c:manualLayout>
                  <c:x val="0"/>
                  <c:y val="5.2434460794660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EC-4AF2-959D-D706FA480BFA}"/>
                </c:ext>
              </c:extLst>
            </c:dLbl>
            <c:dLbl>
              <c:idx val="8"/>
              <c:layout>
                <c:manualLayout>
                  <c:x val="-1.2193804846445034E-16"/>
                  <c:y val="3.27715379966629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EC-4AF2-959D-D706FA480BFA}"/>
                </c:ext>
              </c:extLst>
            </c:dLbl>
            <c:dLbl>
              <c:idx val="9"/>
              <c:layout>
                <c:manualLayout>
                  <c:x val="6.6512431147195414E-3"/>
                  <c:y val="3.2771537996662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EC-4AF2-959D-D706FA480B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Calculations!$B$14:$M$14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Calculations!$B$15:$M$15</c:f>
              <c:numCache>
                <c:formatCode>0%</c:formatCode>
                <c:ptCount val="12"/>
              </c:numCache>
            </c:numRef>
          </c:val>
          <c:extLst>
            <c:ext xmlns:c16="http://schemas.microsoft.com/office/drawing/2014/chart" uri="{C3380CC4-5D6E-409C-BE32-E72D297353CC}">
              <c16:uniqueId val="{00000000-77F4-40A2-827B-31AC729DF4C7}"/>
            </c:ext>
          </c:extLst>
        </c:ser>
        <c:dLbls>
          <c:showLegendKey val="0"/>
          <c:showVal val="0"/>
          <c:showCatName val="0"/>
          <c:showSerName val="0"/>
          <c:showPercent val="0"/>
          <c:showBubbleSize val="0"/>
        </c:dLbls>
        <c:gapWidth val="219"/>
        <c:overlap val="-27"/>
        <c:axId val="96307456"/>
        <c:axId val="96317440"/>
      </c:barChart>
      <c:catAx>
        <c:axId val="9630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17440"/>
        <c:crosses val="autoZero"/>
        <c:auto val="1"/>
        <c:lblAlgn val="ctr"/>
        <c:lblOffset val="100"/>
        <c:noMultiLvlLbl val="0"/>
      </c:catAx>
      <c:valAx>
        <c:axId val="96317440"/>
        <c:scaling>
          <c:orientation val="minMax"/>
          <c:min val="0.5"/>
        </c:scaling>
        <c:delete val="0"/>
        <c:axPos val="l"/>
        <c:majorGridlines>
          <c:spPr>
            <a:ln w="952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07456"/>
        <c:crosses val="autoZero"/>
        <c:crossBetween val="between"/>
      </c:valAx>
      <c:spPr>
        <a:noFill/>
        <a:ln>
          <a:noFill/>
        </a:ln>
        <a:effectLst/>
      </c:spPr>
    </c:plotArea>
    <c:plotVisOnly val="1"/>
    <c:dispBlanksAs val="gap"/>
    <c:showDLblsOverMax val="0"/>
  </c:chart>
  <c:spPr>
    <a:solidFill>
      <a:schemeClr val="bg1">
        <a:lumMod val="95000"/>
      </a:schemeClr>
    </a:solidFill>
    <a:ln w="1905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 of Trips Overcapacity</a:t>
            </a:r>
            <a:br>
              <a:rPr lang="en-US" baseline="0">
                <a:solidFill>
                  <a:schemeClr val="tx1"/>
                </a:solidFill>
              </a:rPr>
            </a:br>
            <a:r>
              <a:rPr lang="en-US" sz="1000" baseline="0">
                <a:solidFill>
                  <a:schemeClr val="tx1"/>
                </a:solidFill>
              </a:rPr>
              <a:t>Calendar 2022</a:t>
            </a:r>
          </a:p>
        </c:rich>
      </c:tx>
      <c:layout>
        <c:manualLayout>
          <c:xMode val="edge"/>
          <c:yMode val="edge"/>
          <c:x val="0.26822409114850232"/>
          <c:y val="2.9780542372004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Calculations!$B$39:$M$39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Calculations!$B$40:$M$40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601-484C-8CD5-2A90EBF379BB}"/>
            </c:ext>
          </c:extLst>
        </c:ser>
        <c:dLbls>
          <c:showLegendKey val="0"/>
          <c:showVal val="0"/>
          <c:showCatName val="0"/>
          <c:showSerName val="0"/>
          <c:showPercent val="0"/>
          <c:showBubbleSize val="0"/>
        </c:dLbls>
        <c:gapWidth val="219"/>
        <c:overlap val="-27"/>
        <c:axId val="96800768"/>
        <c:axId val="96802304"/>
      </c:barChart>
      <c:catAx>
        <c:axId val="9680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802304"/>
        <c:crosses val="autoZero"/>
        <c:auto val="1"/>
        <c:lblAlgn val="ctr"/>
        <c:lblOffset val="100"/>
        <c:noMultiLvlLbl val="0"/>
      </c:catAx>
      <c:valAx>
        <c:axId val="96802304"/>
        <c:scaling>
          <c:orientation val="minMax"/>
        </c:scaling>
        <c:delete val="0"/>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800768"/>
        <c:crosses val="autoZero"/>
        <c:crossBetween val="between"/>
      </c:valAx>
      <c:spPr>
        <a:noFill/>
        <a:ln>
          <a:noFill/>
        </a:ln>
        <a:effectLst/>
      </c:spPr>
    </c:plotArea>
    <c:plotVisOnly val="1"/>
    <c:dispBlanksAs val="gap"/>
    <c:showDLblsOverMax val="0"/>
  </c:chart>
  <c:spPr>
    <a:solidFill>
      <a:schemeClr val="bg1">
        <a:lumMod val="95000"/>
      </a:schemeClr>
    </a:solidFill>
    <a:ln w="1905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7</xdr:col>
      <xdr:colOff>3313</xdr:colOff>
      <xdr:row>4</xdr:row>
      <xdr:rowOff>19050</xdr:rowOff>
    </xdr:from>
    <xdr:to>
      <xdr:col>12</xdr:col>
      <xdr:colOff>697948</xdr:colOff>
      <xdr:row>12</xdr:row>
      <xdr:rowOff>4082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129988</xdr:colOff>
      <xdr:row>17</xdr:row>
      <xdr:rowOff>33618</xdr:rowOff>
    </xdr:from>
    <xdr:to>
      <xdr:col>21</xdr:col>
      <xdr:colOff>285749</xdr:colOff>
      <xdr:row>27</xdr:row>
      <xdr:rowOff>28575</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33132</xdr:colOff>
      <xdr:row>0</xdr:row>
      <xdr:rowOff>33132</xdr:rowOff>
    </xdr:from>
    <xdr:to>
      <xdr:col>2</xdr:col>
      <xdr:colOff>515799</xdr:colOff>
      <xdr:row>0</xdr:row>
      <xdr:rowOff>263593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33132" y="33132"/>
          <a:ext cx="1581978" cy="23046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16223</xdr:colOff>
          <xdr:row>33</xdr:row>
          <xdr:rowOff>1</xdr:rowOff>
        </xdr:from>
        <xdr:to>
          <xdr:col>14</xdr:col>
          <xdr:colOff>0</xdr:colOff>
          <xdr:row>44</xdr:row>
          <xdr:rowOff>15240</xdr:rowOff>
        </xdr:to>
        <xdr:pic>
          <xdr:nvPicPr>
            <xdr:cNvPr id="6" name="Picture 5">
              <a:extLst>
                <a:ext uri="{FF2B5EF4-FFF2-40B4-BE49-F238E27FC236}">
                  <a16:creationId xmlns:a16="http://schemas.microsoft.com/office/drawing/2014/main" id="{BF7B921E-F165-4AD3-81DE-23F7165A8F53}"/>
                </a:ext>
              </a:extLst>
            </xdr:cNvPr>
            <xdr:cNvPicPr>
              <a:picLocks noChangeAspect="1" noChangeArrowheads="1"/>
              <a:extLst>
                <a:ext uri="{84589F7E-364E-4C9E-8A38-B11213B215E9}">
                  <a14:cameraTool cellRange="Calculations!O4:AQ14" spid="_x0000_s1867"/>
                </a:ext>
              </a:extLst>
            </xdr:cNvPicPr>
          </xdr:nvPicPr>
          <xdr:blipFill>
            <a:blip xmlns:r="http://schemas.openxmlformats.org/officeDocument/2006/relationships" r:embed="rId4"/>
            <a:srcRect/>
            <a:stretch>
              <a:fillRect/>
            </a:stretch>
          </xdr:blipFill>
          <xdr:spPr bwMode="auto">
            <a:xfrm>
              <a:off x="16223" y="7515226"/>
              <a:ext cx="8708677" cy="234314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ris.497\AppData\Local\Microsoft\Windows\Temporary%20Internet%20Files\Content.Outlook\XJOCMID5\HS%20Financial%203page%20FY13%20%20Master.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P-Admin/Balanced%20Scorecards/FOD/FOD%20Working%20Folder/Copy%20of%20FOD%20MASTER%20FY16%20v.2%20Practice%20File.xlsb" TargetMode="External"/><Relationship Id="rId1" Type="http://schemas.openxmlformats.org/officeDocument/2006/relationships/externalLinkPath" Target="/AP/AP-Admin/Balanced%20Scorecards/FOD/FOD%20Working%20Folder/Copy%20of%20FOD%20MASTER%20FY16%20v.2%20Practice%20File.xlsb"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P-Admin/Balanced%20Scorecards/TTM/TTM%20Working%20Folder/TTM_Scorecards_FY18_Master.xlsx" TargetMode="External"/><Relationship Id="rId1" Type="http://schemas.openxmlformats.org/officeDocument/2006/relationships/externalLinkPath" Target="/AP/AP-Admin/Balanced%20Scorecards/TTM/TTM%20Working%20Folder/TTM_Scorecards_FY18_Mast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AP-Admin/Balanced%20Scorecards/UniPrint/UniPrint%20Working%20Folder/UniPrint-Bal-Scorecard-MASTER-2.xlsx" TargetMode="External"/><Relationship Id="rId1" Type="http://schemas.openxmlformats.org/officeDocument/2006/relationships/externalLinkPath" Target="/AP-Admin/Balanced%20Scorecards/UniPrint/UniPrint%20Working%20Folder/UniPrint-Bal-Scorecard-MASTER-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bcd.it.osu.edu/Files/AP-Admin/Balanced%20Scorecards/UniPrint/UniPrint%20Working%20Folder/UniPrint-Bal-Scorecard-MASTER-2.xlsx" TargetMode="External"/><Relationship Id="rId1" Type="http://schemas.openxmlformats.org/officeDocument/2006/relationships/externalLinkPath" Target="/bcd.it.osu.edu/Files/AP-Admin/Balanced%20Scorecards/UniPrint/UniPrint%20Working%20Folder/UniPrint-Bal-Scorecard-MASTER-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AP-Admin/Balanced%20Scorecards/AP%20Rollup/A&amp;P%20Consolidated%20Scorecard%20MASTER.xlsm" TargetMode="External"/><Relationship Id="rId1" Type="http://schemas.openxmlformats.org/officeDocument/2006/relationships/externalLinkPath" Target="/AP-Admin/Balanced%20Scorecards/AP%20Rollup/A&amp;P%20Consolidated%20Scorecard%20MASTER.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bcd.it.osu.edu/Files/AP-Admin/Balanced%20Scorecards/AP%20Rollup/A&amp;P%20Consolidated%20Scorecard%20MASTER.xlsm" TargetMode="External"/><Relationship Id="rId1" Type="http://schemas.openxmlformats.org/officeDocument/2006/relationships/externalLinkPath" Target="/bcd.it.osu.edu/Files/AP-Admin/Balanced%20Scorecards/AP%20Rollup/A&amp;P%20Consolidated%20Scorecard%20MA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Admits &amp; Observes"/>
      <sheetName val="Targets Computation"/>
      <sheetName val="1 Activities and Ops Slide orig"/>
      <sheetName val="1 Activities and Ops Slide"/>
      <sheetName val="1 Activities and Ops Slide 2"/>
      <sheetName val="2 Cash Slide"/>
      <sheetName val="Cash Balances"/>
      <sheetName val="3 P&amp;L Slide"/>
      <sheetName val="4 Admission Slide"/>
      <sheetName val="5 Scorecard for Campus"/>
      <sheetName val="FY13 Scorecard Budget compare"/>
      <sheetName val="Scoring summary"/>
      <sheetName val="Paste Consol Stats Values"/>
      <sheetName val="Consol Admits by Svc"/>
      <sheetName val="Paste Consol Board P&amp;L"/>
      <sheetName val="Paste Consol Bal Sheet"/>
      <sheetName val="BALNCMB"/>
      <sheetName val="Paste MTD Board Consolidating"/>
      <sheetName val="Paste YTD Board Consolidating"/>
      <sheetName val="YTD Board Consolidating P&amp;L"/>
      <sheetName val="OFI FY13 actuals and budget"/>
      <sheetName val="Consol YE 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Z3" t="str">
            <v>2012-08-31</v>
          </cell>
        </row>
      </sheetData>
      <sheetData sheetId="14"/>
      <sheetData sheetId="15"/>
      <sheetData sheetId="16"/>
      <sheetData sheetId="17">
        <row r="4">
          <cell r="V4" t="str">
            <v>GLH140</v>
          </cell>
        </row>
        <row r="5">
          <cell r="V5" t="str">
            <v>CONSOL_OFI_RU</v>
          </cell>
        </row>
        <row r="6">
          <cell r="V6" t="str">
            <v>Consolidated OFI Rollup</v>
          </cell>
        </row>
        <row r="7">
          <cell r="V7" t="str">
            <v>2012-08-31</v>
          </cell>
        </row>
        <row r="9">
          <cell r="V9" t="str">
            <v>CONSOL_OFI_RU</v>
          </cell>
        </row>
      </sheetData>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vigation"/>
      <sheetName val="Financial Worksheet"/>
      <sheetName val="FinancialData"/>
      <sheetName val="DATA"/>
      <sheetName val="Consol Genl Funds"/>
      <sheetName val="Consol Earn Fund"/>
      <sheetName val="D3_WMC"/>
      <sheetName val="Ops rollup"/>
      <sheetName val="50691"/>
      <sheetName val="50692"/>
      <sheetName val="50677"/>
      <sheetName val="50694"/>
      <sheetName val="50693"/>
      <sheetName val="ESS"/>
      <sheetName val="FDC-Consol"/>
      <sheetName val="EHS"/>
      <sheetName val="Utility"/>
      <sheetName val="Definitions (Consol)"/>
      <sheetName val="Definitions (FDC)"/>
      <sheetName val="Definitions (OPS)"/>
      <sheetName val="Definitions (Util)"/>
      <sheetName val="Key Graphic"/>
      <sheetName val="sample calc"/>
    </sheetNames>
    <sheetDataSet>
      <sheetData sheetId="0"/>
      <sheetData sheetId="1"/>
      <sheetData sheetId="2">
        <row r="5">
          <cell r="I5" t="str">
            <v>FY14-Jul</v>
          </cell>
          <cell r="J5" t="str">
            <v>FY14-Aug</v>
          </cell>
          <cell r="K5" t="str">
            <v>FY14-Sept</v>
          </cell>
          <cell r="L5" t="str">
            <v>FY14-Oct</v>
          </cell>
          <cell r="M5" t="str">
            <v>FY14-Nov</v>
          </cell>
          <cell r="N5" t="str">
            <v>FY14-Dec</v>
          </cell>
          <cell r="O5" t="str">
            <v>FY14-Jan</v>
          </cell>
          <cell r="P5" t="str">
            <v>FY14-Feb</v>
          </cell>
          <cell r="Q5" t="str">
            <v>FY14-Mar</v>
          </cell>
          <cell r="R5" t="str">
            <v>FY14-Apr</v>
          </cell>
          <cell r="S5" t="str">
            <v>FY14-May</v>
          </cell>
          <cell r="T5" t="str">
            <v>FY14-Jun</v>
          </cell>
          <cell r="U5" t="str">
            <v>FY15-Jul</v>
          </cell>
          <cell r="V5" t="str">
            <v>FY15-Aug</v>
          </cell>
          <cell r="W5" t="str">
            <v>FY15-Sept</v>
          </cell>
          <cell r="X5" t="str">
            <v>FY15-Oct</v>
          </cell>
          <cell r="Y5" t="str">
            <v>FY15-Nov</v>
          </cell>
          <cell r="Z5" t="str">
            <v>FY15-Dec</v>
          </cell>
          <cell r="AA5" t="str">
            <v>FY15-Jan</v>
          </cell>
          <cell r="AB5" t="str">
            <v>FY15-Feb</v>
          </cell>
          <cell r="AC5" t="str">
            <v>FY15-Mar</v>
          </cell>
          <cell r="AD5" t="str">
            <v>FY15-Apr</v>
          </cell>
          <cell r="AE5" t="str">
            <v>FY15-May</v>
          </cell>
          <cell r="AF5" t="str">
            <v>FY15-Jun</v>
          </cell>
          <cell r="AG5" t="str">
            <v>FY16-Jul</v>
          </cell>
          <cell r="AH5" t="str">
            <v>FY16-Aug</v>
          </cell>
          <cell r="AI5" t="str">
            <v>FY16-Sep</v>
          </cell>
          <cell r="AJ5" t="str">
            <v>FY16-Oct</v>
          </cell>
          <cell r="AK5" t="str">
            <v>FY16-Nov</v>
          </cell>
          <cell r="AL5" t="str">
            <v>FY16-Dec</v>
          </cell>
          <cell r="AM5" t="str">
            <v>FY16-Jan</v>
          </cell>
          <cell r="AN5" t="str">
            <v>FY16-Feb</v>
          </cell>
          <cell r="AO5" t="str">
            <v>FY16-Mar</v>
          </cell>
          <cell r="AP5" t="str">
            <v>FY16-Apr</v>
          </cell>
          <cell r="AQ5" t="str">
            <v>FY16-May</v>
          </cell>
          <cell r="AR5" t="str">
            <v>FY16-June</v>
          </cell>
        </row>
        <row r="6">
          <cell r="G6" t="str">
            <v>LUNo</v>
          </cell>
          <cell r="H6" t="str">
            <v>MetricDetail</v>
          </cell>
          <cell r="I6">
            <v>201401</v>
          </cell>
          <cell r="J6">
            <v>201402</v>
          </cell>
          <cell r="K6">
            <v>201403</v>
          </cell>
          <cell r="L6">
            <v>201404</v>
          </cell>
          <cell r="M6">
            <v>201405</v>
          </cell>
          <cell r="N6">
            <v>201406</v>
          </cell>
          <cell r="O6">
            <v>201407</v>
          </cell>
          <cell r="P6">
            <v>201408</v>
          </cell>
          <cell r="Q6">
            <v>201409</v>
          </cell>
          <cell r="R6">
            <v>201410</v>
          </cell>
          <cell r="S6">
            <v>201411</v>
          </cell>
          <cell r="T6">
            <v>201412</v>
          </cell>
          <cell r="U6">
            <v>201501</v>
          </cell>
          <cell r="V6">
            <v>201502</v>
          </cell>
          <cell r="W6">
            <v>201503</v>
          </cell>
          <cell r="X6">
            <v>201504</v>
          </cell>
          <cell r="Y6">
            <v>201505</v>
          </cell>
          <cell r="Z6">
            <v>201506</v>
          </cell>
          <cell r="AA6">
            <v>201507</v>
          </cell>
          <cell r="AB6">
            <v>201508</v>
          </cell>
          <cell r="AC6">
            <v>201509</v>
          </cell>
          <cell r="AD6">
            <v>201510</v>
          </cell>
          <cell r="AE6">
            <v>201511</v>
          </cell>
          <cell r="AF6">
            <v>201512</v>
          </cell>
          <cell r="AG6">
            <v>201601</v>
          </cell>
          <cell r="AH6">
            <v>201602</v>
          </cell>
          <cell r="AI6">
            <v>201603</v>
          </cell>
          <cell r="AJ6">
            <v>201604</v>
          </cell>
          <cell r="AK6">
            <v>201605</v>
          </cell>
          <cell r="AL6">
            <v>201606</v>
          </cell>
          <cell r="AM6">
            <v>201607</v>
          </cell>
          <cell r="AN6">
            <v>201608</v>
          </cell>
          <cell r="AO6">
            <v>201609</v>
          </cell>
          <cell r="AP6">
            <v>201610</v>
          </cell>
          <cell r="AQ6">
            <v>201611</v>
          </cell>
          <cell r="AR6">
            <v>201612</v>
          </cell>
        </row>
        <row r="7">
          <cell r="G7">
            <v>1000</v>
          </cell>
          <cell r="H7" t="str">
            <v>Actual</v>
          </cell>
          <cell r="I7">
            <v>1205759</v>
          </cell>
          <cell r="J7">
            <v>1188303</v>
          </cell>
          <cell r="K7">
            <v>1174600</v>
          </cell>
          <cell r="L7">
            <v>1382645</v>
          </cell>
          <cell r="M7">
            <v>1640047</v>
          </cell>
          <cell r="N7">
            <v>1254095</v>
          </cell>
          <cell r="O7">
            <v>1229036</v>
          </cell>
          <cell r="P7">
            <v>1225166</v>
          </cell>
          <cell r="Q7">
            <v>1246469</v>
          </cell>
          <cell r="R7">
            <v>1259936</v>
          </cell>
          <cell r="S7">
            <v>1637343</v>
          </cell>
          <cell r="T7">
            <v>1225644</v>
          </cell>
          <cell r="U7">
            <v>1161253</v>
          </cell>
          <cell r="V7">
            <v>1446283</v>
          </cell>
          <cell r="W7">
            <v>952417</v>
          </cell>
          <cell r="X7">
            <v>1571239</v>
          </cell>
          <cell r="Y7">
            <v>1221060</v>
          </cell>
          <cell r="Z7">
            <v>1307281</v>
          </cell>
          <cell r="AA7">
            <v>1643067</v>
          </cell>
          <cell r="AB7">
            <v>732476.23</v>
          </cell>
          <cell r="AC7">
            <v>1243421</v>
          </cell>
          <cell r="AD7">
            <v>1558529</v>
          </cell>
          <cell r="AE7">
            <v>1282897</v>
          </cell>
          <cell r="AF7">
            <v>1145223</v>
          </cell>
          <cell r="AG7">
            <v>1155859</v>
          </cell>
          <cell r="AH7">
            <v>1093889</v>
          </cell>
          <cell r="AI7">
            <v>1082000</v>
          </cell>
          <cell r="AJ7">
            <v>1640105</v>
          </cell>
          <cell r="AK7">
            <v>1083073</v>
          </cell>
          <cell r="AL7">
            <v>1186417</v>
          </cell>
          <cell r="AM7">
            <v>1336445</v>
          </cell>
          <cell r="AN7">
            <v>957449.59</v>
          </cell>
        </row>
        <row r="8">
          <cell r="G8">
            <v>1001</v>
          </cell>
          <cell r="H8" t="str">
            <v>Target (Budget)</v>
          </cell>
          <cell r="I8">
            <v>1295387</v>
          </cell>
          <cell r="J8">
            <v>1244525</v>
          </cell>
          <cell r="K8">
            <v>1270904</v>
          </cell>
          <cell r="L8">
            <v>1337596</v>
          </cell>
          <cell r="M8">
            <v>1749218</v>
          </cell>
          <cell r="N8">
            <v>1264533</v>
          </cell>
          <cell r="O8">
            <v>1324243</v>
          </cell>
          <cell r="P8">
            <v>1240074</v>
          </cell>
          <cell r="Q8">
            <v>1298330</v>
          </cell>
          <cell r="R8">
            <v>1363311</v>
          </cell>
          <cell r="S8">
            <v>1726978</v>
          </cell>
          <cell r="T8">
            <v>1272999</v>
          </cell>
          <cell r="U8">
            <v>1130835</v>
          </cell>
          <cell r="V8">
            <v>1167098</v>
          </cell>
          <cell r="W8">
            <v>1228923</v>
          </cell>
          <cell r="X8">
            <v>1645532</v>
          </cell>
          <cell r="Y8">
            <v>1224271</v>
          </cell>
          <cell r="Z8">
            <v>1223713</v>
          </cell>
          <cell r="AA8">
            <v>1279393</v>
          </cell>
          <cell r="AB8">
            <v>1227725</v>
          </cell>
          <cell r="AC8">
            <v>1209415</v>
          </cell>
          <cell r="AD8">
            <v>1208341</v>
          </cell>
          <cell r="AE8">
            <v>1618504</v>
          </cell>
          <cell r="AF8">
            <v>1233351</v>
          </cell>
          <cell r="AG8">
            <v>1112662</v>
          </cell>
          <cell r="AH8">
            <v>1113569</v>
          </cell>
          <cell r="AI8">
            <v>1142370</v>
          </cell>
          <cell r="AJ8">
            <v>1487701</v>
          </cell>
          <cell r="AK8">
            <v>1114129</v>
          </cell>
          <cell r="AL8">
            <v>1120536</v>
          </cell>
          <cell r="AM8">
            <v>1109401</v>
          </cell>
          <cell r="AN8">
            <v>1111921.0099999998</v>
          </cell>
        </row>
        <row r="9">
          <cell r="G9">
            <v>1004</v>
          </cell>
          <cell r="H9" t="str">
            <v>YTD Actual</v>
          </cell>
          <cell r="I9">
            <v>1205759</v>
          </cell>
          <cell r="J9">
            <v>2394061</v>
          </cell>
          <cell r="K9">
            <v>3568662</v>
          </cell>
          <cell r="L9">
            <v>4951307</v>
          </cell>
          <cell r="M9">
            <v>6591354</v>
          </cell>
          <cell r="N9">
            <v>7845449</v>
          </cell>
          <cell r="O9">
            <v>9074485</v>
          </cell>
          <cell r="P9">
            <v>10299651</v>
          </cell>
          <cell r="Q9">
            <v>11546120</v>
          </cell>
          <cell r="R9">
            <v>12806056</v>
          </cell>
          <cell r="S9">
            <v>14443398</v>
          </cell>
          <cell r="T9">
            <v>15669042</v>
          </cell>
          <cell r="U9">
            <v>1161253</v>
          </cell>
          <cell r="V9">
            <v>2607536</v>
          </cell>
          <cell r="W9">
            <v>3559952</v>
          </cell>
          <cell r="X9">
            <v>5131191</v>
          </cell>
          <cell r="Y9">
            <v>6352251</v>
          </cell>
          <cell r="Z9">
            <v>7659532</v>
          </cell>
          <cell r="AA9">
            <v>9302600</v>
          </cell>
          <cell r="AB9">
            <v>10035087.109999999</v>
          </cell>
          <cell r="AC9">
            <v>11278497</v>
          </cell>
          <cell r="AD9">
            <v>12837026</v>
          </cell>
          <cell r="AE9">
            <v>14119924</v>
          </cell>
          <cell r="AF9">
            <v>15265158</v>
          </cell>
          <cell r="AG9">
            <v>1155859</v>
          </cell>
          <cell r="AH9">
            <v>2249749</v>
          </cell>
          <cell r="AI9">
            <v>3331748</v>
          </cell>
          <cell r="AJ9">
            <v>4971854</v>
          </cell>
          <cell r="AK9">
            <v>6054927</v>
          </cell>
          <cell r="AL9">
            <v>7241344</v>
          </cell>
          <cell r="AM9">
            <v>8577789</v>
          </cell>
          <cell r="AN9">
            <v>9535238.2499999981</v>
          </cell>
        </row>
        <row r="10">
          <cell r="G10">
            <v>1005</v>
          </cell>
          <cell r="H10" t="str">
            <v>YTD Target (Budget)</v>
          </cell>
          <cell r="I10">
            <v>1295387</v>
          </cell>
          <cell r="J10">
            <v>2444615</v>
          </cell>
          <cell r="K10">
            <v>3712458</v>
          </cell>
          <cell r="L10">
            <v>5050054</v>
          </cell>
          <cell r="M10">
            <v>6799272</v>
          </cell>
          <cell r="N10">
            <v>8063805</v>
          </cell>
          <cell r="O10">
            <v>9388048</v>
          </cell>
          <cell r="P10">
            <v>10628122</v>
          </cell>
          <cell r="Q10">
            <v>11926452</v>
          </cell>
          <cell r="R10">
            <v>13289764</v>
          </cell>
          <cell r="S10">
            <v>15016741</v>
          </cell>
          <cell r="T10">
            <v>16289740</v>
          </cell>
          <cell r="U10">
            <v>1130835</v>
          </cell>
          <cell r="V10">
            <v>2349231</v>
          </cell>
          <cell r="W10">
            <v>3570952</v>
          </cell>
          <cell r="X10">
            <v>5216484</v>
          </cell>
          <cell r="Y10">
            <v>6440755</v>
          </cell>
          <cell r="Z10">
            <v>7664468</v>
          </cell>
          <cell r="AA10">
            <v>8943861</v>
          </cell>
          <cell r="AB10">
            <v>10171587</v>
          </cell>
          <cell r="AC10">
            <v>11381001</v>
          </cell>
          <cell r="AD10">
            <v>12589343</v>
          </cell>
          <cell r="AE10">
            <v>14207847</v>
          </cell>
          <cell r="AF10">
            <v>15441197</v>
          </cell>
          <cell r="AG10">
            <v>1112662</v>
          </cell>
          <cell r="AH10">
            <v>2234999</v>
          </cell>
          <cell r="AI10">
            <v>3331369</v>
          </cell>
          <cell r="AJ10">
            <v>4769145</v>
          </cell>
          <cell r="AK10">
            <v>5883274</v>
          </cell>
          <cell r="AL10">
            <v>7003810</v>
          </cell>
          <cell r="AM10">
            <v>8113210</v>
          </cell>
          <cell r="AN10">
            <v>9225131.3899999987</v>
          </cell>
        </row>
        <row r="11">
          <cell r="G11">
            <v>1024</v>
          </cell>
          <cell r="H11" t="str">
            <v>Empl_Benefits</v>
          </cell>
          <cell r="I11">
            <v>270690</v>
          </cell>
          <cell r="J11">
            <v>270440</v>
          </cell>
          <cell r="K11">
            <v>279612</v>
          </cell>
          <cell r="L11">
            <v>276392</v>
          </cell>
          <cell r="M11">
            <v>413026</v>
          </cell>
          <cell r="N11">
            <v>272495</v>
          </cell>
          <cell r="O11">
            <v>275721</v>
          </cell>
          <cell r="P11">
            <v>276139</v>
          </cell>
          <cell r="Q11">
            <v>271152</v>
          </cell>
          <cell r="R11">
            <v>271931</v>
          </cell>
          <cell r="S11">
            <v>402171</v>
          </cell>
          <cell r="T11">
            <v>271893</v>
          </cell>
          <cell r="U11">
            <v>258340</v>
          </cell>
          <cell r="V11">
            <v>250279</v>
          </cell>
          <cell r="W11">
            <v>259344</v>
          </cell>
          <cell r="X11">
            <v>385434</v>
          </cell>
          <cell r="Y11">
            <v>261064</v>
          </cell>
          <cell r="Z11">
            <v>305928</v>
          </cell>
          <cell r="AA11">
            <v>265597</v>
          </cell>
          <cell r="AB11">
            <v>267694.74</v>
          </cell>
          <cell r="AC11">
            <v>267262</v>
          </cell>
          <cell r="AD11">
            <v>268398</v>
          </cell>
          <cell r="AE11">
            <v>388559</v>
          </cell>
          <cell r="AF11">
            <v>257499</v>
          </cell>
          <cell r="AG11">
            <v>256538</v>
          </cell>
          <cell r="AH11">
            <v>254350</v>
          </cell>
          <cell r="AI11">
            <v>273100</v>
          </cell>
          <cell r="AJ11">
            <v>405549</v>
          </cell>
          <cell r="AK11">
            <v>273680</v>
          </cell>
          <cell r="AL11">
            <v>272040</v>
          </cell>
          <cell r="AM11">
            <v>271037</v>
          </cell>
          <cell r="AN11">
            <v>269908.47999999998</v>
          </cell>
        </row>
        <row r="12">
          <cell r="G12">
            <v>1025</v>
          </cell>
          <cell r="H12" t="str">
            <v>Total Personnel</v>
          </cell>
          <cell r="I12">
            <v>897575</v>
          </cell>
          <cell r="J12">
            <v>905335</v>
          </cell>
          <cell r="K12">
            <v>922583</v>
          </cell>
          <cell r="L12">
            <v>905236</v>
          </cell>
          <cell r="M12">
            <v>1358713</v>
          </cell>
          <cell r="N12">
            <v>888067</v>
          </cell>
          <cell r="O12">
            <v>903782</v>
          </cell>
          <cell r="P12">
            <v>912847</v>
          </cell>
          <cell r="Q12">
            <v>895539</v>
          </cell>
          <cell r="R12">
            <v>887764</v>
          </cell>
          <cell r="S12">
            <v>1306670</v>
          </cell>
          <cell r="T12">
            <v>892599</v>
          </cell>
          <cell r="U12">
            <v>846942</v>
          </cell>
          <cell r="V12">
            <v>816973</v>
          </cell>
          <cell r="W12">
            <v>838396</v>
          </cell>
          <cell r="X12">
            <v>1229196</v>
          </cell>
          <cell r="Y12">
            <v>833752</v>
          </cell>
          <cell r="Z12">
            <v>969853</v>
          </cell>
          <cell r="AA12">
            <v>850802</v>
          </cell>
          <cell r="AB12">
            <v>588885.04</v>
          </cell>
          <cell r="AC12">
            <v>859705</v>
          </cell>
          <cell r="AD12">
            <v>855916</v>
          </cell>
          <cell r="AE12">
            <v>1238096</v>
          </cell>
          <cell r="AF12">
            <v>834545</v>
          </cell>
          <cell r="AG12">
            <v>819381</v>
          </cell>
          <cell r="AH12">
            <v>819319</v>
          </cell>
          <cell r="AI12">
            <v>833044</v>
          </cell>
          <cell r="AJ12">
            <v>1236372</v>
          </cell>
          <cell r="AK12">
            <v>838217</v>
          </cell>
          <cell r="AL12">
            <v>832336</v>
          </cell>
          <cell r="AM12">
            <v>822962</v>
          </cell>
          <cell r="AN12">
            <v>837285.97</v>
          </cell>
        </row>
        <row r="13">
          <cell r="G13">
            <v>1026</v>
          </cell>
          <cell r="H13" t="str">
            <v>Target Empl_Benefits</v>
          </cell>
          <cell r="I13">
            <v>302650</v>
          </cell>
          <cell r="J13">
            <v>283790</v>
          </cell>
          <cell r="K13">
            <v>290071</v>
          </cell>
          <cell r="L13">
            <v>289271</v>
          </cell>
          <cell r="M13">
            <v>427972</v>
          </cell>
          <cell r="N13">
            <v>290329</v>
          </cell>
          <cell r="O13">
            <v>291375</v>
          </cell>
          <cell r="P13">
            <v>290753</v>
          </cell>
          <cell r="Q13">
            <v>290442</v>
          </cell>
          <cell r="R13">
            <v>291771</v>
          </cell>
          <cell r="S13">
            <v>428234</v>
          </cell>
          <cell r="T13">
            <v>290079</v>
          </cell>
          <cell r="U13">
            <v>240935</v>
          </cell>
          <cell r="V13">
            <v>250497</v>
          </cell>
          <cell r="W13">
            <v>269717</v>
          </cell>
          <cell r="X13">
            <v>400802</v>
          </cell>
          <cell r="Y13">
            <v>274092</v>
          </cell>
          <cell r="Z13">
            <v>272460</v>
          </cell>
          <cell r="AA13">
            <v>272797</v>
          </cell>
          <cell r="AB13">
            <v>272789</v>
          </cell>
          <cell r="AC13">
            <v>272153</v>
          </cell>
          <cell r="AD13">
            <v>271998</v>
          </cell>
          <cell r="AE13">
            <v>399348</v>
          </cell>
          <cell r="AF13">
            <v>272104</v>
          </cell>
          <cell r="AG13">
            <v>247001</v>
          </cell>
          <cell r="AH13">
            <v>252423</v>
          </cell>
          <cell r="AI13">
            <v>274160</v>
          </cell>
          <cell r="AJ13">
            <v>403019</v>
          </cell>
          <cell r="AK13">
            <v>274726</v>
          </cell>
          <cell r="AL13">
            <v>273706</v>
          </cell>
          <cell r="AM13">
            <v>273847</v>
          </cell>
          <cell r="AN13">
            <v>274420.12999999989</v>
          </cell>
        </row>
        <row r="14">
          <cell r="G14">
            <v>1027</v>
          </cell>
          <cell r="H14" t="str">
            <v>Target Total Personnel</v>
          </cell>
          <cell r="I14">
            <v>983813</v>
          </cell>
          <cell r="J14">
            <v>924711</v>
          </cell>
          <cell r="K14">
            <v>942013</v>
          </cell>
          <cell r="L14">
            <v>938206</v>
          </cell>
          <cell r="M14">
            <v>1377819</v>
          </cell>
          <cell r="N14">
            <v>938291</v>
          </cell>
          <cell r="O14">
            <v>943682</v>
          </cell>
          <cell r="P14">
            <v>939688</v>
          </cell>
          <cell r="Q14">
            <v>934400</v>
          </cell>
          <cell r="R14">
            <v>942390</v>
          </cell>
          <cell r="S14">
            <v>1375346</v>
          </cell>
          <cell r="T14">
            <v>936357</v>
          </cell>
          <cell r="U14">
            <v>784956</v>
          </cell>
          <cell r="V14">
            <v>817002</v>
          </cell>
          <cell r="W14">
            <v>859163</v>
          </cell>
          <cell r="X14">
            <v>1266436</v>
          </cell>
          <cell r="Y14">
            <v>875804</v>
          </cell>
          <cell r="Z14">
            <v>864164</v>
          </cell>
          <cell r="AA14">
            <v>867269</v>
          </cell>
          <cell r="AB14">
            <v>866510</v>
          </cell>
          <cell r="AC14">
            <v>861974</v>
          </cell>
          <cell r="AD14">
            <v>860869</v>
          </cell>
          <cell r="AE14">
            <v>1256061</v>
          </cell>
          <cell r="AF14">
            <v>860650</v>
          </cell>
          <cell r="AG14">
            <v>786526</v>
          </cell>
          <cell r="AH14">
            <v>806402</v>
          </cell>
          <cell r="AI14">
            <v>847417</v>
          </cell>
          <cell r="AJ14">
            <v>1220440</v>
          </cell>
          <cell r="AK14">
            <v>846854</v>
          </cell>
          <cell r="AL14">
            <v>839653</v>
          </cell>
          <cell r="AM14">
            <v>840646</v>
          </cell>
          <cell r="AN14">
            <v>844695.82</v>
          </cell>
        </row>
        <row r="15">
          <cell r="G15">
            <v>1028</v>
          </cell>
          <cell r="H15" t="str">
            <v>YTD Empl_Benefits</v>
          </cell>
          <cell r="I15">
            <v>270690</v>
          </cell>
          <cell r="J15">
            <v>541129</v>
          </cell>
          <cell r="K15">
            <v>820742</v>
          </cell>
          <cell r="L15">
            <v>1097133</v>
          </cell>
          <cell r="M15">
            <v>1510159</v>
          </cell>
          <cell r="N15">
            <v>1782654</v>
          </cell>
          <cell r="O15">
            <v>2058375</v>
          </cell>
          <cell r="P15">
            <v>2334514</v>
          </cell>
          <cell r="Q15">
            <v>2605666</v>
          </cell>
          <cell r="R15">
            <v>2877597</v>
          </cell>
          <cell r="S15">
            <v>3279768</v>
          </cell>
          <cell r="T15">
            <v>3551661</v>
          </cell>
          <cell r="U15">
            <v>258340</v>
          </cell>
          <cell r="V15">
            <v>508619</v>
          </cell>
          <cell r="W15">
            <v>767963</v>
          </cell>
          <cell r="X15">
            <v>1153397</v>
          </cell>
          <cell r="Y15">
            <v>1414461</v>
          </cell>
          <cell r="Z15">
            <v>1720390</v>
          </cell>
          <cell r="AA15">
            <v>1985987</v>
          </cell>
          <cell r="AB15">
            <v>2253681.7799999998</v>
          </cell>
          <cell r="AC15">
            <v>2520944</v>
          </cell>
          <cell r="AD15">
            <v>2789342</v>
          </cell>
          <cell r="AE15">
            <v>3177901</v>
          </cell>
          <cell r="AF15">
            <v>3435400</v>
          </cell>
          <cell r="AG15">
            <v>256538</v>
          </cell>
          <cell r="AH15">
            <v>510888</v>
          </cell>
          <cell r="AI15">
            <v>783987</v>
          </cell>
          <cell r="AJ15">
            <v>1189536</v>
          </cell>
          <cell r="AK15">
            <v>1463216</v>
          </cell>
          <cell r="AL15">
            <v>1735257</v>
          </cell>
          <cell r="AM15">
            <v>2006293</v>
          </cell>
          <cell r="AN15">
            <v>2276201.6799999997</v>
          </cell>
        </row>
        <row r="16">
          <cell r="G16">
            <v>1029</v>
          </cell>
          <cell r="H16" t="str">
            <v>YTD Total Personnel</v>
          </cell>
          <cell r="I16">
            <v>897575</v>
          </cell>
          <cell r="J16">
            <v>1802910</v>
          </cell>
          <cell r="K16">
            <v>2725493</v>
          </cell>
          <cell r="L16">
            <v>3630729</v>
          </cell>
          <cell r="M16">
            <v>4989442</v>
          </cell>
          <cell r="N16">
            <v>5877509</v>
          </cell>
          <cell r="O16">
            <v>6781291</v>
          </cell>
          <cell r="P16">
            <v>7694138</v>
          </cell>
          <cell r="Q16">
            <v>8589677</v>
          </cell>
          <cell r="R16">
            <v>9477441</v>
          </cell>
          <cell r="S16">
            <v>10784111</v>
          </cell>
          <cell r="T16">
            <v>11676710</v>
          </cell>
          <cell r="U16">
            <v>846942</v>
          </cell>
          <cell r="V16">
            <v>1663915</v>
          </cell>
          <cell r="W16">
            <v>2502311</v>
          </cell>
          <cell r="X16">
            <v>3731507</v>
          </cell>
          <cell r="Y16">
            <v>4565259</v>
          </cell>
          <cell r="Z16">
            <v>5535112</v>
          </cell>
          <cell r="AA16">
            <v>6385914</v>
          </cell>
          <cell r="AB16">
            <v>4988811.57</v>
          </cell>
          <cell r="AC16">
            <v>8102199</v>
          </cell>
          <cell r="AD16">
            <v>8958114</v>
          </cell>
          <cell r="AE16">
            <v>10196211</v>
          </cell>
          <cell r="AF16">
            <v>11030756</v>
          </cell>
          <cell r="AG16">
            <v>819381</v>
          </cell>
          <cell r="AH16">
            <v>1638700</v>
          </cell>
          <cell r="AI16">
            <v>2471744</v>
          </cell>
          <cell r="AJ16">
            <v>3708116</v>
          </cell>
          <cell r="AK16">
            <v>4546332</v>
          </cell>
          <cell r="AL16">
            <v>5378669</v>
          </cell>
          <cell r="AM16">
            <v>6201630</v>
          </cell>
          <cell r="AN16">
            <v>7038916.3499999987</v>
          </cell>
        </row>
        <row r="17">
          <cell r="G17">
            <v>1030</v>
          </cell>
          <cell r="H17" t="str">
            <v>YTD Target Empl_Benefits</v>
          </cell>
          <cell r="I17">
            <v>302650</v>
          </cell>
          <cell r="J17">
            <v>567662</v>
          </cell>
          <cell r="K17">
            <v>857733</v>
          </cell>
          <cell r="L17">
            <v>1147004</v>
          </cell>
          <cell r="M17">
            <v>1574976</v>
          </cell>
          <cell r="N17">
            <v>1865304</v>
          </cell>
          <cell r="O17">
            <v>2156679</v>
          </cell>
          <cell r="P17">
            <v>2447431</v>
          </cell>
          <cell r="Q17">
            <v>2737873</v>
          </cell>
          <cell r="R17">
            <v>3029643</v>
          </cell>
          <cell r="S17">
            <v>3457877</v>
          </cell>
          <cell r="T17">
            <v>3747956</v>
          </cell>
          <cell r="U17">
            <v>240935</v>
          </cell>
          <cell r="V17">
            <v>507702</v>
          </cell>
          <cell r="W17">
            <v>775160</v>
          </cell>
          <cell r="X17">
            <v>1175962</v>
          </cell>
          <cell r="Y17">
            <v>1450054</v>
          </cell>
          <cell r="Z17">
            <v>1722514</v>
          </cell>
          <cell r="AA17">
            <v>1995301</v>
          </cell>
          <cell r="AB17">
            <v>2268090</v>
          </cell>
          <cell r="AC17">
            <v>2540243</v>
          </cell>
          <cell r="AD17">
            <v>2812241</v>
          </cell>
          <cell r="AE17">
            <v>3211590</v>
          </cell>
          <cell r="AF17">
            <v>3483694</v>
          </cell>
          <cell r="AG17">
            <v>247001</v>
          </cell>
          <cell r="AH17">
            <v>502282</v>
          </cell>
          <cell r="AI17">
            <v>776443</v>
          </cell>
          <cell r="AJ17">
            <v>1179461</v>
          </cell>
          <cell r="AK17">
            <v>1454187</v>
          </cell>
          <cell r="AL17">
            <v>1727893</v>
          </cell>
          <cell r="AM17">
            <v>2001740</v>
          </cell>
          <cell r="AN17">
            <v>2276159.9</v>
          </cell>
        </row>
        <row r="18">
          <cell r="G18">
            <v>1031</v>
          </cell>
          <cell r="H18" t="str">
            <v>YTD Target Total Personnel</v>
          </cell>
          <cell r="I18">
            <v>983813</v>
          </cell>
          <cell r="J18">
            <v>1848068</v>
          </cell>
          <cell r="K18">
            <v>2787020</v>
          </cell>
          <cell r="L18">
            <v>3725226</v>
          </cell>
          <cell r="M18">
            <v>5103045</v>
          </cell>
          <cell r="N18">
            <v>6041335</v>
          </cell>
          <cell r="O18">
            <v>6985017</v>
          </cell>
          <cell r="P18">
            <v>7924704</v>
          </cell>
          <cell r="Q18">
            <v>8859104</v>
          </cell>
          <cell r="R18">
            <v>9801493</v>
          </cell>
          <cell r="S18">
            <v>11176839</v>
          </cell>
          <cell r="T18">
            <v>12113196</v>
          </cell>
          <cell r="U18">
            <v>784956</v>
          </cell>
          <cell r="V18">
            <v>1653256</v>
          </cell>
          <cell r="W18">
            <v>2505217</v>
          </cell>
          <cell r="X18">
            <v>3771653</v>
          </cell>
          <cell r="Y18">
            <v>4647457</v>
          </cell>
          <cell r="Z18">
            <v>5511620</v>
          </cell>
          <cell r="AA18">
            <v>6378889</v>
          </cell>
          <cell r="AB18">
            <v>7245399</v>
          </cell>
          <cell r="AC18">
            <v>8107373</v>
          </cell>
          <cell r="AD18">
            <v>8968242</v>
          </cell>
          <cell r="AE18">
            <v>10224303</v>
          </cell>
          <cell r="AF18">
            <v>11084953</v>
          </cell>
          <cell r="AG18">
            <v>786526</v>
          </cell>
          <cell r="AH18">
            <v>1601697</v>
          </cell>
          <cell r="AI18">
            <v>2449114</v>
          </cell>
          <cell r="AJ18">
            <v>3669554</v>
          </cell>
          <cell r="AK18">
            <v>4516408</v>
          </cell>
          <cell r="AL18">
            <v>5356061</v>
          </cell>
          <cell r="AM18">
            <v>6196707</v>
          </cell>
          <cell r="AN18">
            <v>7041403.209999999</v>
          </cell>
        </row>
        <row r="19">
          <cell r="G19">
            <v>1032</v>
          </cell>
          <cell r="H19" t="str">
            <v>Actual</v>
          </cell>
          <cell r="N19">
            <v>9627</v>
          </cell>
          <cell r="O19">
            <v>16662</v>
          </cell>
          <cell r="P19">
            <v>27924</v>
          </cell>
          <cell r="Q19">
            <v>11135</v>
          </cell>
          <cell r="U19">
            <v>14555</v>
          </cell>
          <cell r="V19">
            <v>11214</v>
          </cell>
          <cell r="W19">
            <v>21754</v>
          </cell>
          <cell r="X19">
            <v>24151</v>
          </cell>
          <cell r="Y19">
            <v>17767</v>
          </cell>
          <cell r="Z19">
            <v>13741</v>
          </cell>
          <cell r="AA19">
            <v>21105</v>
          </cell>
          <cell r="AB19">
            <v>19054.23</v>
          </cell>
          <cell r="AC19">
            <v>17685</v>
          </cell>
          <cell r="AD19">
            <v>10488</v>
          </cell>
          <cell r="AE19">
            <v>21196</v>
          </cell>
          <cell r="AF19">
            <v>18043</v>
          </cell>
          <cell r="AG19">
            <v>14139</v>
          </cell>
          <cell r="AH19">
            <v>9101</v>
          </cell>
          <cell r="AI19">
            <v>9163</v>
          </cell>
          <cell r="AJ19">
            <v>25420</v>
          </cell>
          <cell r="AK19">
            <v>8040</v>
          </cell>
          <cell r="AL19">
            <v>7552</v>
          </cell>
          <cell r="AM19">
            <v>6390</v>
          </cell>
          <cell r="AN19">
            <v>9210.75</v>
          </cell>
        </row>
        <row r="20">
          <cell r="G20">
            <v>1033</v>
          </cell>
          <cell r="H20" t="str">
            <v>Target (Budget)</v>
          </cell>
          <cell r="N20">
            <v>11795</v>
          </cell>
          <cell r="O20">
            <v>16851</v>
          </cell>
          <cell r="P20">
            <v>13479</v>
          </cell>
          <cell r="Q20">
            <v>8426</v>
          </cell>
          <cell r="U20">
            <v>6036</v>
          </cell>
          <cell r="V20">
            <v>11504</v>
          </cell>
          <cell r="W20">
            <v>13873</v>
          </cell>
          <cell r="X20">
            <v>14206</v>
          </cell>
          <cell r="Y20">
            <v>18527</v>
          </cell>
          <cell r="Z20">
            <v>8518</v>
          </cell>
          <cell r="AA20">
            <v>10485</v>
          </cell>
          <cell r="AB20">
            <v>10535</v>
          </cell>
          <cell r="AC20">
            <v>6635</v>
          </cell>
          <cell r="AD20">
            <v>5685</v>
          </cell>
          <cell r="AE20">
            <v>5285</v>
          </cell>
          <cell r="AF20">
            <v>4885</v>
          </cell>
          <cell r="AG20">
            <v>5711</v>
          </cell>
          <cell r="AH20">
            <v>10427</v>
          </cell>
          <cell r="AI20">
            <v>15421</v>
          </cell>
          <cell r="AJ20">
            <v>13554</v>
          </cell>
          <cell r="AK20">
            <v>19373</v>
          </cell>
          <cell r="AL20">
            <v>13192</v>
          </cell>
          <cell r="AM20">
            <v>14044</v>
          </cell>
          <cell r="AN20">
            <v>17520.27</v>
          </cell>
        </row>
        <row r="21">
          <cell r="G21">
            <v>1036</v>
          </cell>
          <cell r="H21" t="str">
            <v>YTD Actual</v>
          </cell>
          <cell r="N21">
            <v>90118</v>
          </cell>
          <cell r="O21">
            <v>106780</v>
          </cell>
          <cell r="P21">
            <v>134704</v>
          </cell>
          <cell r="Q21">
            <v>145839</v>
          </cell>
          <cell r="U21">
            <v>14555</v>
          </cell>
          <cell r="V21">
            <v>25770</v>
          </cell>
          <cell r="W21">
            <v>47524</v>
          </cell>
          <cell r="X21">
            <v>71675</v>
          </cell>
          <cell r="Y21">
            <v>89442</v>
          </cell>
          <cell r="Z21">
            <v>103183</v>
          </cell>
          <cell r="AA21">
            <v>124288</v>
          </cell>
          <cell r="AB21">
            <v>143342.34</v>
          </cell>
          <cell r="AC21">
            <v>161027</v>
          </cell>
          <cell r="AD21">
            <v>171516</v>
          </cell>
          <cell r="AE21">
            <v>192712</v>
          </cell>
          <cell r="AF21">
            <v>210755</v>
          </cell>
          <cell r="AG21">
            <v>14139</v>
          </cell>
          <cell r="AH21">
            <v>23240</v>
          </cell>
          <cell r="AI21">
            <v>32403</v>
          </cell>
          <cell r="AJ21">
            <v>57823</v>
          </cell>
          <cell r="AK21">
            <v>65862</v>
          </cell>
          <cell r="AL21">
            <v>73414</v>
          </cell>
          <cell r="AM21">
            <v>79804</v>
          </cell>
          <cell r="AN21">
            <v>89014.47</v>
          </cell>
        </row>
        <row r="22">
          <cell r="G22">
            <v>1037</v>
          </cell>
          <cell r="H22" t="str">
            <v>YTD Target (Budget)</v>
          </cell>
          <cell r="N22">
            <v>87616</v>
          </cell>
          <cell r="O22">
            <v>104467</v>
          </cell>
          <cell r="P22">
            <v>117946</v>
          </cell>
          <cell r="Q22">
            <v>126372</v>
          </cell>
          <cell r="U22">
            <v>6036</v>
          </cell>
          <cell r="V22">
            <v>17540</v>
          </cell>
          <cell r="W22">
            <v>31413</v>
          </cell>
          <cell r="X22">
            <v>45619</v>
          </cell>
          <cell r="Y22">
            <v>64145</v>
          </cell>
          <cell r="Z22">
            <v>72663</v>
          </cell>
          <cell r="AA22">
            <v>83148</v>
          </cell>
          <cell r="AB22">
            <v>93683</v>
          </cell>
          <cell r="AC22">
            <v>100318</v>
          </cell>
          <cell r="AD22">
            <v>106003</v>
          </cell>
          <cell r="AE22">
            <v>111288</v>
          </cell>
          <cell r="AF22">
            <v>116173</v>
          </cell>
          <cell r="AG22">
            <v>5711</v>
          </cell>
          <cell r="AH22">
            <v>16138</v>
          </cell>
          <cell r="AI22">
            <v>31559</v>
          </cell>
          <cell r="AJ22">
            <v>45114</v>
          </cell>
          <cell r="AK22">
            <v>64486</v>
          </cell>
          <cell r="AL22">
            <v>77678</v>
          </cell>
          <cell r="AM22">
            <v>91722</v>
          </cell>
          <cell r="AN22">
            <v>109242.64</v>
          </cell>
        </row>
        <row r="23">
          <cell r="G23">
            <v>1044</v>
          </cell>
          <cell r="H23" t="str">
            <v>Actual</v>
          </cell>
          <cell r="I23">
            <v>-757380</v>
          </cell>
          <cell r="J23">
            <v>-1188303</v>
          </cell>
          <cell r="K23">
            <v>-1206046</v>
          </cell>
          <cell r="L23">
            <v>-1357645</v>
          </cell>
          <cell r="M23">
            <v>-1640047</v>
          </cell>
          <cell r="N23">
            <v>-1254095</v>
          </cell>
          <cell r="O23">
            <v>-1229036</v>
          </cell>
          <cell r="P23">
            <v>-1225166</v>
          </cell>
          <cell r="Q23">
            <v>14817242</v>
          </cell>
          <cell r="R23">
            <v>-1259936</v>
          </cell>
          <cell r="S23">
            <v>-1637343</v>
          </cell>
          <cell r="T23">
            <v>-1226640</v>
          </cell>
          <cell r="U23">
            <v>-135735</v>
          </cell>
          <cell r="V23">
            <v>13860320</v>
          </cell>
          <cell r="W23">
            <v>-952417</v>
          </cell>
          <cell r="X23">
            <v>-1571239</v>
          </cell>
          <cell r="Y23">
            <v>-1221060</v>
          </cell>
          <cell r="Z23">
            <v>-1307281</v>
          </cell>
          <cell r="AA23">
            <v>-1643067</v>
          </cell>
          <cell r="AB23">
            <v>-734016.7</v>
          </cell>
          <cell r="AC23">
            <v>-1243421</v>
          </cell>
          <cell r="AD23">
            <v>-1558529</v>
          </cell>
          <cell r="AE23">
            <v>-1282897</v>
          </cell>
          <cell r="AF23">
            <v>-2472943</v>
          </cell>
          <cell r="AG23">
            <v>-1155859</v>
          </cell>
          <cell r="AH23">
            <v>13183318</v>
          </cell>
          <cell r="AI23">
            <v>-1082000</v>
          </cell>
          <cell r="AJ23">
            <v>-1640105</v>
          </cell>
          <cell r="AK23">
            <v>-1083073</v>
          </cell>
          <cell r="AL23">
            <v>-1186417</v>
          </cell>
          <cell r="AM23">
            <v>-1336445</v>
          </cell>
          <cell r="AN23">
            <v>-763305.63</v>
          </cell>
        </row>
        <row r="24">
          <cell r="G24">
            <v>1045</v>
          </cell>
          <cell r="H24" t="str">
            <v>Target (Budget)</v>
          </cell>
          <cell r="I24">
            <v>-847008</v>
          </cell>
          <cell r="J24">
            <v>-1244525</v>
          </cell>
          <cell r="K24">
            <v>-1302349</v>
          </cell>
          <cell r="L24">
            <v>-1312596</v>
          </cell>
          <cell r="M24">
            <v>-1749218</v>
          </cell>
          <cell r="N24">
            <v>-1264533</v>
          </cell>
          <cell r="O24">
            <v>-1324243</v>
          </cell>
          <cell r="P24">
            <v>-1240074</v>
          </cell>
          <cell r="Q24">
            <v>14765381</v>
          </cell>
          <cell r="R24">
            <v>-1363311</v>
          </cell>
          <cell r="S24">
            <v>-1726978</v>
          </cell>
          <cell r="T24">
            <v>-1273995</v>
          </cell>
          <cell r="U24">
            <v>-105318</v>
          </cell>
          <cell r="V24">
            <v>14139505</v>
          </cell>
          <cell r="W24">
            <v>-1228923</v>
          </cell>
          <cell r="X24">
            <v>-1645532</v>
          </cell>
          <cell r="Y24">
            <v>-1224271</v>
          </cell>
          <cell r="Z24">
            <v>-1223713</v>
          </cell>
          <cell r="AA24">
            <v>-1279393</v>
          </cell>
          <cell r="AB24">
            <v>-1229226</v>
          </cell>
          <cell r="AC24">
            <v>-1209415</v>
          </cell>
          <cell r="AD24">
            <v>-1208341</v>
          </cell>
          <cell r="AE24">
            <v>-1618504</v>
          </cell>
          <cell r="AF24">
            <v>-2561070</v>
          </cell>
          <cell r="AG24">
            <v>-1112662</v>
          </cell>
          <cell r="AH24">
            <v>13163638</v>
          </cell>
          <cell r="AI24">
            <v>-1142370</v>
          </cell>
          <cell r="AJ24">
            <v>-1487701</v>
          </cell>
          <cell r="AK24">
            <v>-1114129</v>
          </cell>
          <cell r="AL24">
            <v>-1120536</v>
          </cell>
          <cell r="AM24">
            <v>-1109401</v>
          </cell>
          <cell r="AN24">
            <v>-917777.04999999981</v>
          </cell>
        </row>
        <row r="25">
          <cell r="G25">
            <v>1048</v>
          </cell>
          <cell r="H25" t="str">
            <v>YTD Actual</v>
          </cell>
          <cell r="I25">
            <v>-757380</v>
          </cell>
          <cell r="J25">
            <v>-1945683</v>
          </cell>
          <cell r="K25">
            <v>-3151728</v>
          </cell>
          <cell r="L25">
            <v>-4509373</v>
          </cell>
          <cell r="M25">
            <v>6149421</v>
          </cell>
          <cell r="N25">
            <v>-7403516</v>
          </cell>
          <cell r="O25">
            <v>-8632552</v>
          </cell>
          <cell r="P25">
            <v>-9857718</v>
          </cell>
          <cell r="Q25">
            <v>4959525</v>
          </cell>
          <cell r="R25">
            <v>3699589</v>
          </cell>
          <cell r="S25">
            <v>2062246</v>
          </cell>
          <cell r="T25">
            <v>835606</v>
          </cell>
          <cell r="U25">
            <v>-135735</v>
          </cell>
          <cell r="V25">
            <v>13724585</v>
          </cell>
          <cell r="W25">
            <v>12772168</v>
          </cell>
          <cell r="X25">
            <v>11200929</v>
          </cell>
          <cell r="Y25">
            <v>9979869</v>
          </cell>
          <cell r="Z25">
            <v>8672588</v>
          </cell>
          <cell r="AA25">
            <v>7029521</v>
          </cell>
          <cell r="AB25">
            <v>6295492.7300000004</v>
          </cell>
          <cell r="AC25">
            <v>5052083</v>
          </cell>
          <cell r="AD25">
            <v>3493554</v>
          </cell>
          <cell r="AE25">
            <v>2210656</v>
          </cell>
          <cell r="AF25">
            <v>-262298</v>
          </cell>
          <cell r="AG25">
            <v>-1155859</v>
          </cell>
          <cell r="AH25">
            <v>12027459</v>
          </cell>
          <cell r="AI25">
            <v>10945459</v>
          </cell>
          <cell r="AJ25">
            <v>9308353</v>
          </cell>
          <cell r="AK25">
            <v>8222281</v>
          </cell>
          <cell r="AL25">
            <v>7035863</v>
          </cell>
          <cell r="AM25">
            <v>5699418</v>
          </cell>
          <cell r="AN25">
            <v>4936112.7800000031</v>
          </cell>
        </row>
        <row r="26">
          <cell r="G26">
            <v>1049</v>
          </cell>
          <cell r="H26" t="str">
            <v>YTD Target (Budget)</v>
          </cell>
          <cell r="I26">
            <v>-847008</v>
          </cell>
          <cell r="J26">
            <v>-1996236</v>
          </cell>
          <cell r="K26">
            <v>-3295525</v>
          </cell>
          <cell r="L26">
            <v>-4608121</v>
          </cell>
          <cell r="M26">
            <v>6357338</v>
          </cell>
          <cell r="N26">
            <v>-7621872</v>
          </cell>
          <cell r="O26">
            <v>-8946115</v>
          </cell>
          <cell r="P26">
            <v>-10186189</v>
          </cell>
          <cell r="Q26">
            <v>4579192</v>
          </cell>
          <cell r="R26">
            <v>3215881</v>
          </cell>
          <cell r="S26">
            <v>1488904</v>
          </cell>
          <cell r="T26">
            <v>214908</v>
          </cell>
          <cell r="U26">
            <v>-105318</v>
          </cell>
          <cell r="V26">
            <v>13982889</v>
          </cell>
          <cell r="W26">
            <v>12761168</v>
          </cell>
          <cell r="X26">
            <v>11115637</v>
          </cell>
          <cell r="Y26">
            <v>9891365</v>
          </cell>
          <cell r="Z26">
            <v>8667652</v>
          </cell>
          <cell r="AA26">
            <v>7388259</v>
          </cell>
          <cell r="AB26">
            <v>6158993</v>
          </cell>
          <cell r="AC26">
            <v>4949578</v>
          </cell>
          <cell r="AD26">
            <v>3741237</v>
          </cell>
          <cell r="AE26">
            <v>2122733</v>
          </cell>
          <cell r="AF26">
            <v>-438337</v>
          </cell>
          <cell r="AG26">
            <v>-1112662</v>
          </cell>
          <cell r="AH26">
            <v>12042208</v>
          </cell>
          <cell r="AI26">
            <v>10945838</v>
          </cell>
          <cell r="AJ26">
            <v>9508062</v>
          </cell>
          <cell r="AK26">
            <v>8393933</v>
          </cell>
          <cell r="AL26">
            <v>7273397</v>
          </cell>
          <cell r="AM26">
            <v>6163997</v>
          </cell>
          <cell r="AN26">
            <v>5246219.6400000025</v>
          </cell>
        </row>
        <row r="27">
          <cell r="G27">
            <v>1056</v>
          </cell>
          <cell r="H27" t="str">
            <v>Actual</v>
          </cell>
          <cell r="I27">
            <v>-723540</v>
          </cell>
          <cell r="J27">
            <v>-1144253</v>
          </cell>
          <cell r="K27">
            <v>-1083485</v>
          </cell>
          <cell r="L27">
            <v>-1532562</v>
          </cell>
          <cell r="M27">
            <v>-1625770</v>
          </cell>
          <cell r="N27">
            <v>-1233460</v>
          </cell>
          <cell r="O27">
            <v>-1175105</v>
          </cell>
          <cell r="P27">
            <v>-1210478</v>
          </cell>
          <cell r="Q27">
            <v>14830646</v>
          </cell>
          <cell r="R27">
            <v>-1248503</v>
          </cell>
          <cell r="S27">
            <v>-1614757</v>
          </cell>
          <cell r="T27">
            <v>-1213216</v>
          </cell>
          <cell r="U27">
            <v>-123211</v>
          </cell>
          <cell r="V27">
            <v>13893177</v>
          </cell>
          <cell r="W27">
            <v>-933047</v>
          </cell>
          <cell r="X27">
            <v>-1501219</v>
          </cell>
          <cell r="Y27">
            <v>-1211196</v>
          </cell>
          <cell r="Z27">
            <v>-1295603</v>
          </cell>
          <cell r="AA27">
            <v>-1624601</v>
          </cell>
          <cell r="AB27">
            <v>-707939.56</v>
          </cell>
          <cell r="AC27">
            <v>-1235209</v>
          </cell>
          <cell r="AD27">
            <v>-1537734</v>
          </cell>
          <cell r="AE27">
            <v>-1263840</v>
          </cell>
          <cell r="AF27">
            <v>-2459567</v>
          </cell>
          <cell r="AG27">
            <v>-1142877</v>
          </cell>
          <cell r="AH27">
            <v>13198073</v>
          </cell>
          <cell r="AI27">
            <v>-1258263</v>
          </cell>
          <cell r="AJ27">
            <v>-1621548</v>
          </cell>
          <cell r="AK27">
            <v>-1071277</v>
          </cell>
          <cell r="AL27">
            <v>-1179944</v>
          </cell>
          <cell r="AM27">
            <v>-1328955</v>
          </cell>
          <cell r="AN27">
            <v>-756190.71</v>
          </cell>
        </row>
        <row r="28">
          <cell r="G28">
            <v>1057</v>
          </cell>
          <cell r="H28" t="str">
            <v>Target (Budget)</v>
          </cell>
          <cell r="I28">
            <v>-824510</v>
          </cell>
          <cell r="J28">
            <v>-1221757</v>
          </cell>
          <cell r="K28">
            <v>-1123661</v>
          </cell>
          <cell r="L28">
            <v>-1479331</v>
          </cell>
          <cell r="M28">
            <v>-1720530</v>
          </cell>
          <cell r="N28">
            <v>-1235845</v>
          </cell>
          <cell r="O28">
            <v>-1295555</v>
          </cell>
          <cell r="P28">
            <v>-1211386</v>
          </cell>
          <cell r="Q28">
            <v>14794069</v>
          </cell>
          <cell r="R28">
            <v>-1334623</v>
          </cell>
          <cell r="S28">
            <v>-1698290</v>
          </cell>
          <cell r="T28">
            <v>-1245307</v>
          </cell>
          <cell r="U28">
            <v>-46118</v>
          </cell>
          <cell r="V28">
            <v>13953282</v>
          </cell>
          <cell r="W28">
            <v>-1219723</v>
          </cell>
          <cell r="X28">
            <v>-1634994</v>
          </cell>
          <cell r="Y28">
            <v>-1215071</v>
          </cell>
          <cell r="Z28">
            <v>-1214513</v>
          </cell>
          <cell r="AA28">
            <v>-1270193</v>
          </cell>
          <cell r="AB28">
            <v>-1220066</v>
          </cell>
          <cell r="AC28">
            <v>-1200215</v>
          </cell>
          <cell r="AD28">
            <v>-1199141</v>
          </cell>
          <cell r="AE28">
            <v>-1609304</v>
          </cell>
          <cell r="AF28">
            <v>-2500475</v>
          </cell>
          <cell r="AG28">
            <v>-1095468</v>
          </cell>
          <cell r="AH28">
            <v>13179432</v>
          </cell>
          <cell r="AI28">
            <v>-1315523</v>
          </cell>
          <cell r="AJ28">
            <v>-1474507</v>
          </cell>
          <cell r="AK28">
            <v>-1100135</v>
          </cell>
          <cell r="AL28">
            <v>-1104942</v>
          </cell>
          <cell r="AM28">
            <v>-1095707</v>
          </cell>
          <cell r="AN28">
            <v>-903033.20999999985</v>
          </cell>
        </row>
        <row r="29">
          <cell r="G29">
            <v>1060</v>
          </cell>
          <cell r="H29" t="str">
            <v>YTD Actual</v>
          </cell>
          <cell r="I29">
            <v>-723540</v>
          </cell>
          <cell r="J29">
            <v>-1867793</v>
          </cell>
          <cell r="K29">
            <v>2951278</v>
          </cell>
          <cell r="L29">
            <v>-4483840</v>
          </cell>
          <cell r="M29">
            <v>6109610</v>
          </cell>
          <cell r="N29">
            <v>-7343070</v>
          </cell>
          <cell r="O29">
            <v>-8518175</v>
          </cell>
          <cell r="P29">
            <v>-9728653</v>
          </cell>
          <cell r="Q29">
            <v>5101993</v>
          </cell>
          <cell r="R29">
            <v>3853490</v>
          </cell>
          <cell r="S29">
            <v>2238733</v>
          </cell>
          <cell r="T29">
            <v>1025518</v>
          </cell>
          <cell r="U29">
            <v>-123211</v>
          </cell>
          <cell r="V29">
            <v>13769966</v>
          </cell>
          <cell r="W29">
            <v>12836919</v>
          </cell>
          <cell r="X29">
            <v>11335699</v>
          </cell>
          <cell r="Y29">
            <v>10124504</v>
          </cell>
          <cell r="Z29">
            <v>8828901</v>
          </cell>
          <cell r="AA29">
            <v>7204300</v>
          </cell>
          <cell r="AB29">
            <v>6496349.5999999996</v>
          </cell>
          <cell r="AC29">
            <v>5261152</v>
          </cell>
          <cell r="AD29">
            <v>3723418</v>
          </cell>
          <cell r="AE29">
            <v>2459578</v>
          </cell>
          <cell r="AF29">
            <v>0.01</v>
          </cell>
          <cell r="AG29">
            <v>-1142877</v>
          </cell>
          <cell r="AH29">
            <v>12055196</v>
          </cell>
          <cell r="AI29">
            <v>10796932</v>
          </cell>
          <cell r="AJ29">
            <v>9175384</v>
          </cell>
          <cell r="AK29">
            <v>8104107</v>
          </cell>
          <cell r="AL29">
            <v>6924164</v>
          </cell>
          <cell r="AM29">
            <v>5595209</v>
          </cell>
          <cell r="AN29">
            <v>4839018.0300000031</v>
          </cell>
        </row>
        <row r="30">
          <cell r="G30">
            <v>1061</v>
          </cell>
          <cell r="H30" t="str">
            <v>YTD Target (Budget)</v>
          </cell>
          <cell r="I30">
            <v>-824510</v>
          </cell>
          <cell r="J30">
            <v>-1950970</v>
          </cell>
          <cell r="K30">
            <v>3056771</v>
          </cell>
          <cell r="L30">
            <v>-4536102</v>
          </cell>
          <cell r="M30">
            <v>6256631</v>
          </cell>
          <cell r="N30">
            <v>-7492477</v>
          </cell>
          <cell r="O30">
            <v>-8788032</v>
          </cell>
          <cell r="P30">
            <v>-9999418</v>
          </cell>
          <cell r="Q30">
            <v>4794651</v>
          </cell>
          <cell r="R30">
            <v>3460028</v>
          </cell>
          <cell r="S30">
            <v>1761739</v>
          </cell>
          <cell r="T30">
            <v>516431</v>
          </cell>
          <cell r="U30">
            <v>-46118</v>
          </cell>
          <cell r="V30">
            <v>13855866</v>
          </cell>
          <cell r="W30">
            <v>12643345</v>
          </cell>
          <cell r="X30">
            <v>11008351</v>
          </cell>
          <cell r="Y30">
            <v>9793280</v>
          </cell>
          <cell r="Z30">
            <v>8578767</v>
          </cell>
          <cell r="AA30">
            <v>7308574</v>
          </cell>
          <cell r="AB30">
            <v>6088508</v>
          </cell>
          <cell r="AC30">
            <v>4888293</v>
          </cell>
          <cell r="AD30">
            <v>3689152</v>
          </cell>
          <cell r="AE30">
            <v>2079848</v>
          </cell>
          <cell r="AF30">
            <v>-420627</v>
          </cell>
          <cell r="AG30">
            <v>-1095468</v>
          </cell>
          <cell r="AH30">
            <v>12075196</v>
          </cell>
          <cell r="AI30">
            <v>10805673</v>
          </cell>
          <cell r="AJ30">
            <v>9381091</v>
          </cell>
          <cell r="AK30">
            <v>8280956</v>
          </cell>
          <cell r="AL30">
            <v>7176014</v>
          </cell>
          <cell r="AM30">
            <v>6080307</v>
          </cell>
          <cell r="AN30">
            <v>5177273.8600000022</v>
          </cell>
        </row>
        <row r="31">
          <cell r="G31">
            <v>2000</v>
          </cell>
          <cell r="H31" t="str">
            <v>Actual</v>
          </cell>
          <cell r="I31">
            <v>831356</v>
          </cell>
          <cell r="J31">
            <v>1114160</v>
          </cell>
          <cell r="K31">
            <v>582327</v>
          </cell>
          <cell r="L31">
            <v>809757</v>
          </cell>
          <cell r="M31">
            <v>871564</v>
          </cell>
          <cell r="N31">
            <v>1148006</v>
          </cell>
          <cell r="O31">
            <v>785091</v>
          </cell>
          <cell r="P31">
            <v>651707</v>
          </cell>
          <cell r="Q31">
            <v>804970</v>
          </cell>
          <cell r="R31">
            <v>1027887</v>
          </cell>
          <cell r="S31">
            <v>975586</v>
          </cell>
          <cell r="T31">
            <v>880887</v>
          </cell>
          <cell r="U31">
            <v>831012</v>
          </cell>
          <cell r="V31">
            <v>814114</v>
          </cell>
          <cell r="W31">
            <v>964595</v>
          </cell>
          <cell r="X31">
            <v>982106</v>
          </cell>
          <cell r="Y31">
            <v>858617</v>
          </cell>
          <cell r="Z31">
            <v>806492</v>
          </cell>
          <cell r="AA31">
            <v>505884</v>
          </cell>
          <cell r="AB31">
            <v>1330642.43</v>
          </cell>
          <cell r="AC31">
            <v>885962</v>
          </cell>
          <cell r="AD31">
            <v>704446</v>
          </cell>
          <cell r="AE31">
            <v>1195679</v>
          </cell>
          <cell r="AF31">
            <v>792142</v>
          </cell>
          <cell r="AG31">
            <v>828431</v>
          </cell>
          <cell r="AH31">
            <v>810696</v>
          </cell>
          <cell r="AI31">
            <v>890226</v>
          </cell>
          <cell r="AJ31">
            <v>1014811</v>
          </cell>
          <cell r="AK31">
            <v>803028</v>
          </cell>
          <cell r="AL31">
            <v>989042</v>
          </cell>
          <cell r="AM31">
            <v>781778</v>
          </cell>
          <cell r="AN31">
            <v>898037.04</v>
          </cell>
        </row>
        <row r="32">
          <cell r="G32">
            <v>2001</v>
          </cell>
          <cell r="H32" t="str">
            <v>Target (Budget)</v>
          </cell>
          <cell r="I32">
            <v>871288</v>
          </cell>
          <cell r="J32">
            <v>961378</v>
          </cell>
          <cell r="K32">
            <v>990659</v>
          </cell>
          <cell r="L32">
            <v>683681</v>
          </cell>
          <cell r="M32">
            <v>1114878</v>
          </cell>
          <cell r="N32">
            <v>968178</v>
          </cell>
          <cell r="O32">
            <v>1029543</v>
          </cell>
          <cell r="P32">
            <v>545381</v>
          </cell>
          <cell r="Q32">
            <v>1014113</v>
          </cell>
          <cell r="R32">
            <v>1010497</v>
          </cell>
          <cell r="S32">
            <v>1214286</v>
          </cell>
          <cell r="T32">
            <v>1027158</v>
          </cell>
          <cell r="U32">
            <v>876560</v>
          </cell>
          <cell r="V32">
            <v>939157</v>
          </cell>
          <cell r="W32">
            <v>864071</v>
          </cell>
          <cell r="X32">
            <v>1034454</v>
          </cell>
          <cell r="Y32">
            <v>863161</v>
          </cell>
          <cell r="Z32">
            <v>882031</v>
          </cell>
          <cell r="AA32">
            <v>879037</v>
          </cell>
          <cell r="AB32">
            <v>864932</v>
          </cell>
          <cell r="AC32">
            <v>865866</v>
          </cell>
          <cell r="AD32">
            <v>864146</v>
          </cell>
          <cell r="AE32">
            <v>1017696</v>
          </cell>
          <cell r="AF32">
            <v>877291</v>
          </cell>
          <cell r="AG32">
            <v>867114</v>
          </cell>
          <cell r="AH32">
            <v>859383</v>
          </cell>
          <cell r="AI32">
            <v>883922</v>
          </cell>
          <cell r="AJ32">
            <v>990958</v>
          </cell>
          <cell r="AK32">
            <v>847626</v>
          </cell>
          <cell r="AL32">
            <v>849404</v>
          </cell>
          <cell r="AM32">
            <v>848258</v>
          </cell>
          <cell r="AN32">
            <v>847155.42999999993</v>
          </cell>
        </row>
        <row r="33">
          <cell r="G33">
            <v>2004</v>
          </cell>
          <cell r="H33" t="str">
            <v>YTD Actual</v>
          </cell>
          <cell r="I33">
            <v>831356</v>
          </cell>
          <cell r="J33">
            <v>1945516</v>
          </cell>
          <cell r="K33">
            <v>2527844</v>
          </cell>
          <cell r="L33">
            <v>2149097</v>
          </cell>
          <cell r="M33">
            <v>4613200</v>
          </cell>
          <cell r="N33">
            <v>5761206</v>
          </cell>
          <cell r="O33">
            <v>6546297</v>
          </cell>
          <cell r="P33">
            <v>4196612</v>
          </cell>
          <cell r="Q33">
            <v>8421465</v>
          </cell>
          <cell r="R33">
            <v>9449351</v>
          </cell>
          <cell r="S33">
            <v>10424937</v>
          </cell>
          <cell r="T33">
            <v>11305824</v>
          </cell>
          <cell r="U33">
            <v>831012</v>
          </cell>
          <cell r="V33">
            <v>1645127</v>
          </cell>
          <cell r="W33">
            <v>2609722</v>
          </cell>
          <cell r="X33">
            <v>3591828</v>
          </cell>
          <cell r="Y33">
            <v>4450446</v>
          </cell>
          <cell r="Z33">
            <v>5256938</v>
          </cell>
          <cell r="AA33">
            <v>5762822</v>
          </cell>
          <cell r="AB33">
            <v>7093464.2000000002</v>
          </cell>
          <cell r="AC33">
            <v>7979426</v>
          </cell>
          <cell r="AD33">
            <v>2377256</v>
          </cell>
          <cell r="AE33">
            <v>9879551</v>
          </cell>
          <cell r="AF33">
            <v>10671693</v>
          </cell>
          <cell r="AG33">
            <v>828431</v>
          </cell>
          <cell r="AH33">
            <v>1639127</v>
          </cell>
          <cell r="AI33">
            <v>2529353</v>
          </cell>
          <cell r="AJ33">
            <v>3544164</v>
          </cell>
          <cell r="AK33">
            <v>4347192</v>
          </cell>
          <cell r="AL33">
            <v>5336234</v>
          </cell>
          <cell r="AM33">
            <v>6118012</v>
          </cell>
          <cell r="AN33">
            <v>7016048.8600000003</v>
          </cell>
        </row>
        <row r="34">
          <cell r="G34">
            <v>2005</v>
          </cell>
          <cell r="H34" t="str">
            <v>YTD Target (Budget)</v>
          </cell>
          <cell r="I34">
            <v>871288</v>
          </cell>
          <cell r="J34">
            <v>1817906</v>
          </cell>
          <cell r="K34">
            <v>2810998</v>
          </cell>
          <cell r="L34">
            <v>2248534</v>
          </cell>
          <cell r="M34">
            <v>5029776</v>
          </cell>
          <cell r="N34">
            <v>5997954</v>
          </cell>
          <cell r="O34">
            <v>7027496</v>
          </cell>
          <cell r="P34">
            <v>4460579</v>
          </cell>
          <cell r="Q34">
            <v>9008566</v>
          </cell>
          <cell r="R34">
            <v>10019063</v>
          </cell>
          <cell r="S34">
            <v>11233349</v>
          </cell>
          <cell r="T34">
            <v>12260507</v>
          </cell>
          <cell r="U34">
            <v>876560</v>
          </cell>
          <cell r="V34">
            <v>1911684</v>
          </cell>
          <cell r="W34">
            <v>2630769</v>
          </cell>
          <cell r="X34">
            <v>3665223</v>
          </cell>
          <cell r="Y34">
            <v>4528384</v>
          </cell>
          <cell r="Z34">
            <v>5410415</v>
          </cell>
          <cell r="AA34">
            <v>6289452</v>
          </cell>
          <cell r="AB34">
            <v>7154384</v>
          </cell>
          <cell r="AC34">
            <v>8020250</v>
          </cell>
          <cell r="AD34">
            <v>2176732</v>
          </cell>
          <cell r="AE34">
            <v>9902092</v>
          </cell>
          <cell r="AF34">
            <v>10779384</v>
          </cell>
          <cell r="AG34">
            <v>867114</v>
          </cell>
          <cell r="AH34">
            <v>1719189</v>
          </cell>
          <cell r="AI34">
            <v>2577101</v>
          </cell>
          <cell r="AJ34">
            <v>3530587</v>
          </cell>
          <cell r="AK34">
            <v>4378213</v>
          </cell>
          <cell r="AL34">
            <v>5227617</v>
          </cell>
          <cell r="AM34">
            <v>6075875</v>
          </cell>
          <cell r="AN34">
            <v>6923030.54</v>
          </cell>
        </row>
        <row r="35">
          <cell r="G35">
            <v>2024</v>
          </cell>
          <cell r="H35" t="str">
            <v>Empl_Benefits</v>
          </cell>
          <cell r="I35">
            <v>115198</v>
          </cell>
          <cell r="J35">
            <v>117912</v>
          </cell>
          <cell r="K35">
            <v>120803</v>
          </cell>
          <cell r="L35">
            <v>122404</v>
          </cell>
          <cell r="M35">
            <v>178399</v>
          </cell>
          <cell r="N35">
            <v>124410</v>
          </cell>
          <cell r="O35">
            <v>125341</v>
          </cell>
          <cell r="P35">
            <v>125449</v>
          </cell>
          <cell r="Q35">
            <v>123888</v>
          </cell>
          <cell r="R35">
            <v>121217</v>
          </cell>
          <cell r="S35">
            <v>149315</v>
          </cell>
          <cell r="T35">
            <v>115069</v>
          </cell>
          <cell r="U35">
            <v>113413</v>
          </cell>
          <cell r="V35">
            <v>105464</v>
          </cell>
          <cell r="W35">
            <v>104067</v>
          </cell>
          <cell r="X35">
            <v>146115</v>
          </cell>
          <cell r="Y35">
            <v>104416</v>
          </cell>
          <cell r="Z35">
            <v>103591</v>
          </cell>
          <cell r="AA35">
            <v>102104</v>
          </cell>
          <cell r="AB35">
            <v>102413.47</v>
          </cell>
          <cell r="AC35">
            <v>113112</v>
          </cell>
          <cell r="AD35">
            <v>108222</v>
          </cell>
          <cell r="AE35">
            <v>156284</v>
          </cell>
          <cell r="AF35">
            <v>110530</v>
          </cell>
          <cell r="AG35">
            <v>110052</v>
          </cell>
          <cell r="AH35">
            <v>109894</v>
          </cell>
          <cell r="AI35">
            <v>116508</v>
          </cell>
          <cell r="AJ35">
            <v>168004</v>
          </cell>
          <cell r="AK35">
            <v>115960</v>
          </cell>
          <cell r="AL35">
            <v>115007</v>
          </cell>
          <cell r="AM35">
            <v>116265</v>
          </cell>
          <cell r="AN35">
            <v>113849.78000000001</v>
          </cell>
        </row>
        <row r="36">
          <cell r="G36">
            <v>2025</v>
          </cell>
          <cell r="H36" t="str">
            <v>Total Personnel</v>
          </cell>
          <cell r="I36">
            <v>386525</v>
          </cell>
          <cell r="J36">
            <v>395492</v>
          </cell>
          <cell r="K36">
            <v>406487</v>
          </cell>
          <cell r="L36">
            <v>404034</v>
          </cell>
          <cell r="M36">
            <v>582351</v>
          </cell>
          <cell r="N36">
            <v>408605</v>
          </cell>
          <cell r="O36">
            <v>417897</v>
          </cell>
          <cell r="P36">
            <v>418492</v>
          </cell>
          <cell r="Q36">
            <v>409702</v>
          </cell>
          <cell r="R36">
            <v>400672</v>
          </cell>
          <cell r="S36">
            <v>491134</v>
          </cell>
          <cell r="T36">
            <v>394013</v>
          </cell>
          <cell r="U36">
            <v>372298</v>
          </cell>
          <cell r="V36">
            <v>350433</v>
          </cell>
          <cell r="W36">
            <v>342707</v>
          </cell>
          <cell r="X36">
            <v>464987</v>
          </cell>
          <cell r="Y36">
            <v>343739</v>
          </cell>
          <cell r="Z36">
            <v>336751</v>
          </cell>
          <cell r="AA36">
            <v>332780</v>
          </cell>
          <cell r="AB36">
            <v>227874.44</v>
          </cell>
          <cell r="AC36">
            <v>368607</v>
          </cell>
          <cell r="AD36">
            <v>348696</v>
          </cell>
          <cell r="AE36">
            <v>499833</v>
          </cell>
          <cell r="AF36">
            <v>356413</v>
          </cell>
          <cell r="AG36">
            <v>354666</v>
          </cell>
          <cell r="AH36">
            <v>357073</v>
          </cell>
          <cell r="AI36">
            <v>364341</v>
          </cell>
          <cell r="AJ36">
            <v>527033</v>
          </cell>
          <cell r="AK36">
            <v>359047</v>
          </cell>
          <cell r="AL36">
            <v>354113</v>
          </cell>
          <cell r="AM36">
            <v>360493</v>
          </cell>
          <cell r="AN36">
            <v>352440.4</v>
          </cell>
        </row>
        <row r="37">
          <cell r="G37">
            <v>2026</v>
          </cell>
          <cell r="H37" t="str">
            <v>Target Empl_Benefits</v>
          </cell>
          <cell r="I37">
            <v>121014</v>
          </cell>
          <cell r="J37">
            <v>124472</v>
          </cell>
          <cell r="K37">
            <v>127300</v>
          </cell>
          <cell r="L37">
            <v>126977</v>
          </cell>
          <cell r="M37">
            <v>184292</v>
          </cell>
          <cell r="N37">
            <v>127296</v>
          </cell>
          <cell r="O37">
            <v>127639</v>
          </cell>
          <cell r="P37">
            <v>127527</v>
          </cell>
          <cell r="Q37">
            <v>127444</v>
          </cell>
          <cell r="R37">
            <v>127646</v>
          </cell>
          <cell r="S37">
            <v>184391</v>
          </cell>
          <cell r="T37">
            <v>127228</v>
          </cell>
          <cell r="U37">
            <v>107887</v>
          </cell>
          <cell r="V37">
            <v>174196</v>
          </cell>
          <cell r="W37">
            <v>108250</v>
          </cell>
          <cell r="X37">
            <v>160808</v>
          </cell>
          <cell r="Y37">
            <v>110900</v>
          </cell>
          <cell r="Z37">
            <v>110670</v>
          </cell>
          <cell r="AA37">
            <v>110817</v>
          </cell>
          <cell r="AB37">
            <v>110811</v>
          </cell>
          <cell r="AC37">
            <v>110713</v>
          </cell>
          <cell r="AD37">
            <v>110599</v>
          </cell>
          <cell r="AE37">
            <v>161054</v>
          </cell>
          <cell r="AF37">
            <v>110599</v>
          </cell>
          <cell r="AG37">
            <v>105645</v>
          </cell>
          <cell r="AH37">
            <v>103634</v>
          </cell>
          <cell r="AI37">
            <v>116072</v>
          </cell>
          <cell r="AJ37">
            <v>164693</v>
          </cell>
          <cell r="AK37">
            <v>115878</v>
          </cell>
          <cell r="AL37">
            <v>115581</v>
          </cell>
          <cell r="AM37">
            <v>116071</v>
          </cell>
          <cell r="AN37">
            <v>116144.46999999999</v>
          </cell>
        </row>
        <row r="38">
          <cell r="G38">
            <v>2027</v>
          </cell>
          <cell r="H38" t="str">
            <v>Target Total Personnel</v>
          </cell>
          <cell r="I38">
            <v>399412</v>
          </cell>
          <cell r="J38">
            <v>411417</v>
          </cell>
          <cell r="K38">
            <v>421800</v>
          </cell>
          <cell r="L38">
            <v>420069</v>
          </cell>
          <cell r="M38">
            <v>602958</v>
          </cell>
          <cell r="N38">
            <v>420332</v>
          </cell>
          <cell r="O38">
            <v>422645</v>
          </cell>
          <cell r="P38">
            <v>421576</v>
          </cell>
          <cell r="Q38">
            <v>420140</v>
          </cell>
          <cell r="R38">
            <v>421188</v>
          </cell>
          <cell r="S38">
            <v>602517</v>
          </cell>
          <cell r="T38">
            <v>419780</v>
          </cell>
          <cell r="U38">
            <v>359793</v>
          </cell>
          <cell r="V38">
            <v>423508</v>
          </cell>
          <cell r="W38">
            <v>347137</v>
          </cell>
          <cell r="X38">
            <v>510193</v>
          </cell>
          <cell r="Y38">
            <v>352470</v>
          </cell>
          <cell r="Z38">
            <v>350830</v>
          </cell>
          <cell r="AA38">
            <v>352539</v>
          </cell>
          <cell r="AB38">
            <v>351836</v>
          </cell>
          <cell r="AC38">
            <v>351138</v>
          </cell>
          <cell r="AD38">
            <v>350324</v>
          </cell>
          <cell r="AE38">
            <v>507000</v>
          </cell>
          <cell r="AF38">
            <v>350324</v>
          </cell>
          <cell r="AG38">
            <v>344873</v>
          </cell>
          <cell r="AH38">
            <v>337142</v>
          </cell>
          <cell r="AI38">
            <v>367770</v>
          </cell>
          <cell r="AJ38">
            <v>504213</v>
          </cell>
          <cell r="AK38">
            <v>360470</v>
          </cell>
          <cell r="AL38">
            <v>358371</v>
          </cell>
          <cell r="AM38">
            <v>361833</v>
          </cell>
          <cell r="AN38">
            <v>362351.88</v>
          </cell>
        </row>
        <row r="39">
          <cell r="G39">
            <v>2028</v>
          </cell>
          <cell r="H39" t="str">
            <v>YTD Empl_Benefits</v>
          </cell>
          <cell r="I39">
            <v>115198</v>
          </cell>
          <cell r="J39">
            <v>233110</v>
          </cell>
          <cell r="K39">
            <v>353912</v>
          </cell>
          <cell r="L39">
            <v>476317</v>
          </cell>
          <cell r="M39">
            <v>654716</v>
          </cell>
          <cell r="N39">
            <v>779126</v>
          </cell>
          <cell r="O39">
            <v>904467</v>
          </cell>
          <cell r="P39">
            <v>1029916</v>
          </cell>
          <cell r="Q39">
            <v>1153804</v>
          </cell>
          <cell r="R39">
            <v>1275020</v>
          </cell>
          <cell r="S39">
            <v>1424336</v>
          </cell>
          <cell r="T39">
            <v>1539405</v>
          </cell>
          <cell r="U39">
            <v>113413</v>
          </cell>
          <cell r="V39">
            <v>218877</v>
          </cell>
          <cell r="W39">
            <v>322944</v>
          </cell>
          <cell r="X39">
            <v>469060</v>
          </cell>
          <cell r="Y39">
            <v>573476</v>
          </cell>
          <cell r="Z39">
            <v>677067</v>
          </cell>
          <cell r="AA39">
            <v>779172</v>
          </cell>
          <cell r="AB39">
            <v>881585.2</v>
          </cell>
          <cell r="AC39">
            <v>994697</v>
          </cell>
          <cell r="AD39">
            <v>1102919</v>
          </cell>
          <cell r="AE39">
            <v>1259203</v>
          </cell>
          <cell r="AF39">
            <v>1369733</v>
          </cell>
          <cell r="AG39">
            <v>110052</v>
          </cell>
          <cell r="AH39">
            <v>219947</v>
          </cell>
          <cell r="AI39">
            <v>336455</v>
          </cell>
          <cell r="AJ39">
            <v>504458</v>
          </cell>
          <cell r="AK39">
            <v>620418</v>
          </cell>
          <cell r="AL39">
            <v>735425</v>
          </cell>
          <cell r="AM39">
            <v>851690</v>
          </cell>
          <cell r="AN39">
            <v>965539.2999999997</v>
          </cell>
        </row>
        <row r="40">
          <cell r="G40">
            <v>2029</v>
          </cell>
          <cell r="H40" t="str">
            <v>YTD Total Personnel</v>
          </cell>
          <cell r="I40">
            <v>386525</v>
          </cell>
          <cell r="J40">
            <v>782017</v>
          </cell>
          <cell r="K40">
            <v>1188504</v>
          </cell>
          <cell r="L40">
            <v>1592538</v>
          </cell>
          <cell r="M40">
            <v>2174890</v>
          </cell>
          <cell r="N40">
            <v>2583494</v>
          </cell>
          <cell r="O40">
            <v>3001392</v>
          </cell>
          <cell r="P40">
            <v>3419883</v>
          </cell>
          <cell r="Q40">
            <v>3829585</v>
          </cell>
          <cell r="R40">
            <v>4230257</v>
          </cell>
          <cell r="S40">
            <v>4721391</v>
          </cell>
          <cell r="T40">
            <v>5115404</v>
          </cell>
          <cell r="U40">
            <v>372298</v>
          </cell>
          <cell r="V40">
            <v>722731</v>
          </cell>
          <cell r="W40">
            <v>1065438</v>
          </cell>
          <cell r="X40">
            <v>1530425</v>
          </cell>
          <cell r="Y40">
            <v>1874165</v>
          </cell>
          <cell r="Z40">
            <v>2210916</v>
          </cell>
          <cell r="AA40">
            <v>2543696</v>
          </cell>
          <cell r="AB40">
            <v>1992398.26</v>
          </cell>
          <cell r="AC40">
            <v>3242590</v>
          </cell>
          <cell r="AD40">
            <v>3591286</v>
          </cell>
          <cell r="AE40">
            <v>4091119</v>
          </cell>
          <cell r="AF40">
            <v>4447532</v>
          </cell>
          <cell r="AG40">
            <v>354666</v>
          </cell>
          <cell r="AH40">
            <v>711739</v>
          </cell>
          <cell r="AI40">
            <v>1076080</v>
          </cell>
          <cell r="AJ40">
            <v>1603113</v>
          </cell>
          <cell r="AK40">
            <v>1962161</v>
          </cell>
          <cell r="AL40">
            <v>2316273</v>
          </cell>
          <cell r="AM40">
            <v>2676767</v>
          </cell>
          <cell r="AN40">
            <v>3029207.1199999996</v>
          </cell>
        </row>
        <row r="41">
          <cell r="G41">
            <v>2030</v>
          </cell>
          <cell r="H41" t="str">
            <v>YTD Target Empl_Benefits</v>
          </cell>
          <cell r="I41">
            <v>121014</v>
          </cell>
          <cell r="J41">
            <v>248831</v>
          </cell>
          <cell r="K41">
            <v>376136</v>
          </cell>
          <cell r="L41">
            <v>503139</v>
          </cell>
          <cell r="M41">
            <v>687431</v>
          </cell>
          <cell r="N41">
            <v>814727</v>
          </cell>
          <cell r="O41">
            <v>942419</v>
          </cell>
          <cell r="P41">
            <v>1069946</v>
          </cell>
          <cell r="Q41">
            <v>1197390</v>
          </cell>
          <cell r="R41">
            <v>1325035</v>
          </cell>
          <cell r="S41">
            <v>1509426</v>
          </cell>
          <cell r="T41">
            <v>1636654</v>
          </cell>
          <cell r="U41">
            <v>107887</v>
          </cell>
          <cell r="V41">
            <v>365024</v>
          </cell>
          <cell r="W41">
            <v>328289</v>
          </cell>
          <cell r="X41">
            <v>489097</v>
          </cell>
          <cell r="Y41">
            <v>599997</v>
          </cell>
          <cell r="Z41">
            <v>710667</v>
          </cell>
          <cell r="AA41">
            <v>821494</v>
          </cell>
          <cell r="AB41">
            <v>932295</v>
          </cell>
          <cell r="AC41">
            <v>1043008</v>
          </cell>
          <cell r="AD41">
            <v>1153608</v>
          </cell>
          <cell r="AE41">
            <v>1314662</v>
          </cell>
          <cell r="AF41">
            <v>1425261</v>
          </cell>
          <cell r="AG41">
            <v>105645</v>
          </cell>
          <cell r="AH41">
            <v>207345</v>
          </cell>
          <cell r="AI41">
            <v>323417</v>
          </cell>
          <cell r="AJ41">
            <v>488109</v>
          </cell>
          <cell r="AK41">
            <v>603987</v>
          </cell>
          <cell r="AL41">
            <v>719568</v>
          </cell>
          <cell r="AM41">
            <v>835639</v>
          </cell>
          <cell r="AN41">
            <v>951783.3899999999</v>
          </cell>
        </row>
        <row r="42">
          <cell r="G42">
            <v>2031</v>
          </cell>
          <cell r="H42" t="str">
            <v>YTD Target Total Personnel</v>
          </cell>
          <cell r="I42">
            <v>399412</v>
          </cell>
          <cell r="J42">
            <v>822054</v>
          </cell>
          <cell r="K42">
            <v>1246145</v>
          </cell>
          <cell r="L42">
            <v>1666364</v>
          </cell>
          <cell r="M42">
            <v>2269322</v>
          </cell>
          <cell r="N42">
            <v>2689654</v>
          </cell>
          <cell r="O42">
            <v>3112298</v>
          </cell>
          <cell r="P42">
            <v>3553874</v>
          </cell>
          <cell r="Q42">
            <v>3954014</v>
          </cell>
          <cell r="R42">
            <v>4375201</v>
          </cell>
          <cell r="S42">
            <v>4977718</v>
          </cell>
          <cell r="T42">
            <v>5397498</v>
          </cell>
          <cell r="U42">
            <v>359793</v>
          </cell>
          <cell r="V42">
            <v>879268</v>
          </cell>
          <cell r="W42">
            <v>1081419</v>
          </cell>
          <cell r="X42">
            <v>1591612</v>
          </cell>
          <cell r="Y42">
            <v>1944082</v>
          </cell>
          <cell r="Z42">
            <v>2294913</v>
          </cell>
          <cell r="AA42">
            <v>2647451</v>
          </cell>
          <cell r="AB42">
            <v>2999287</v>
          </cell>
          <cell r="AC42">
            <v>3350425</v>
          </cell>
          <cell r="AD42">
            <v>3700748</v>
          </cell>
          <cell r="AE42">
            <v>4207748</v>
          </cell>
          <cell r="AF42">
            <v>4558072</v>
          </cell>
          <cell r="AG42">
            <v>344873</v>
          </cell>
          <cell r="AH42">
            <v>674707</v>
          </cell>
          <cell r="AI42">
            <v>1042477</v>
          </cell>
          <cell r="AJ42">
            <v>1546690</v>
          </cell>
          <cell r="AK42">
            <v>1907160</v>
          </cell>
          <cell r="AL42">
            <v>2265531</v>
          </cell>
          <cell r="AM42">
            <v>2627363</v>
          </cell>
          <cell r="AN42">
            <v>2989715.2199999997</v>
          </cell>
        </row>
        <row r="43">
          <cell r="G43">
            <v>2032</v>
          </cell>
          <cell r="H43" t="str">
            <v>Actual</v>
          </cell>
          <cell r="N43">
            <v>2136</v>
          </cell>
          <cell r="O43">
            <v>11174</v>
          </cell>
          <cell r="P43">
            <v>11756</v>
          </cell>
          <cell r="Q43">
            <v>6035</v>
          </cell>
          <cell r="U43">
            <v>1637</v>
          </cell>
          <cell r="V43">
            <v>4677</v>
          </cell>
          <cell r="W43">
            <v>2032</v>
          </cell>
          <cell r="X43">
            <v>3754</v>
          </cell>
          <cell r="Y43">
            <v>5848</v>
          </cell>
          <cell r="Z43">
            <v>3714</v>
          </cell>
          <cell r="AA43">
            <v>5966</v>
          </cell>
          <cell r="AB43">
            <v>1539.15</v>
          </cell>
          <cell r="AC43">
            <v>2941</v>
          </cell>
          <cell r="AD43">
            <v>1079</v>
          </cell>
          <cell r="AE43">
            <v>3847</v>
          </cell>
          <cell r="AF43">
            <v>1841</v>
          </cell>
          <cell r="AG43">
            <v>1999</v>
          </cell>
          <cell r="AH43">
            <v>1737</v>
          </cell>
          <cell r="AI43">
            <v>3001</v>
          </cell>
          <cell r="AJ43">
            <v>1640</v>
          </cell>
          <cell r="AK43">
            <v>3899</v>
          </cell>
          <cell r="AL43">
            <v>779</v>
          </cell>
          <cell r="AM43">
            <v>4699</v>
          </cell>
          <cell r="AN43">
            <v>2654.3199999999997</v>
          </cell>
        </row>
        <row r="44">
          <cell r="G44">
            <v>2033</v>
          </cell>
          <cell r="H44" t="str">
            <v>Target (Budget)</v>
          </cell>
          <cell r="N44">
            <v>3323</v>
          </cell>
          <cell r="O44">
            <v>5601</v>
          </cell>
          <cell r="P44">
            <v>4698</v>
          </cell>
          <cell r="Q44">
            <v>3345</v>
          </cell>
          <cell r="U44">
            <v>7114</v>
          </cell>
          <cell r="V44">
            <v>7603</v>
          </cell>
          <cell r="W44">
            <v>4517</v>
          </cell>
          <cell r="X44">
            <v>4289</v>
          </cell>
          <cell r="Y44">
            <v>3545</v>
          </cell>
          <cell r="Z44">
            <v>2136</v>
          </cell>
          <cell r="AA44">
            <v>3000</v>
          </cell>
          <cell r="AB44">
            <v>3000</v>
          </cell>
          <cell r="AC44">
            <v>2400</v>
          </cell>
          <cell r="AD44">
            <v>1700</v>
          </cell>
          <cell r="AE44">
            <v>1700</v>
          </cell>
          <cell r="AF44">
            <v>1700</v>
          </cell>
          <cell r="AG44">
            <v>3208</v>
          </cell>
          <cell r="AH44">
            <v>3024</v>
          </cell>
          <cell r="AI44">
            <v>4168</v>
          </cell>
          <cell r="AJ44">
            <v>1770</v>
          </cell>
          <cell r="AK44">
            <v>3703</v>
          </cell>
          <cell r="AL44">
            <v>1901</v>
          </cell>
          <cell r="AM44">
            <v>4873</v>
          </cell>
          <cell r="AN44">
            <v>5318.09</v>
          </cell>
        </row>
        <row r="45">
          <cell r="G45">
            <v>2036</v>
          </cell>
          <cell r="H45" t="str">
            <v>YTD Actual</v>
          </cell>
          <cell r="N45">
            <v>29484</v>
          </cell>
          <cell r="O45">
            <v>40658</v>
          </cell>
          <cell r="P45">
            <v>52413</v>
          </cell>
          <cell r="Q45">
            <v>58448</v>
          </cell>
          <cell r="U45">
            <v>1637</v>
          </cell>
          <cell r="V45">
            <v>6315</v>
          </cell>
          <cell r="W45">
            <v>8347</v>
          </cell>
          <cell r="X45">
            <v>12101</v>
          </cell>
          <cell r="Y45">
            <v>17949</v>
          </cell>
          <cell r="Z45">
            <v>21663</v>
          </cell>
          <cell r="AA45">
            <v>27628</v>
          </cell>
          <cell r="AB45">
            <v>29167.61</v>
          </cell>
          <cell r="AC45">
            <v>32109</v>
          </cell>
          <cell r="AD45">
            <v>33188</v>
          </cell>
          <cell r="AE45">
            <v>37035</v>
          </cell>
          <cell r="AF45">
            <v>38876</v>
          </cell>
          <cell r="AG45">
            <v>1999</v>
          </cell>
          <cell r="AH45">
            <v>3736</v>
          </cell>
          <cell r="AI45">
            <v>6737</v>
          </cell>
          <cell r="AJ45">
            <v>8376</v>
          </cell>
          <cell r="AK45">
            <v>12275</v>
          </cell>
          <cell r="AL45">
            <v>13054</v>
          </cell>
          <cell r="AM45">
            <v>17753</v>
          </cell>
          <cell r="AN45">
            <v>20407.63</v>
          </cell>
        </row>
        <row r="46">
          <cell r="G46">
            <v>2037</v>
          </cell>
          <cell r="H46" t="str">
            <v>YTD Target (Budget)</v>
          </cell>
          <cell r="N46">
            <v>24082</v>
          </cell>
          <cell r="O46">
            <v>29683</v>
          </cell>
          <cell r="P46">
            <v>34381</v>
          </cell>
          <cell r="Q46">
            <v>37726</v>
          </cell>
          <cell r="U46">
            <v>7114</v>
          </cell>
          <cell r="V46">
            <v>17717</v>
          </cell>
          <cell r="W46">
            <v>19234</v>
          </cell>
          <cell r="X46">
            <v>23523</v>
          </cell>
          <cell r="Y46">
            <v>27068</v>
          </cell>
          <cell r="Z46">
            <v>29204</v>
          </cell>
          <cell r="AA46">
            <v>32204</v>
          </cell>
          <cell r="AB46">
            <v>35204</v>
          </cell>
          <cell r="AC46">
            <v>37604</v>
          </cell>
          <cell r="AD46">
            <v>39304</v>
          </cell>
          <cell r="AE46">
            <v>41004</v>
          </cell>
          <cell r="AF46">
            <v>42704</v>
          </cell>
          <cell r="AG46">
            <v>3208</v>
          </cell>
          <cell r="AH46">
            <v>6232</v>
          </cell>
          <cell r="AI46">
            <v>10400</v>
          </cell>
          <cell r="AJ46">
            <v>12170</v>
          </cell>
          <cell r="AK46">
            <v>15872</v>
          </cell>
          <cell r="AL46">
            <v>17773</v>
          </cell>
          <cell r="AM46">
            <v>22645</v>
          </cell>
          <cell r="AN46">
            <v>27963.43</v>
          </cell>
        </row>
        <row r="47">
          <cell r="G47">
            <v>2044</v>
          </cell>
          <cell r="H47" t="str">
            <v>Actual</v>
          </cell>
          <cell r="I47">
            <v>-457912</v>
          </cell>
          <cell r="J47">
            <v>-1114160</v>
          </cell>
          <cell r="K47">
            <v>-620534</v>
          </cell>
          <cell r="L47">
            <v>-1213791</v>
          </cell>
          <cell r="M47">
            <v>-871564</v>
          </cell>
          <cell r="N47">
            <v>-1148006</v>
          </cell>
          <cell r="O47">
            <v>-785091</v>
          </cell>
          <cell r="P47">
            <v>-1070198</v>
          </cell>
          <cell r="Q47">
            <v>11014218</v>
          </cell>
          <cell r="R47">
            <v>-1027887</v>
          </cell>
          <cell r="S47">
            <v>-975586</v>
          </cell>
          <cell r="T47">
            <v>880887</v>
          </cell>
          <cell r="U47">
            <v>-1122189</v>
          </cell>
          <cell r="V47">
            <v>10538243</v>
          </cell>
          <cell r="W47">
            <v>-964595</v>
          </cell>
          <cell r="X47">
            <v>-982106</v>
          </cell>
          <cell r="Y47">
            <v>-858618</v>
          </cell>
          <cell r="Z47">
            <v>-806492</v>
          </cell>
          <cell r="AA47">
            <v>-505884</v>
          </cell>
          <cell r="AB47">
            <v>-1330695.6599999999</v>
          </cell>
          <cell r="AC47">
            <v>-885962</v>
          </cell>
          <cell r="AD47">
            <v>-704446</v>
          </cell>
          <cell r="AE47">
            <v>1195679</v>
          </cell>
          <cell r="AF47">
            <v>-6014</v>
          </cell>
          <cell r="AG47">
            <v>-786431</v>
          </cell>
          <cell r="AH47">
            <v>9905572</v>
          </cell>
          <cell r="AI47">
            <v>-890226</v>
          </cell>
          <cell r="AJ47">
            <v>-1014811</v>
          </cell>
          <cell r="AK47">
            <v>-803028</v>
          </cell>
          <cell r="AL47">
            <v>-989042</v>
          </cell>
          <cell r="AM47">
            <v>-781778</v>
          </cell>
          <cell r="AN47">
            <v>-790971.22</v>
          </cell>
        </row>
        <row r="48">
          <cell r="G48">
            <v>2045</v>
          </cell>
          <cell r="H48" t="str">
            <v>Target (Budget)</v>
          </cell>
          <cell r="I48">
            <v>-497845</v>
          </cell>
          <cell r="J48">
            <v>-961378</v>
          </cell>
          <cell r="K48">
            <v>-1028865</v>
          </cell>
          <cell r="L48">
            <v>-1103750</v>
          </cell>
          <cell r="M48">
            <v>-1114878</v>
          </cell>
          <cell r="N48">
            <v>-968178</v>
          </cell>
          <cell r="O48">
            <v>-1029543</v>
          </cell>
          <cell r="P48">
            <v>-966957</v>
          </cell>
          <cell r="Q48">
            <v>10805076</v>
          </cell>
          <cell r="R48">
            <v>-1010497</v>
          </cell>
          <cell r="S48">
            <v>-1214286</v>
          </cell>
          <cell r="T48">
            <v>1027158</v>
          </cell>
          <cell r="U48">
            <v>-1167736</v>
          </cell>
          <cell r="V48">
            <v>10413200</v>
          </cell>
          <cell r="W48">
            <v>-864071</v>
          </cell>
          <cell r="X48">
            <v>-1034454</v>
          </cell>
          <cell r="Y48">
            <v>-863161</v>
          </cell>
          <cell r="Z48">
            <v>-882031</v>
          </cell>
          <cell r="AA48">
            <v>-879037</v>
          </cell>
          <cell r="AB48">
            <v>-864985</v>
          </cell>
          <cell r="AC48">
            <v>-865866</v>
          </cell>
          <cell r="AD48">
            <v>-864146</v>
          </cell>
          <cell r="AE48">
            <v>1017696</v>
          </cell>
          <cell r="AF48">
            <v>-91164</v>
          </cell>
          <cell r="AG48">
            <v>-825114</v>
          </cell>
          <cell r="AH48">
            <v>9856885</v>
          </cell>
          <cell r="AI48">
            <v>-883922</v>
          </cell>
          <cell r="AJ48">
            <v>-990958</v>
          </cell>
          <cell r="AK48">
            <v>-847626</v>
          </cell>
          <cell r="AL48">
            <v>-849404</v>
          </cell>
          <cell r="AM48">
            <v>-848258</v>
          </cell>
          <cell r="AN48">
            <v>-740089.60999999987</v>
          </cell>
        </row>
        <row r="49">
          <cell r="G49">
            <v>2048</v>
          </cell>
          <cell r="H49" t="str">
            <v>YTD Actual</v>
          </cell>
          <cell r="I49">
            <v>-457912</v>
          </cell>
          <cell r="J49">
            <v>-1572073</v>
          </cell>
          <cell r="K49">
            <v>-2192606</v>
          </cell>
          <cell r="L49">
            <v>-3406398</v>
          </cell>
          <cell r="M49">
            <v>-4277962</v>
          </cell>
          <cell r="N49">
            <v>-5425968</v>
          </cell>
          <cell r="O49">
            <v>-6211059</v>
          </cell>
          <cell r="P49">
            <v>-7281258</v>
          </cell>
          <cell r="Q49">
            <v>3732961</v>
          </cell>
          <cell r="R49">
            <v>2705074</v>
          </cell>
          <cell r="S49">
            <v>1729488</v>
          </cell>
          <cell r="T49">
            <v>11305824</v>
          </cell>
          <cell r="U49">
            <v>-1122189</v>
          </cell>
          <cell r="V49">
            <v>9416054</v>
          </cell>
          <cell r="W49">
            <v>8451459</v>
          </cell>
          <cell r="X49">
            <v>7469353</v>
          </cell>
          <cell r="Y49">
            <v>6610735</v>
          </cell>
          <cell r="Z49">
            <v>5804243</v>
          </cell>
          <cell r="AA49">
            <v>5298359</v>
          </cell>
          <cell r="AB49">
            <v>3967663.45</v>
          </cell>
          <cell r="AC49">
            <v>3081702</v>
          </cell>
          <cell r="AD49">
            <v>2377256</v>
          </cell>
          <cell r="AE49">
            <v>1181577</v>
          </cell>
          <cell r="AF49">
            <v>1175562</v>
          </cell>
          <cell r="AG49">
            <v>-786431</v>
          </cell>
          <cell r="AH49">
            <v>9119141</v>
          </cell>
          <cell r="AI49">
            <v>8228915</v>
          </cell>
          <cell r="AJ49">
            <v>7214104</v>
          </cell>
          <cell r="AK49">
            <v>6411076</v>
          </cell>
          <cell r="AL49">
            <v>5422034</v>
          </cell>
          <cell r="AM49">
            <v>4640256</v>
          </cell>
          <cell r="AN49">
            <v>3849284.96</v>
          </cell>
        </row>
        <row r="50">
          <cell r="G50">
            <v>2049</v>
          </cell>
          <cell r="H50" t="str">
            <v>YTD Target (Budget)</v>
          </cell>
          <cell r="I50">
            <v>-497845</v>
          </cell>
          <cell r="J50">
            <v>-1444463</v>
          </cell>
          <cell r="K50">
            <v>-2475760</v>
          </cell>
          <cell r="L50">
            <v>-3579660</v>
          </cell>
          <cell r="M50">
            <v>-4694538</v>
          </cell>
          <cell r="N50">
            <v>-5662716</v>
          </cell>
          <cell r="O50">
            <v>-6692259</v>
          </cell>
          <cell r="P50">
            <v>-7659216</v>
          </cell>
          <cell r="Q50">
            <v>3145860</v>
          </cell>
          <cell r="R50">
            <v>2135363</v>
          </cell>
          <cell r="S50">
            <v>921077</v>
          </cell>
          <cell r="T50">
            <v>12260507</v>
          </cell>
          <cell r="U50">
            <v>-1167736</v>
          </cell>
          <cell r="V50">
            <v>9149497</v>
          </cell>
          <cell r="W50">
            <v>8430412</v>
          </cell>
          <cell r="X50">
            <v>7395958</v>
          </cell>
          <cell r="Y50">
            <v>6532797</v>
          </cell>
          <cell r="Z50">
            <v>5650766</v>
          </cell>
          <cell r="AA50">
            <v>4771729</v>
          </cell>
          <cell r="AB50">
            <v>3906744</v>
          </cell>
          <cell r="AC50">
            <v>3040877</v>
          </cell>
          <cell r="AD50">
            <v>2176732</v>
          </cell>
          <cell r="AE50">
            <v>1159036</v>
          </cell>
          <cell r="AF50">
            <v>1067872</v>
          </cell>
          <cell r="AG50">
            <v>-825114</v>
          </cell>
          <cell r="AH50">
            <v>9039079</v>
          </cell>
          <cell r="AI50">
            <v>8181167</v>
          </cell>
          <cell r="AJ50">
            <v>7227681</v>
          </cell>
          <cell r="AK50">
            <v>6380055</v>
          </cell>
          <cell r="AL50">
            <v>5530651</v>
          </cell>
          <cell r="AM50">
            <v>4682393</v>
          </cell>
          <cell r="AN50">
            <v>3942303.2800000003</v>
          </cell>
        </row>
        <row r="51">
          <cell r="G51">
            <v>2056</v>
          </cell>
          <cell r="H51" t="str">
            <v>Actual</v>
          </cell>
          <cell r="I51">
            <v>-440568</v>
          </cell>
          <cell r="J51">
            <v>-1067188</v>
          </cell>
          <cell r="K51">
            <v>-609094</v>
          </cell>
          <cell r="L51">
            <v>-1192362</v>
          </cell>
          <cell r="M51">
            <v>-849141</v>
          </cell>
          <cell r="N51">
            <v>-1132104</v>
          </cell>
          <cell r="O51">
            <v>-758984</v>
          </cell>
          <cell r="P51">
            <v>-1050776</v>
          </cell>
          <cell r="Q51">
            <v>11039400</v>
          </cell>
          <cell r="R51">
            <v>-903874</v>
          </cell>
          <cell r="S51">
            <v>-954022</v>
          </cell>
          <cell r="T51">
            <v>-833944</v>
          </cell>
          <cell r="U51">
            <v>-1115980</v>
          </cell>
          <cell r="V51">
            <v>10551738</v>
          </cell>
          <cell r="W51">
            <v>-908975</v>
          </cell>
          <cell r="X51">
            <v>-961419</v>
          </cell>
          <cell r="Y51">
            <v>-839984</v>
          </cell>
          <cell r="Z51">
            <v>-787094</v>
          </cell>
          <cell r="AA51">
            <v>-1886539</v>
          </cell>
          <cell r="AB51">
            <v>-1309621.6200000001</v>
          </cell>
          <cell r="AC51">
            <v>-864367</v>
          </cell>
          <cell r="AD51">
            <v>-676150</v>
          </cell>
          <cell r="AE51">
            <v>1175733</v>
          </cell>
          <cell r="AF51">
            <v>16125</v>
          </cell>
          <cell r="AG51">
            <v>-764940</v>
          </cell>
          <cell r="AH51">
            <v>9926432</v>
          </cell>
          <cell r="AI51">
            <v>-865967</v>
          </cell>
          <cell r="AJ51">
            <v>-994656</v>
          </cell>
          <cell r="AK51">
            <v>-780558</v>
          </cell>
          <cell r="AL51">
            <v>-968522</v>
          </cell>
          <cell r="AM51">
            <v>-762258</v>
          </cell>
          <cell r="AN51">
            <v>-767599.9</v>
          </cell>
        </row>
        <row r="52">
          <cell r="G52">
            <v>2057</v>
          </cell>
          <cell r="H52" t="str">
            <v>Target (Budget)</v>
          </cell>
          <cell r="I52">
            <v>-482585</v>
          </cell>
          <cell r="J52">
            <v>-938145</v>
          </cell>
          <cell r="K52">
            <v>-1008818</v>
          </cell>
          <cell r="L52">
            <v>-1083503</v>
          </cell>
          <cell r="M52">
            <v>-1094831</v>
          </cell>
          <cell r="N52">
            <v>-948131</v>
          </cell>
          <cell r="O52">
            <v>-1009296</v>
          </cell>
          <cell r="P52">
            <v>-946910</v>
          </cell>
          <cell r="Q52">
            <v>10825323</v>
          </cell>
          <cell r="R52">
            <v>-990450</v>
          </cell>
          <cell r="S52">
            <v>-1194039</v>
          </cell>
          <cell r="T52">
            <v>-878911</v>
          </cell>
          <cell r="U52">
            <v>-1150488</v>
          </cell>
          <cell r="V52">
            <v>10436756</v>
          </cell>
          <cell r="W52">
            <v>-845457</v>
          </cell>
          <cell r="X52">
            <v>-1019131</v>
          </cell>
          <cell r="Y52">
            <v>-846047</v>
          </cell>
          <cell r="Z52">
            <v>-865797</v>
          </cell>
          <cell r="AA52">
            <v>-860435</v>
          </cell>
          <cell r="AB52">
            <v>-848221</v>
          </cell>
          <cell r="AC52">
            <v>-849553</v>
          </cell>
          <cell r="AD52">
            <v>-848203</v>
          </cell>
          <cell r="AE52">
            <v>1002328</v>
          </cell>
          <cell r="AF52">
            <v>-76355</v>
          </cell>
          <cell r="AG52">
            <v>-804634</v>
          </cell>
          <cell r="AH52">
            <v>9878019</v>
          </cell>
          <cell r="AI52">
            <v>-861842</v>
          </cell>
          <cell r="AJ52">
            <v>-967778</v>
          </cell>
          <cell r="AK52">
            <v>-825946</v>
          </cell>
          <cell r="AL52">
            <v>-829024</v>
          </cell>
          <cell r="AM52">
            <v>-826278</v>
          </cell>
          <cell r="AN52">
            <v>-717509.77999999991</v>
          </cell>
        </row>
        <row r="53">
          <cell r="G53">
            <v>2060</v>
          </cell>
          <cell r="H53" t="str">
            <v>YTD Actual</v>
          </cell>
          <cell r="I53">
            <v>-440568</v>
          </cell>
          <cell r="J53">
            <v>-1507756</v>
          </cell>
          <cell r="K53">
            <v>-2116850</v>
          </cell>
          <cell r="L53">
            <v>-3309212</v>
          </cell>
          <cell r="M53">
            <v>-4158353</v>
          </cell>
          <cell r="N53">
            <v>-5290458</v>
          </cell>
          <cell r="O53">
            <v>-6048442</v>
          </cell>
          <cell r="P53">
            <v>-7100218</v>
          </cell>
          <cell r="Q53">
            <v>3939181</v>
          </cell>
          <cell r="R53">
            <v>3035308</v>
          </cell>
          <cell r="S53">
            <v>2081285</v>
          </cell>
          <cell r="T53">
            <v>-291176</v>
          </cell>
          <cell r="U53">
            <v>-1115980</v>
          </cell>
          <cell r="V53">
            <v>9435758</v>
          </cell>
          <cell r="W53">
            <v>8526783</v>
          </cell>
          <cell r="X53">
            <v>7565364</v>
          </cell>
          <cell r="Y53">
            <v>6725380</v>
          </cell>
          <cell r="Z53">
            <v>5938286</v>
          </cell>
          <cell r="AA53">
            <v>4051747</v>
          </cell>
          <cell r="AB53">
            <v>2742125.29</v>
          </cell>
          <cell r="AC53">
            <v>1877758</v>
          </cell>
          <cell r="AD53">
            <v>1201608</v>
          </cell>
          <cell r="AE53">
            <v>25875</v>
          </cell>
          <cell r="AF53">
            <v>42000</v>
          </cell>
          <cell r="AG53">
            <v>-764940</v>
          </cell>
          <cell r="AH53">
            <v>9161492</v>
          </cell>
          <cell r="AI53">
            <v>8295525</v>
          </cell>
          <cell r="AJ53">
            <v>7300869</v>
          </cell>
          <cell r="AK53">
            <v>6520311</v>
          </cell>
          <cell r="AL53">
            <v>5551790</v>
          </cell>
          <cell r="AM53">
            <v>4789532</v>
          </cell>
          <cell r="AN53">
            <v>4021931.98</v>
          </cell>
        </row>
        <row r="54">
          <cell r="G54">
            <v>2061</v>
          </cell>
          <cell r="H54" t="str">
            <v>YTD Target (Budget)</v>
          </cell>
          <cell r="I54">
            <v>-482585</v>
          </cell>
          <cell r="J54">
            <v>-1405970</v>
          </cell>
          <cell r="K54">
            <v>-2406220</v>
          </cell>
          <cell r="L54">
            <v>-3489873</v>
          </cell>
          <cell r="M54">
            <v>-4584704</v>
          </cell>
          <cell r="N54">
            <v>-5532835</v>
          </cell>
          <cell r="O54">
            <v>-6542131</v>
          </cell>
          <cell r="P54">
            <v>-7489041</v>
          </cell>
          <cell r="Q54">
            <v>3336282</v>
          </cell>
          <cell r="R54">
            <v>2345832</v>
          </cell>
          <cell r="S54">
            <v>1151793</v>
          </cell>
          <cell r="T54">
            <v>-1265635</v>
          </cell>
          <cell r="U54">
            <v>-1150488</v>
          </cell>
          <cell r="V54">
            <v>9187049</v>
          </cell>
          <cell r="W54">
            <v>8486577</v>
          </cell>
          <cell r="X54">
            <v>7467446</v>
          </cell>
          <cell r="Y54">
            <v>6621399</v>
          </cell>
          <cell r="Z54">
            <v>5755601</v>
          </cell>
          <cell r="AA54">
            <v>4895167</v>
          </cell>
          <cell r="AB54">
            <v>4046946</v>
          </cell>
          <cell r="AC54">
            <v>3197393</v>
          </cell>
          <cell r="AD54">
            <v>2349190</v>
          </cell>
          <cell r="AE54">
            <v>1346863</v>
          </cell>
          <cell r="AF54">
            <v>1270507</v>
          </cell>
          <cell r="AG54">
            <v>-804634</v>
          </cell>
          <cell r="AH54">
            <v>9080693</v>
          </cell>
          <cell r="AI54">
            <v>8244861</v>
          </cell>
          <cell r="AJ54">
            <v>7314555</v>
          </cell>
          <cell r="AK54">
            <v>6488608</v>
          </cell>
          <cell r="AL54">
            <v>5659584</v>
          </cell>
          <cell r="AM54">
            <v>4833306</v>
          </cell>
          <cell r="AN54">
            <v>4115795.9200000004</v>
          </cell>
        </row>
        <row r="55">
          <cell r="G55">
            <v>3000</v>
          </cell>
          <cell r="H55" t="str">
            <v>Actual</v>
          </cell>
          <cell r="I55">
            <v>4494505.45</v>
          </cell>
          <cell r="J55">
            <v>4607908.8699999992</v>
          </cell>
          <cell r="K55">
            <v>4386804.42</v>
          </cell>
          <cell r="L55">
            <v>4494968.7</v>
          </cell>
          <cell r="M55">
            <v>4365031.59</v>
          </cell>
          <cell r="N55">
            <v>3960170.1000000006</v>
          </cell>
          <cell r="O55">
            <v>4149453.67</v>
          </cell>
          <cell r="P55">
            <v>4231788.2299999995</v>
          </cell>
          <cell r="Q55">
            <v>4277980.8100000005</v>
          </cell>
          <cell r="R55">
            <v>4056413.96</v>
          </cell>
          <cell r="S55">
            <v>4572932.66</v>
          </cell>
          <cell r="T55">
            <v>6336353</v>
          </cell>
          <cell r="U55">
            <v>5075263.6500000004</v>
          </cell>
          <cell r="V55">
            <v>4229001</v>
          </cell>
          <cell r="W55">
            <v>4215898</v>
          </cell>
          <cell r="X55">
            <v>4132851</v>
          </cell>
          <cell r="Y55">
            <v>5211456</v>
          </cell>
          <cell r="Z55">
            <v>3992063</v>
          </cell>
          <cell r="AA55">
            <v>4409360</v>
          </cell>
          <cell r="AB55">
            <v>4139609.53</v>
          </cell>
          <cell r="AC55">
            <v>5617049</v>
          </cell>
          <cell r="AD55">
            <v>4484410</v>
          </cell>
          <cell r="AE55">
            <v>4451936</v>
          </cell>
          <cell r="AF55">
            <v>5455635</v>
          </cell>
          <cell r="AG55">
            <v>5042622</v>
          </cell>
          <cell r="AH55">
            <v>4875895</v>
          </cell>
          <cell r="AI55">
            <v>4791103</v>
          </cell>
          <cell r="AJ55">
            <v>4639392</v>
          </cell>
          <cell r="AK55">
            <v>4062929</v>
          </cell>
          <cell r="AL55">
            <v>4590461</v>
          </cell>
          <cell r="AM55">
            <v>4301574</v>
          </cell>
          <cell r="AN55">
            <v>4234683.76</v>
          </cell>
        </row>
        <row r="56">
          <cell r="G56">
            <v>3001</v>
          </cell>
          <cell r="H56" t="str">
            <v>Target (Budget)</v>
          </cell>
          <cell r="I56">
            <v>4046541.84</v>
          </cell>
          <cell r="J56">
            <v>4038037.7399999998</v>
          </cell>
          <cell r="K56">
            <v>3971795.7099999995</v>
          </cell>
          <cell r="L56">
            <v>4007602.3000000003</v>
          </cell>
          <cell r="M56">
            <v>3964357.8199999994</v>
          </cell>
          <cell r="N56">
            <v>4055047.6800000006</v>
          </cell>
          <cell r="O56">
            <v>4092650.3800000004</v>
          </cell>
          <cell r="P56">
            <v>4103505.98</v>
          </cell>
          <cell r="Q56">
            <v>4252215.57</v>
          </cell>
          <cell r="R56">
            <v>4194878.12</v>
          </cell>
          <cell r="S56">
            <v>4251571.72</v>
          </cell>
          <cell r="T56">
            <v>4197899</v>
          </cell>
          <cell r="U56">
            <v>4693182.7700000005</v>
          </cell>
          <cell r="V56">
            <v>4742768.7100000009</v>
          </cell>
          <cell r="W56">
            <v>4688334.1700000009</v>
          </cell>
          <cell r="X56">
            <v>4947538</v>
          </cell>
          <cell r="Y56">
            <v>4683685</v>
          </cell>
          <cell r="Z56">
            <v>4807321</v>
          </cell>
          <cell r="AA56">
            <v>4494480</v>
          </cell>
          <cell r="AB56">
            <v>4479575</v>
          </cell>
          <cell r="AC56">
            <v>4581039</v>
          </cell>
          <cell r="AD56">
            <v>5767575</v>
          </cell>
          <cell r="AE56">
            <v>5055779</v>
          </cell>
          <cell r="AF56">
            <v>4967524</v>
          </cell>
          <cell r="AG56">
            <v>5176599</v>
          </cell>
          <cell r="AH56">
            <v>5044042</v>
          </cell>
          <cell r="AI56">
            <v>5076629</v>
          </cell>
          <cell r="AJ56">
            <v>5037029</v>
          </cell>
          <cell r="AK56">
            <v>5026888</v>
          </cell>
          <cell r="AL56">
            <v>4778706</v>
          </cell>
          <cell r="AM56">
            <v>4466610</v>
          </cell>
          <cell r="AN56">
            <v>4480083.7</v>
          </cell>
        </row>
        <row r="57">
          <cell r="G57">
            <v>3004</v>
          </cell>
          <cell r="H57" t="str">
            <v>YTD Actual</v>
          </cell>
          <cell r="I57">
            <v>4494505.45</v>
          </cell>
          <cell r="J57">
            <v>9102414.3200000003</v>
          </cell>
          <cell r="K57">
            <v>13489218.74</v>
          </cell>
          <cell r="L57">
            <v>17984187.440000001</v>
          </cell>
          <cell r="M57">
            <v>22349219.030000001</v>
          </cell>
          <cell r="N57">
            <v>26309389.129999999</v>
          </cell>
          <cell r="O57">
            <v>30458842.799999997</v>
          </cell>
          <cell r="P57">
            <v>35904397.890000008</v>
          </cell>
          <cell r="Q57">
            <v>40182378.700000003</v>
          </cell>
          <cell r="R57">
            <v>44266215.329999998</v>
          </cell>
          <cell r="S57">
            <v>48811724.740000002</v>
          </cell>
          <cell r="T57">
            <v>55148078</v>
          </cell>
          <cell r="U57">
            <v>5075263.6800000006</v>
          </cell>
          <cell r="V57">
            <v>8497378</v>
          </cell>
          <cell r="W57">
            <v>12713276</v>
          </cell>
          <cell r="X57">
            <v>16846127</v>
          </cell>
          <cell r="Y57">
            <v>22057583</v>
          </cell>
          <cell r="Z57">
            <v>26049646</v>
          </cell>
          <cell r="AA57">
            <v>30459005</v>
          </cell>
          <cell r="AB57">
            <v>34598614.850000001</v>
          </cell>
          <cell r="AC57">
            <v>40215676</v>
          </cell>
          <cell r="AD57">
            <v>49104605</v>
          </cell>
          <cell r="AE57">
            <v>46766090</v>
          </cell>
          <cell r="AF57">
            <v>52221724</v>
          </cell>
          <cell r="AG57">
            <v>5042622</v>
          </cell>
          <cell r="AH57">
            <v>9661424</v>
          </cell>
          <cell r="AI57">
            <v>14324067</v>
          </cell>
          <cell r="AJ57">
            <v>18962832</v>
          </cell>
          <cell r="AK57">
            <v>23025761</v>
          </cell>
          <cell r="AL57">
            <v>27616222</v>
          </cell>
          <cell r="AM57">
            <v>31951679</v>
          </cell>
          <cell r="AN57">
            <v>36186362.519999996</v>
          </cell>
        </row>
        <row r="58">
          <cell r="G58">
            <v>3005</v>
          </cell>
          <cell r="H58" t="str">
            <v>YTD Target (Budget)</v>
          </cell>
          <cell r="I58">
            <v>4046541.84</v>
          </cell>
          <cell r="J58">
            <v>8084579.5800000001</v>
          </cell>
          <cell r="K58">
            <v>12056375.289999999</v>
          </cell>
          <cell r="L58">
            <v>16063977.59</v>
          </cell>
          <cell r="M58">
            <v>20028335.41</v>
          </cell>
          <cell r="N58">
            <v>24083383.09</v>
          </cell>
          <cell r="O58">
            <v>28176033.470000003</v>
          </cell>
          <cell r="P58">
            <v>33506301.120000001</v>
          </cell>
          <cell r="Q58">
            <v>37758516.690000005</v>
          </cell>
          <cell r="R58">
            <v>41774417.030000001</v>
          </cell>
          <cell r="S58">
            <v>46224852.210000001</v>
          </cell>
          <cell r="T58">
            <v>50422752</v>
          </cell>
          <cell r="U58">
            <v>4693182.5600000005</v>
          </cell>
          <cell r="V58">
            <v>9435951.2200000007</v>
          </cell>
          <cell r="W58">
            <v>14124285.390000001</v>
          </cell>
          <cell r="X58">
            <v>17985871</v>
          </cell>
          <cell r="Y58">
            <v>22669556</v>
          </cell>
          <cell r="Z58">
            <v>27476878</v>
          </cell>
          <cell r="AA58">
            <v>31971358</v>
          </cell>
          <cell r="AB58">
            <v>36450933</v>
          </cell>
          <cell r="AC58">
            <v>41031972</v>
          </cell>
          <cell r="AD58">
            <v>52133765</v>
          </cell>
          <cell r="AE58">
            <v>51110322</v>
          </cell>
          <cell r="AF58">
            <v>56077846</v>
          </cell>
          <cell r="AG58">
            <v>5176599</v>
          </cell>
          <cell r="AH58">
            <v>10152009</v>
          </cell>
          <cell r="AI58">
            <v>15228638</v>
          </cell>
          <cell r="AJ58">
            <v>20265666</v>
          </cell>
          <cell r="AK58">
            <v>25292554</v>
          </cell>
          <cell r="AL58">
            <v>30071260</v>
          </cell>
          <cell r="AM58">
            <v>34537870</v>
          </cell>
          <cell r="AN58">
            <v>39017954.099999994</v>
          </cell>
        </row>
        <row r="59">
          <cell r="G59">
            <v>3012</v>
          </cell>
          <cell r="H59" t="str">
            <v>Actual</v>
          </cell>
          <cell r="I59">
            <v>568064.71</v>
          </cell>
          <cell r="J59">
            <v>573493.81999999995</v>
          </cell>
          <cell r="K59">
            <v>565629.68000000005</v>
          </cell>
          <cell r="L59">
            <v>581237.32999999996</v>
          </cell>
          <cell r="M59">
            <v>583357.15</v>
          </cell>
          <cell r="N59">
            <v>576507.27</v>
          </cell>
          <cell r="O59">
            <v>612138.26</v>
          </cell>
          <cell r="P59">
            <v>559265.77</v>
          </cell>
          <cell r="Q59">
            <v>587726.19999999995</v>
          </cell>
          <cell r="R59">
            <v>573494</v>
          </cell>
          <cell r="S59">
            <v>595796.31000000006</v>
          </cell>
          <cell r="T59">
            <v>594031</v>
          </cell>
          <cell r="U59">
            <v>573798.82999999996</v>
          </cell>
          <cell r="V59">
            <v>456637</v>
          </cell>
          <cell r="W59">
            <v>495387.6</v>
          </cell>
          <cell r="X59">
            <v>493906.5</v>
          </cell>
          <cell r="Y59">
            <v>555018</v>
          </cell>
          <cell r="Z59">
            <v>555918</v>
          </cell>
          <cell r="AA59">
            <v>521121.9</v>
          </cell>
          <cell r="AB59">
            <v>427831.27</v>
          </cell>
          <cell r="AC59">
            <v>525044</v>
          </cell>
          <cell r="AD59">
            <v>918627</v>
          </cell>
          <cell r="AE59">
            <v>541910</v>
          </cell>
          <cell r="AF59">
            <v>522983</v>
          </cell>
          <cell r="AG59">
            <v>568498</v>
          </cell>
          <cell r="AH59">
            <v>511322</v>
          </cell>
          <cell r="AI59">
            <v>539058.1</v>
          </cell>
          <cell r="AJ59">
            <v>565371.9</v>
          </cell>
          <cell r="AK59">
            <v>532118</v>
          </cell>
          <cell r="AL59">
            <v>549513.30000000005</v>
          </cell>
          <cell r="AM59">
            <v>535901.9</v>
          </cell>
          <cell r="AN59">
            <v>510508.67000000004</v>
          </cell>
        </row>
        <row r="60">
          <cell r="G60">
            <v>3013</v>
          </cell>
          <cell r="H60" t="str">
            <v>Target (Budget)</v>
          </cell>
          <cell r="I60">
            <v>543773.51</v>
          </cell>
          <cell r="J60">
            <v>543807.68999999994</v>
          </cell>
          <cell r="K60">
            <v>532612.71</v>
          </cell>
          <cell r="L60">
            <v>534179.62</v>
          </cell>
          <cell r="M60">
            <v>526029.69999999995</v>
          </cell>
          <cell r="N60">
            <v>539650.46</v>
          </cell>
          <cell r="O60">
            <v>557735.56999999995</v>
          </cell>
          <cell r="P60">
            <v>518839.48</v>
          </cell>
          <cell r="Q60">
            <v>555428.79</v>
          </cell>
          <cell r="R60">
            <v>543808</v>
          </cell>
          <cell r="S60">
            <v>560953.74</v>
          </cell>
          <cell r="T60">
            <v>545116</v>
          </cell>
          <cell r="U60">
            <v>569504.80000000005</v>
          </cell>
          <cell r="V60">
            <v>567278.56000000006</v>
          </cell>
          <cell r="W60">
            <v>561756.39</v>
          </cell>
          <cell r="X60">
            <v>543115</v>
          </cell>
          <cell r="Y60">
            <v>528970</v>
          </cell>
          <cell r="Z60">
            <v>540221</v>
          </cell>
          <cell r="AA60">
            <v>599566</v>
          </cell>
          <cell r="AB60">
            <v>553219</v>
          </cell>
          <cell r="AC60">
            <v>600495</v>
          </cell>
          <cell r="AD60">
            <v>1096288</v>
          </cell>
          <cell r="AE60">
            <v>600004</v>
          </cell>
          <cell r="AF60">
            <v>581860</v>
          </cell>
          <cell r="AG60">
            <v>594507</v>
          </cell>
          <cell r="AH60">
            <v>594367</v>
          </cell>
          <cell r="AI60">
            <v>588165.30000000005</v>
          </cell>
          <cell r="AJ60">
            <v>620083.6</v>
          </cell>
          <cell r="AK60">
            <v>615613.80000000005</v>
          </cell>
          <cell r="AL60">
            <v>634194.6</v>
          </cell>
          <cell r="AM60">
            <v>607110.9</v>
          </cell>
          <cell r="AN60">
            <v>569481.91</v>
          </cell>
        </row>
        <row r="61">
          <cell r="G61">
            <v>3016</v>
          </cell>
          <cell r="H61" t="str">
            <v>YTD Actual</v>
          </cell>
          <cell r="I61">
            <v>568064.71</v>
          </cell>
          <cell r="J61">
            <v>5777271.8200000003</v>
          </cell>
          <cell r="K61">
            <v>1706809.72</v>
          </cell>
          <cell r="L61">
            <v>2288047.0499999998</v>
          </cell>
          <cell r="M61">
            <v>2871404.2</v>
          </cell>
          <cell r="N61">
            <v>3447911.47</v>
          </cell>
          <cell r="O61">
            <v>4060049.73</v>
          </cell>
          <cell r="P61">
            <v>4616051.8</v>
          </cell>
          <cell r="Q61">
            <v>5203778</v>
          </cell>
          <cell r="R61">
            <v>5777271.8200000003</v>
          </cell>
          <cell r="S61">
            <v>6394758.6299999999</v>
          </cell>
          <cell r="T61">
            <v>6988789</v>
          </cell>
          <cell r="U61">
            <v>573798.82999999996</v>
          </cell>
          <cell r="V61">
            <v>966325</v>
          </cell>
          <cell r="W61">
            <v>1461712.5</v>
          </cell>
          <cell r="X61">
            <v>1955619.1</v>
          </cell>
          <cell r="Y61">
            <v>2510637.2000000002</v>
          </cell>
          <cell r="Z61">
            <v>3066555</v>
          </cell>
          <cell r="AA61">
            <v>3811392.1</v>
          </cell>
          <cell r="AB61">
            <v>4014539.65</v>
          </cell>
          <cell r="AC61">
            <v>4539537</v>
          </cell>
          <cell r="AD61">
            <v>8265578</v>
          </cell>
          <cell r="AE61">
            <v>5602091</v>
          </cell>
          <cell r="AF61">
            <v>6125074</v>
          </cell>
          <cell r="AG61">
            <v>568498</v>
          </cell>
          <cell r="AH61">
            <v>1079821</v>
          </cell>
          <cell r="AI61">
            <v>1618878.8</v>
          </cell>
          <cell r="AJ61">
            <v>2184250.7000000002</v>
          </cell>
          <cell r="AK61">
            <v>2716368.7</v>
          </cell>
          <cell r="AL61">
            <v>3265882</v>
          </cell>
          <cell r="AM61">
            <v>3801783.9</v>
          </cell>
          <cell r="AN61">
            <v>4312551.6100000003</v>
          </cell>
        </row>
        <row r="62">
          <cell r="G62">
            <v>3017</v>
          </cell>
          <cell r="H62" t="str">
            <v>YTD Target (Budget)</v>
          </cell>
          <cell r="I62">
            <v>543773.51</v>
          </cell>
          <cell r="J62">
            <v>5392449.7999999998</v>
          </cell>
          <cell r="K62">
            <v>1619478.99</v>
          </cell>
          <cell r="L62">
            <v>2153658.61</v>
          </cell>
          <cell r="M62">
            <v>2679688.31</v>
          </cell>
          <cell r="N62">
            <v>3219338.77</v>
          </cell>
          <cell r="O62">
            <v>3777074.34</v>
          </cell>
          <cell r="P62">
            <v>4293213.32</v>
          </cell>
          <cell r="Q62">
            <v>4848642.1100000003</v>
          </cell>
          <cell r="R62">
            <v>5392449.7999999998</v>
          </cell>
          <cell r="S62">
            <v>5980408.5999999996</v>
          </cell>
          <cell r="T62">
            <v>6525525</v>
          </cell>
          <cell r="U62">
            <v>569504.80000000005</v>
          </cell>
          <cell r="V62">
            <v>1136783.3600000001</v>
          </cell>
          <cell r="W62">
            <v>1698539.75</v>
          </cell>
          <cell r="X62">
            <v>2142635</v>
          </cell>
          <cell r="Y62">
            <v>2671604</v>
          </cell>
          <cell r="Z62">
            <v>3211826</v>
          </cell>
          <cell r="AA62">
            <v>3811392</v>
          </cell>
          <cell r="AB62">
            <v>4364611</v>
          </cell>
          <cell r="AC62">
            <v>4965106</v>
          </cell>
          <cell r="AD62">
            <v>9372117</v>
          </cell>
          <cell r="AE62">
            <v>6149884</v>
          </cell>
          <cell r="AF62">
            <v>6731744</v>
          </cell>
          <cell r="AG62">
            <v>594507</v>
          </cell>
          <cell r="AH62">
            <v>1188874</v>
          </cell>
          <cell r="AI62">
            <v>1777039.5</v>
          </cell>
          <cell r="AJ62">
            <v>2397123.1</v>
          </cell>
          <cell r="AK62">
            <v>3012736.8</v>
          </cell>
          <cell r="AL62">
            <v>3646931.4</v>
          </cell>
          <cell r="AM62">
            <v>4254042.3</v>
          </cell>
          <cell r="AN62">
            <v>4823524.22</v>
          </cell>
        </row>
        <row r="63">
          <cell r="G63">
            <v>3024</v>
          </cell>
          <cell r="H63" t="str">
            <v>Actual</v>
          </cell>
          <cell r="U63">
            <v>16277.300000000001</v>
          </cell>
          <cell r="V63">
            <v>26583.5</v>
          </cell>
          <cell r="W63">
            <v>21381.7</v>
          </cell>
          <cell r="X63">
            <v>13526.9</v>
          </cell>
          <cell r="Y63">
            <v>47861.5</v>
          </cell>
          <cell r="Z63">
            <v>28261</v>
          </cell>
          <cell r="AA63">
            <v>10342.5</v>
          </cell>
          <cell r="AB63">
            <v>12620.4</v>
          </cell>
          <cell r="AC63">
            <v>6745.7000000000007</v>
          </cell>
          <cell r="AD63">
            <v>2628.1</v>
          </cell>
          <cell r="AE63">
            <v>8150.6</v>
          </cell>
          <cell r="AF63">
            <v>12973</v>
          </cell>
          <cell r="AG63">
            <v>10952.4</v>
          </cell>
          <cell r="AH63">
            <v>6533.8</v>
          </cell>
          <cell r="AI63">
            <v>9092</v>
          </cell>
          <cell r="AJ63">
            <v>6941.5</v>
          </cell>
          <cell r="AK63">
            <v>9694.5</v>
          </cell>
          <cell r="AL63">
            <v>12271.8</v>
          </cell>
          <cell r="AM63">
            <v>8277.7999999999993</v>
          </cell>
          <cell r="AN63">
            <v>10461.6</v>
          </cell>
        </row>
        <row r="64">
          <cell r="G64">
            <v>3025</v>
          </cell>
          <cell r="H64" t="str">
            <v>Target (Budget)</v>
          </cell>
          <cell r="U64">
            <v>13829.7</v>
          </cell>
          <cell r="V64">
            <v>11855.100000000002</v>
          </cell>
          <cell r="W64">
            <v>12302.099999999999</v>
          </cell>
          <cell r="X64">
            <v>23337.9</v>
          </cell>
          <cell r="Y64">
            <v>17878.3</v>
          </cell>
          <cell r="Z64">
            <v>16317.900000000001</v>
          </cell>
          <cell r="AA64">
            <v>14624.7</v>
          </cell>
          <cell r="AB64">
            <v>13163.600000000002</v>
          </cell>
          <cell r="AC64">
            <v>12811.400000000001</v>
          </cell>
          <cell r="AD64">
            <v>13701.900000000001</v>
          </cell>
          <cell r="AE64">
            <v>11989.5</v>
          </cell>
          <cell r="AF64">
            <v>8846</v>
          </cell>
          <cell r="AG64">
            <v>13833.4</v>
          </cell>
          <cell r="AH64">
            <v>13869.6</v>
          </cell>
          <cell r="AI64">
            <v>16720.2</v>
          </cell>
          <cell r="AJ64">
            <v>50008.800000000003</v>
          </cell>
          <cell r="AK64">
            <v>89324.4</v>
          </cell>
          <cell r="AL64">
            <v>92456.3</v>
          </cell>
          <cell r="AM64">
            <v>17131.599999999999</v>
          </cell>
          <cell r="AN64">
            <v>17034.8</v>
          </cell>
        </row>
        <row r="65">
          <cell r="G65">
            <v>3028</v>
          </cell>
          <cell r="H65" t="str">
            <v>YTD Actual</v>
          </cell>
          <cell r="U65">
            <v>16277.300000000001</v>
          </cell>
          <cell r="V65">
            <v>64223.3</v>
          </cell>
          <cell r="W65">
            <v>85605</v>
          </cell>
          <cell r="X65">
            <v>99131.9</v>
          </cell>
          <cell r="Y65">
            <v>146993.29999999999</v>
          </cell>
          <cell r="Z65">
            <v>175254.3</v>
          </cell>
          <cell r="AA65">
            <v>110594.6</v>
          </cell>
          <cell r="AB65">
            <v>198217.2</v>
          </cell>
          <cell r="AC65">
            <v>112644.9</v>
          </cell>
          <cell r="AD65">
            <v>115272.8</v>
          </cell>
          <cell r="AE65">
            <v>123423.3</v>
          </cell>
          <cell r="AF65">
            <v>244124</v>
          </cell>
          <cell r="AG65">
            <v>10952.4</v>
          </cell>
          <cell r="AH65">
            <v>17486.2</v>
          </cell>
          <cell r="AI65">
            <v>26578.2</v>
          </cell>
          <cell r="AJ65">
            <v>33519.699999999997</v>
          </cell>
          <cell r="AK65">
            <v>43214.2</v>
          </cell>
          <cell r="AL65">
            <v>55486</v>
          </cell>
          <cell r="AM65">
            <v>63763.8</v>
          </cell>
          <cell r="AN65">
            <v>74225.399999999994</v>
          </cell>
        </row>
        <row r="66">
          <cell r="G66">
            <v>3029</v>
          </cell>
          <cell r="H66" t="str">
            <v>YTD Target (Budget)</v>
          </cell>
          <cell r="U66">
            <v>13868.7</v>
          </cell>
          <cell r="V66">
            <v>25684.800000000003</v>
          </cell>
          <cell r="W66">
            <v>37986.799999999996</v>
          </cell>
          <cell r="X66">
            <v>61324.700000000004</v>
          </cell>
          <cell r="Y66">
            <v>79203</v>
          </cell>
          <cell r="Z66">
            <v>95520.9</v>
          </cell>
          <cell r="AA66">
            <v>110145.60000000001</v>
          </cell>
          <cell r="AB66">
            <v>123758.2</v>
          </cell>
          <cell r="AC66">
            <v>136120.70000000001</v>
          </cell>
          <cell r="AD66">
            <v>149822.5</v>
          </cell>
          <cell r="AE66">
            <v>161811.9</v>
          </cell>
          <cell r="AF66">
            <v>171107</v>
          </cell>
          <cell r="AG66">
            <v>13833.4</v>
          </cell>
          <cell r="AH66">
            <v>27703</v>
          </cell>
          <cell r="AI66">
            <v>44423.199999999997</v>
          </cell>
          <cell r="AJ66">
            <v>94431.9</v>
          </cell>
          <cell r="AK66">
            <v>183756.4</v>
          </cell>
          <cell r="AL66">
            <v>276212.59999999998</v>
          </cell>
          <cell r="AM66">
            <v>293344.3</v>
          </cell>
          <cell r="AN66">
            <v>310379.09999999998</v>
          </cell>
        </row>
        <row r="67">
          <cell r="G67">
            <v>10395</v>
          </cell>
          <cell r="H67" t="str">
            <v>Actual</v>
          </cell>
          <cell r="AB67">
            <v>2000537.04</v>
          </cell>
          <cell r="AG67">
            <v>2685294</v>
          </cell>
          <cell r="AH67">
            <v>2600400</v>
          </cell>
          <cell r="AI67">
            <v>2682932</v>
          </cell>
          <cell r="AJ67">
            <v>2328499</v>
          </cell>
          <cell r="AK67">
            <v>1748963</v>
          </cell>
          <cell r="AL67">
            <v>1838522</v>
          </cell>
          <cell r="AM67">
            <v>1973915</v>
          </cell>
          <cell r="AN67">
            <v>1720591.6900000002</v>
          </cell>
        </row>
        <row r="68">
          <cell r="G68">
            <v>10396</v>
          </cell>
          <cell r="H68" t="str">
            <v>Target (Budget)</v>
          </cell>
          <cell r="AB68">
            <v>0</v>
          </cell>
          <cell r="AG68">
            <v>2261522</v>
          </cell>
          <cell r="AH68">
            <v>2177175</v>
          </cell>
          <cell r="AI68">
            <v>2451934</v>
          </cell>
          <cell r="AJ68">
            <v>2076880</v>
          </cell>
          <cell r="AK68">
            <v>1851511</v>
          </cell>
          <cell r="AL68">
            <v>2121004</v>
          </cell>
          <cell r="AM68">
            <v>1687249</v>
          </cell>
          <cell r="AN68">
            <v>1775843.52</v>
          </cell>
        </row>
        <row r="69">
          <cell r="G69">
            <v>10399</v>
          </cell>
          <cell r="H69" t="str">
            <v>YTD Actual</v>
          </cell>
          <cell r="AB69">
            <v>14583123.4</v>
          </cell>
          <cell r="AG69">
            <v>2685294</v>
          </cell>
          <cell r="AH69">
            <v>5018379</v>
          </cell>
          <cell r="AI69">
            <v>7701311</v>
          </cell>
          <cell r="AJ69">
            <v>10029810</v>
          </cell>
          <cell r="AK69">
            <v>11778673</v>
          </cell>
          <cell r="AL69">
            <v>13617195</v>
          </cell>
          <cell r="AM69">
            <v>15591110</v>
          </cell>
          <cell r="AN69">
            <v>17311701.439999998</v>
          </cell>
        </row>
        <row r="70">
          <cell r="G70">
            <v>10400</v>
          </cell>
          <cell r="H70" t="str">
            <v>YTD Target (Budget)</v>
          </cell>
          <cell r="AB70">
            <v>0</v>
          </cell>
          <cell r="AG70">
            <v>2261522</v>
          </cell>
          <cell r="AH70">
            <v>4486208</v>
          </cell>
          <cell r="AI70">
            <v>6938143</v>
          </cell>
          <cell r="AJ70">
            <v>9015023</v>
          </cell>
          <cell r="AK70">
            <v>10866535</v>
          </cell>
          <cell r="AL70">
            <v>12987539</v>
          </cell>
          <cell r="AM70">
            <v>14674788</v>
          </cell>
          <cell r="AN70">
            <v>16450631.379999999</v>
          </cell>
        </row>
        <row r="71">
          <cell r="G71">
            <v>4000</v>
          </cell>
          <cell r="H71" t="str">
            <v>Actual</v>
          </cell>
          <cell r="N71">
            <v>201404</v>
          </cell>
          <cell r="O71">
            <v>202030</v>
          </cell>
          <cell r="P71">
            <v>198729</v>
          </cell>
          <cell r="Q71">
            <v>227404</v>
          </cell>
          <cell r="R71">
            <v>179732</v>
          </cell>
          <cell r="S71">
            <v>214977</v>
          </cell>
          <cell r="T71">
            <v>229440</v>
          </cell>
          <cell r="U71">
            <v>298186</v>
          </cell>
          <cell r="V71">
            <v>185155</v>
          </cell>
          <cell r="W71">
            <v>207787</v>
          </cell>
          <cell r="X71">
            <v>247844</v>
          </cell>
          <cell r="Y71">
            <v>258421</v>
          </cell>
          <cell r="Z71">
            <v>166642</v>
          </cell>
          <cell r="AA71">
            <v>220276</v>
          </cell>
          <cell r="AB71">
            <v>152494.66</v>
          </cell>
          <cell r="AC71">
            <v>191755</v>
          </cell>
          <cell r="AD71">
            <v>155321</v>
          </cell>
          <cell r="AE71">
            <v>416156</v>
          </cell>
          <cell r="AF71">
            <v>94773</v>
          </cell>
          <cell r="AG71">
            <v>182073</v>
          </cell>
          <cell r="AH71">
            <v>74466</v>
          </cell>
          <cell r="AI71">
            <v>85977</v>
          </cell>
          <cell r="AJ71">
            <v>182555</v>
          </cell>
          <cell r="AK71">
            <v>184830</v>
          </cell>
          <cell r="AL71">
            <v>267591</v>
          </cell>
          <cell r="AM71">
            <v>196123</v>
          </cell>
          <cell r="AN71">
            <v>177423.94999999998</v>
          </cell>
        </row>
        <row r="72">
          <cell r="G72">
            <v>4001</v>
          </cell>
          <cell r="H72" t="str">
            <v>Target (Budget)</v>
          </cell>
          <cell r="N72">
            <v>239679</v>
          </cell>
          <cell r="O72">
            <v>240916</v>
          </cell>
          <cell r="P72">
            <v>239679</v>
          </cell>
          <cell r="Q72">
            <v>240916</v>
          </cell>
          <cell r="R72">
            <v>239679</v>
          </cell>
          <cell r="S72">
            <v>241896</v>
          </cell>
          <cell r="T72">
            <v>239681</v>
          </cell>
          <cell r="U72">
            <v>222734</v>
          </cell>
          <cell r="V72">
            <v>223527</v>
          </cell>
          <cell r="W72">
            <v>223127</v>
          </cell>
          <cell r="X72">
            <v>224145</v>
          </cell>
          <cell r="Y72">
            <v>223863</v>
          </cell>
          <cell r="Z72">
            <v>223863</v>
          </cell>
          <cell r="AA72">
            <v>223863</v>
          </cell>
          <cell r="AB72">
            <v>223863</v>
          </cell>
          <cell r="AC72">
            <v>223863</v>
          </cell>
          <cell r="AD72">
            <v>223863</v>
          </cell>
          <cell r="AE72">
            <v>224880</v>
          </cell>
          <cell r="AF72">
            <v>223863</v>
          </cell>
          <cell r="AG72">
            <v>231563</v>
          </cell>
          <cell r="AH72">
            <v>231563</v>
          </cell>
          <cell r="AI72">
            <v>232157</v>
          </cell>
          <cell r="AJ72">
            <v>232734</v>
          </cell>
          <cell r="AK72">
            <v>231653</v>
          </cell>
          <cell r="AL72">
            <v>231653</v>
          </cell>
          <cell r="AM72">
            <v>231653</v>
          </cell>
          <cell r="AN72">
            <v>231652.83</v>
          </cell>
        </row>
        <row r="73">
          <cell r="G73">
            <v>4004</v>
          </cell>
          <cell r="H73" t="str">
            <v>YTD Actual</v>
          </cell>
          <cell r="N73">
            <v>1135634</v>
          </cell>
          <cell r="O73">
            <v>1517394</v>
          </cell>
          <cell r="P73">
            <v>1716124</v>
          </cell>
          <cell r="Q73">
            <v>1943528</v>
          </cell>
          <cell r="R73">
            <v>2123260</v>
          </cell>
          <cell r="S73">
            <v>2338237</v>
          </cell>
          <cell r="T73">
            <v>2567677</v>
          </cell>
          <cell r="U73">
            <v>298186</v>
          </cell>
          <cell r="V73">
            <v>483340</v>
          </cell>
          <cell r="W73">
            <v>691128</v>
          </cell>
          <cell r="X73">
            <v>938971</v>
          </cell>
          <cell r="Y73">
            <v>1197392</v>
          </cell>
          <cell r="Z73">
            <v>1364034</v>
          </cell>
          <cell r="AA73">
            <v>1584310</v>
          </cell>
          <cell r="AB73">
            <v>1736804.68</v>
          </cell>
          <cell r="AC73">
            <v>1928559</v>
          </cell>
          <cell r="AD73">
            <v>2084180</v>
          </cell>
          <cell r="AE73">
            <v>2500336</v>
          </cell>
          <cell r="AF73">
            <v>2595109</v>
          </cell>
          <cell r="AG73">
            <v>182073</v>
          </cell>
          <cell r="AH73">
            <v>256538</v>
          </cell>
          <cell r="AI73">
            <v>342515</v>
          </cell>
          <cell r="AJ73">
            <v>525069</v>
          </cell>
          <cell r="AK73">
            <v>709899</v>
          </cell>
          <cell r="AL73">
            <v>977490</v>
          </cell>
          <cell r="AM73">
            <v>1173613</v>
          </cell>
          <cell r="AN73">
            <v>1351036.4600000002</v>
          </cell>
        </row>
        <row r="74">
          <cell r="G74">
            <v>4005</v>
          </cell>
          <cell r="H74" t="str">
            <v>YTD Target (Budget)</v>
          </cell>
          <cell r="N74">
            <v>1440198</v>
          </cell>
          <cell r="O74">
            <v>1681114</v>
          </cell>
          <cell r="P74">
            <v>1920793</v>
          </cell>
          <cell r="Q74">
            <v>2161709</v>
          </cell>
          <cell r="R74">
            <v>2401388</v>
          </cell>
          <cell r="S74">
            <v>2643284</v>
          </cell>
          <cell r="T74">
            <v>2882965</v>
          </cell>
          <cell r="U74">
            <v>222734</v>
          </cell>
          <cell r="V74">
            <v>447053</v>
          </cell>
          <cell r="W74">
            <v>669233</v>
          </cell>
          <cell r="X74">
            <v>893378</v>
          </cell>
          <cell r="Y74">
            <v>1117241</v>
          </cell>
          <cell r="Z74">
            <v>1341104</v>
          </cell>
          <cell r="AA74">
            <v>1564967</v>
          </cell>
          <cell r="AB74">
            <v>1788830</v>
          </cell>
          <cell r="AC74">
            <v>2012693</v>
          </cell>
          <cell r="AD74">
            <v>2236555</v>
          </cell>
          <cell r="AE74">
            <v>2461436</v>
          </cell>
          <cell r="AF74">
            <v>2685298</v>
          </cell>
          <cell r="AG74">
            <v>231563</v>
          </cell>
          <cell r="AH74">
            <v>463126</v>
          </cell>
          <cell r="AI74">
            <v>695283</v>
          </cell>
          <cell r="AJ74">
            <v>928016</v>
          </cell>
          <cell r="AK74">
            <v>1159669</v>
          </cell>
          <cell r="AL74">
            <v>1391322</v>
          </cell>
          <cell r="AM74">
            <v>1622975</v>
          </cell>
          <cell r="AN74">
            <v>1854627.5399999998</v>
          </cell>
        </row>
        <row r="75">
          <cell r="G75">
            <v>4024</v>
          </cell>
          <cell r="H75" t="str">
            <v>Empl_Benefits</v>
          </cell>
          <cell r="N75">
            <v>614</v>
          </cell>
          <cell r="O75">
            <v>613</v>
          </cell>
          <cell r="P75">
            <v>615</v>
          </cell>
          <cell r="Q75">
            <v>615</v>
          </cell>
          <cell r="R75">
            <v>615</v>
          </cell>
          <cell r="S75">
            <v>923</v>
          </cell>
          <cell r="T75">
            <v>615</v>
          </cell>
          <cell r="U75">
            <v>615</v>
          </cell>
          <cell r="V75">
            <v>615</v>
          </cell>
          <cell r="W75">
            <v>651</v>
          </cell>
          <cell r="X75">
            <v>983</v>
          </cell>
          <cell r="Y75">
            <v>655</v>
          </cell>
          <cell r="Z75">
            <v>655</v>
          </cell>
          <cell r="AA75">
            <v>655</v>
          </cell>
          <cell r="AB75">
            <v>655.12</v>
          </cell>
          <cell r="AC75">
            <v>656</v>
          </cell>
          <cell r="AD75">
            <v>655</v>
          </cell>
          <cell r="AE75">
            <v>983</v>
          </cell>
          <cell r="AF75">
            <v>655</v>
          </cell>
          <cell r="AG75">
            <v>655</v>
          </cell>
          <cell r="AH75">
            <v>655</v>
          </cell>
          <cell r="AI75">
            <v>712</v>
          </cell>
          <cell r="AJ75">
            <v>1079</v>
          </cell>
          <cell r="AK75">
            <v>719</v>
          </cell>
          <cell r="AL75">
            <v>719</v>
          </cell>
          <cell r="AM75">
            <v>719</v>
          </cell>
          <cell r="AN75">
            <v>719.38</v>
          </cell>
        </row>
        <row r="76">
          <cell r="G76">
            <v>4025</v>
          </cell>
          <cell r="H76" t="str">
            <v>Total Personnel</v>
          </cell>
          <cell r="N76">
            <v>1997</v>
          </cell>
          <cell r="O76">
            <v>1991</v>
          </cell>
          <cell r="P76">
            <v>1997</v>
          </cell>
          <cell r="Q76">
            <v>1997</v>
          </cell>
          <cell r="R76">
            <v>1997</v>
          </cell>
          <cell r="S76">
            <v>2996</v>
          </cell>
          <cell r="T76">
            <v>1997</v>
          </cell>
          <cell r="U76">
            <v>1997</v>
          </cell>
          <cell r="V76">
            <v>1997</v>
          </cell>
          <cell r="W76">
            <v>2551</v>
          </cell>
          <cell r="X76">
            <v>3107</v>
          </cell>
          <cell r="Y76">
            <v>2072</v>
          </cell>
          <cell r="Z76">
            <v>2072</v>
          </cell>
          <cell r="AA76">
            <v>2053</v>
          </cell>
          <cell r="AB76">
            <v>1379.2</v>
          </cell>
          <cell r="AC76">
            <v>2136</v>
          </cell>
          <cell r="AD76">
            <v>2075</v>
          </cell>
          <cell r="AE76">
            <v>3112</v>
          </cell>
          <cell r="AF76">
            <v>2075</v>
          </cell>
          <cell r="AG76">
            <v>2075</v>
          </cell>
          <cell r="AH76">
            <v>2075</v>
          </cell>
          <cell r="AI76">
            <v>2146</v>
          </cell>
          <cell r="AJ76">
            <v>3254</v>
          </cell>
          <cell r="AK76">
            <v>2170</v>
          </cell>
          <cell r="AL76">
            <v>2170</v>
          </cell>
          <cell r="AM76">
            <v>2170</v>
          </cell>
          <cell r="AN76">
            <v>2169.5500000000002</v>
          </cell>
        </row>
        <row r="77">
          <cell r="G77">
            <v>4026</v>
          </cell>
          <cell r="H77" t="str">
            <v>Target Empl_Benefits</v>
          </cell>
          <cell r="N77">
            <v>615</v>
          </cell>
          <cell r="O77">
            <v>615</v>
          </cell>
          <cell r="P77">
            <v>615</v>
          </cell>
          <cell r="Q77">
            <v>615</v>
          </cell>
          <cell r="R77">
            <v>615</v>
          </cell>
          <cell r="S77">
            <v>922</v>
          </cell>
          <cell r="T77">
            <v>615</v>
          </cell>
          <cell r="U77">
            <v>515</v>
          </cell>
          <cell r="V77">
            <v>1089</v>
          </cell>
          <cell r="W77">
            <v>655</v>
          </cell>
          <cell r="X77">
            <v>983</v>
          </cell>
          <cell r="Y77">
            <v>655</v>
          </cell>
          <cell r="Z77">
            <v>655</v>
          </cell>
          <cell r="AA77">
            <v>655</v>
          </cell>
          <cell r="AB77">
            <v>655</v>
          </cell>
          <cell r="AC77">
            <v>655</v>
          </cell>
          <cell r="AD77">
            <v>655</v>
          </cell>
          <cell r="AE77">
            <v>983</v>
          </cell>
          <cell r="AF77">
            <v>655</v>
          </cell>
          <cell r="AG77">
            <v>655</v>
          </cell>
          <cell r="AH77">
            <v>655</v>
          </cell>
          <cell r="AI77">
            <v>722</v>
          </cell>
          <cell r="AJ77">
            <v>1077</v>
          </cell>
          <cell r="AK77">
            <v>718</v>
          </cell>
          <cell r="AL77">
            <v>718</v>
          </cell>
          <cell r="AM77">
            <v>718</v>
          </cell>
          <cell r="AN77">
            <v>717.76</v>
          </cell>
        </row>
        <row r="78">
          <cell r="G78">
            <v>4027</v>
          </cell>
          <cell r="H78" t="str">
            <v>Target Total Personnel</v>
          </cell>
          <cell r="N78">
            <v>1960</v>
          </cell>
          <cell r="O78">
            <v>1960</v>
          </cell>
          <cell r="P78">
            <v>1960</v>
          </cell>
          <cell r="Q78">
            <v>1960</v>
          </cell>
          <cell r="R78">
            <v>1960</v>
          </cell>
          <cell r="S78">
            <v>2940</v>
          </cell>
          <cell r="T78">
            <v>1960</v>
          </cell>
          <cell r="U78">
            <v>1678</v>
          </cell>
          <cell r="V78">
            <v>2471</v>
          </cell>
          <cell r="W78">
            <v>2072</v>
          </cell>
          <cell r="X78">
            <v>3089</v>
          </cell>
          <cell r="Y78">
            <v>2072</v>
          </cell>
          <cell r="Z78">
            <v>2072</v>
          </cell>
          <cell r="AA78">
            <v>2072</v>
          </cell>
          <cell r="AB78">
            <v>2072</v>
          </cell>
          <cell r="AC78">
            <v>2072</v>
          </cell>
          <cell r="AD78">
            <v>2072</v>
          </cell>
          <cell r="AE78">
            <v>3089</v>
          </cell>
          <cell r="AF78">
            <v>2072</v>
          </cell>
          <cell r="AG78">
            <v>2072</v>
          </cell>
          <cell r="AH78">
            <v>2072</v>
          </cell>
          <cell r="AI78">
            <v>2665</v>
          </cell>
          <cell r="AJ78">
            <v>3242</v>
          </cell>
          <cell r="AK78">
            <v>2161</v>
          </cell>
          <cell r="AL78">
            <v>2161</v>
          </cell>
          <cell r="AM78">
            <v>2161</v>
          </cell>
          <cell r="AN78">
            <v>2161.48</v>
          </cell>
        </row>
        <row r="79">
          <cell r="G79">
            <v>4028</v>
          </cell>
          <cell r="H79" t="str">
            <v>YTD Empl_Benefits</v>
          </cell>
          <cell r="N79">
            <v>3944</v>
          </cell>
          <cell r="O79">
            <v>4557</v>
          </cell>
          <cell r="P79">
            <v>5172</v>
          </cell>
          <cell r="Q79">
            <v>5787</v>
          </cell>
          <cell r="R79">
            <v>6402</v>
          </cell>
          <cell r="S79">
            <v>7324</v>
          </cell>
          <cell r="T79">
            <v>7939</v>
          </cell>
          <cell r="U79">
            <v>615</v>
          </cell>
          <cell r="V79">
            <v>1230</v>
          </cell>
          <cell r="W79">
            <v>1881</v>
          </cell>
          <cell r="X79">
            <v>2865</v>
          </cell>
          <cell r="Y79">
            <v>3520</v>
          </cell>
          <cell r="Z79">
            <v>4175</v>
          </cell>
          <cell r="AA79">
            <v>4831</v>
          </cell>
          <cell r="AB79">
            <v>5485.81</v>
          </cell>
          <cell r="AC79">
            <v>6142</v>
          </cell>
          <cell r="AD79">
            <v>6797</v>
          </cell>
          <cell r="AE79">
            <v>7780</v>
          </cell>
          <cell r="AF79">
            <v>8436</v>
          </cell>
          <cell r="AG79">
            <v>655</v>
          </cell>
          <cell r="AH79">
            <v>1311</v>
          </cell>
          <cell r="AI79">
            <v>2022</v>
          </cell>
          <cell r="AJ79">
            <v>3102</v>
          </cell>
          <cell r="AK79">
            <v>3821</v>
          </cell>
          <cell r="AL79">
            <v>4540</v>
          </cell>
          <cell r="AM79">
            <v>5260</v>
          </cell>
          <cell r="AN79">
            <v>5979.02</v>
          </cell>
        </row>
        <row r="80">
          <cell r="G80">
            <v>4029</v>
          </cell>
          <cell r="H80" t="str">
            <v>YTD Total Personnel</v>
          </cell>
          <cell r="N80">
            <v>12850</v>
          </cell>
          <cell r="O80">
            <v>14841</v>
          </cell>
          <cell r="P80">
            <v>16838</v>
          </cell>
          <cell r="Q80">
            <v>18835</v>
          </cell>
          <cell r="R80">
            <v>20382</v>
          </cell>
          <cell r="S80">
            <v>23828</v>
          </cell>
          <cell r="T80">
            <v>25826</v>
          </cell>
          <cell r="U80">
            <v>1997</v>
          </cell>
          <cell r="V80">
            <v>3995</v>
          </cell>
          <cell r="W80">
            <v>6545</v>
          </cell>
          <cell r="X80">
            <v>9652</v>
          </cell>
          <cell r="Y80">
            <v>11724</v>
          </cell>
          <cell r="Z80">
            <v>13796</v>
          </cell>
          <cell r="AA80">
            <v>15848</v>
          </cell>
          <cell r="AB80">
            <v>12396.98</v>
          </cell>
          <cell r="AC80">
            <v>20019</v>
          </cell>
          <cell r="AD80">
            <v>22093</v>
          </cell>
          <cell r="AE80">
            <v>25206</v>
          </cell>
          <cell r="AF80">
            <v>27281</v>
          </cell>
          <cell r="AG80">
            <v>2075</v>
          </cell>
          <cell r="AH80">
            <v>4150</v>
          </cell>
          <cell r="AI80">
            <v>6296</v>
          </cell>
          <cell r="AJ80">
            <v>9550</v>
          </cell>
          <cell r="AK80">
            <v>11720</v>
          </cell>
          <cell r="AL80">
            <v>13890</v>
          </cell>
          <cell r="AM80">
            <v>16059</v>
          </cell>
          <cell r="AN80">
            <v>18228.620000000003</v>
          </cell>
        </row>
        <row r="81">
          <cell r="G81">
            <v>4030</v>
          </cell>
          <cell r="H81" t="str">
            <v>YTD Target Empl_Benefits</v>
          </cell>
          <cell r="N81">
            <v>3967</v>
          </cell>
          <cell r="O81">
            <v>4582</v>
          </cell>
          <cell r="P81">
            <v>5197</v>
          </cell>
          <cell r="Q81">
            <v>5812</v>
          </cell>
          <cell r="R81">
            <v>6427</v>
          </cell>
          <cell r="S81">
            <v>7349</v>
          </cell>
          <cell r="T81">
            <v>7964</v>
          </cell>
          <cell r="U81">
            <v>515</v>
          </cell>
          <cell r="V81">
            <v>2177</v>
          </cell>
          <cell r="W81">
            <v>1886</v>
          </cell>
          <cell r="X81">
            <v>2869</v>
          </cell>
          <cell r="Y81">
            <v>3524</v>
          </cell>
          <cell r="Z81">
            <v>4179</v>
          </cell>
          <cell r="AA81">
            <v>4835</v>
          </cell>
          <cell r="AB81">
            <v>5490</v>
          </cell>
          <cell r="AC81">
            <v>6146</v>
          </cell>
          <cell r="AD81">
            <v>6801</v>
          </cell>
          <cell r="AE81">
            <v>7784</v>
          </cell>
          <cell r="AF81">
            <v>8439</v>
          </cell>
          <cell r="AG81">
            <v>655</v>
          </cell>
          <cell r="AH81">
            <v>1311</v>
          </cell>
          <cell r="AI81">
            <v>2033</v>
          </cell>
          <cell r="AJ81">
            <v>3109</v>
          </cell>
          <cell r="AK81">
            <v>3827</v>
          </cell>
          <cell r="AL81">
            <v>4545</v>
          </cell>
          <cell r="AM81">
            <v>5263</v>
          </cell>
          <cell r="AN81">
            <v>5980.2699999999995</v>
          </cell>
        </row>
        <row r="82">
          <cell r="G82">
            <v>4031</v>
          </cell>
          <cell r="H82" t="str">
            <v>YTD Target Total Personnel</v>
          </cell>
          <cell r="N82">
            <v>12648</v>
          </cell>
          <cell r="O82">
            <v>14608</v>
          </cell>
          <cell r="P82">
            <v>16568</v>
          </cell>
          <cell r="Q82">
            <v>18528</v>
          </cell>
          <cell r="R82">
            <v>20488</v>
          </cell>
          <cell r="S82">
            <v>23428</v>
          </cell>
          <cell r="T82">
            <v>25388</v>
          </cell>
          <cell r="U82">
            <v>1678</v>
          </cell>
          <cell r="V82">
            <v>4942</v>
          </cell>
          <cell r="W82">
            <v>6066</v>
          </cell>
          <cell r="X82">
            <v>9155</v>
          </cell>
          <cell r="Y82">
            <v>11226</v>
          </cell>
          <cell r="Z82">
            <v>13298</v>
          </cell>
          <cell r="AA82">
            <v>15370</v>
          </cell>
          <cell r="AB82">
            <v>17441</v>
          </cell>
          <cell r="AC82">
            <v>19513</v>
          </cell>
          <cell r="AD82">
            <v>21584</v>
          </cell>
          <cell r="AE82">
            <v>24673</v>
          </cell>
          <cell r="AF82">
            <v>26744</v>
          </cell>
          <cell r="AG82">
            <v>2072</v>
          </cell>
          <cell r="AH82">
            <v>4143</v>
          </cell>
          <cell r="AI82">
            <v>6809</v>
          </cell>
          <cell r="AJ82">
            <v>10051</v>
          </cell>
          <cell r="AK82">
            <v>12212</v>
          </cell>
          <cell r="AL82">
            <v>14374</v>
          </cell>
          <cell r="AM82">
            <v>16535</v>
          </cell>
          <cell r="AN82">
            <v>18696.739999999998</v>
          </cell>
        </row>
        <row r="83">
          <cell r="G83">
            <v>4032</v>
          </cell>
          <cell r="H83" t="str">
            <v>Actual</v>
          </cell>
          <cell r="O83">
            <v>0</v>
          </cell>
          <cell r="P83">
            <v>0</v>
          </cell>
          <cell r="Q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G84">
            <v>4033</v>
          </cell>
          <cell r="H84" t="str">
            <v>Target (Budget)</v>
          </cell>
          <cell r="O84">
            <v>0</v>
          </cell>
          <cell r="P84">
            <v>0</v>
          </cell>
          <cell r="Q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row>
        <row r="85">
          <cell r="G85">
            <v>4036</v>
          </cell>
          <cell r="H85" t="str">
            <v>YTD Actual</v>
          </cell>
          <cell r="O85">
            <v>0</v>
          </cell>
          <cell r="P85">
            <v>0</v>
          </cell>
          <cell r="Q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row>
        <row r="86">
          <cell r="G86">
            <v>4037</v>
          </cell>
          <cell r="H86" t="str">
            <v>YTD Target (Budget)</v>
          </cell>
          <cell r="O86">
            <v>0</v>
          </cell>
          <cell r="P86">
            <v>0</v>
          </cell>
          <cell r="Q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row>
        <row r="87">
          <cell r="G87">
            <v>4044</v>
          </cell>
          <cell r="H87" t="str">
            <v>Actual</v>
          </cell>
          <cell r="N87">
            <v>-201404</v>
          </cell>
          <cell r="O87">
            <v>-202030</v>
          </cell>
          <cell r="P87">
            <v>-198729</v>
          </cell>
          <cell r="Q87">
            <v>590547</v>
          </cell>
          <cell r="R87">
            <v>-179732</v>
          </cell>
          <cell r="S87">
            <v>-214977</v>
          </cell>
          <cell r="T87">
            <v>2821411</v>
          </cell>
          <cell r="U87">
            <v>-298186</v>
          </cell>
          <cell r="V87">
            <v>1224307</v>
          </cell>
          <cell r="W87">
            <v>88838</v>
          </cell>
          <cell r="X87">
            <v>-247884</v>
          </cell>
          <cell r="Y87">
            <v>-258421</v>
          </cell>
          <cell r="Z87">
            <v>129983</v>
          </cell>
          <cell r="AA87">
            <v>-220276</v>
          </cell>
          <cell r="AB87">
            <v>-152494.66</v>
          </cell>
          <cell r="AC87">
            <v>104870</v>
          </cell>
          <cell r="AD87">
            <v>-155621</v>
          </cell>
          <cell r="AE87">
            <v>-416156</v>
          </cell>
          <cell r="AF87">
            <v>200999</v>
          </cell>
          <cell r="AG87">
            <v>-182073</v>
          </cell>
          <cell r="AH87">
            <v>1145256</v>
          </cell>
          <cell r="AI87">
            <v>-85977</v>
          </cell>
          <cell r="AJ87">
            <v>-182555</v>
          </cell>
          <cell r="AK87">
            <v>-184830</v>
          </cell>
          <cell r="AL87">
            <v>-267591</v>
          </cell>
          <cell r="AM87">
            <v>-196123</v>
          </cell>
          <cell r="AN87">
            <v>-578.17999999999302</v>
          </cell>
        </row>
        <row r="88">
          <cell r="G88">
            <v>4045</v>
          </cell>
          <cell r="H88" t="str">
            <v>Target (Budget)</v>
          </cell>
          <cell r="N88">
            <v>-239679</v>
          </cell>
          <cell r="O88">
            <v>-240916</v>
          </cell>
          <cell r="P88">
            <v>-239679</v>
          </cell>
          <cell r="Q88">
            <v>577035</v>
          </cell>
          <cell r="R88">
            <v>-239679</v>
          </cell>
          <cell r="S88">
            <v>-241896</v>
          </cell>
          <cell r="T88">
            <v>2811170</v>
          </cell>
          <cell r="U88">
            <v>-222734</v>
          </cell>
          <cell r="V88">
            <v>1185935</v>
          </cell>
          <cell r="W88">
            <v>73498</v>
          </cell>
          <cell r="X88">
            <v>-224145</v>
          </cell>
          <cell r="Y88">
            <v>-223863</v>
          </cell>
          <cell r="Z88">
            <v>72762</v>
          </cell>
          <cell r="AA88">
            <v>-223863</v>
          </cell>
          <cell r="AB88">
            <v>-223863</v>
          </cell>
          <cell r="AC88">
            <v>72762</v>
          </cell>
          <cell r="AD88">
            <v>-223863</v>
          </cell>
          <cell r="AE88">
            <v>-224880</v>
          </cell>
          <cell r="AF88">
            <v>71910</v>
          </cell>
          <cell r="AG88">
            <v>-231563</v>
          </cell>
          <cell r="AH88">
            <v>988159</v>
          </cell>
          <cell r="AI88">
            <v>-232157</v>
          </cell>
          <cell r="AJ88">
            <v>-232734</v>
          </cell>
          <cell r="AK88">
            <v>-231653</v>
          </cell>
          <cell r="AL88">
            <v>-231653</v>
          </cell>
          <cell r="AM88">
            <v>-231653</v>
          </cell>
          <cell r="AN88">
            <v>-54807.06</v>
          </cell>
        </row>
        <row r="89">
          <cell r="G89">
            <v>4048</v>
          </cell>
          <cell r="H89" t="str">
            <v>YTD Actual</v>
          </cell>
          <cell r="N89">
            <v>-1315364</v>
          </cell>
          <cell r="O89">
            <v>-1517394</v>
          </cell>
          <cell r="P89">
            <v>-1716124</v>
          </cell>
          <cell r="Q89">
            <v>-1125576</v>
          </cell>
          <cell r="R89">
            <v>-1305309</v>
          </cell>
          <cell r="S89">
            <v>-1520285</v>
          </cell>
          <cell r="T89">
            <v>1301125</v>
          </cell>
          <cell r="U89">
            <v>-298186</v>
          </cell>
          <cell r="V89">
            <v>926121</v>
          </cell>
          <cell r="W89">
            <v>1014959</v>
          </cell>
          <cell r="X89">
            <v>767115</v>
          </cell>
          <cell r="Y89">
            <v>508695</v>
          </cell>
          <cell r="Z89">
            <v>638678</v>
          </cell>
          <cell r="AA89">
            <v>418402</v>
          </cell>
          <cell r="AB89">
            <v>265906.96000000002</v>
          </cell>
          <cell r="AC89">
            <v>370777</v>
          </cell>
          <cell r="AD89">
            <v>215157</v>
          </cell>
          <cell r="AE89">
            <v>-200999</v>
          </cell>
          <cell r="AF89">
            <v>0.01</v>
          </cell>
          <cell r="AG89">
            <v>-182073</v>
          </cell>
          <cell r="AH89">
            <v>963184</v>
          </cell>
          <cell r="AI89">
            <v>877207</v>
          </cell>
          <cell r="AJ89">
            <v>694653</v>
          </cell>
          <cell r="AK89">
            <v>509823</v>
          </cell>
          <cell r="AL89">
            <v>242232</v>
          </cell>
          <cell r="AM89">
            <v>46109</v>
          </cell>
          <cell r="AN89">
            <v>45531.309999999823</v>
          </cell>
        </row>
        <row r="90">
          <cell r="G90">
            <v>4049</v>
          </cell>
          <cell r="H90" t="str">
            <v>YTD Target (Budget)</v>
          </cell>
          <cell r="N90">
            <v>-1440198</v>
          </cell>
          <cell r="O90">
            <v>-1681114</v>
          </cell>
          <cell r="P90">
            <v>-1920793</v>
          </cell>
          <cell r="Q90">
            <v>-1343758</v>
          </cell>
          <cell r="R90">
            <v>-1583436</v>
          </cell>
          <cell r="S90">
            <v>-1825332</v>
          </cell>
          <cell r="T90">
            <v>985838</v>
          </cell>
          <cell r="U90">
            <v>-222734</v>
          </cell>
          <cell r="V90">
            <v>962408</v>
          </cell>
          <cell r="W90">
            <v>1036853</v>
          </cell>
          <cell r="X90">
            <v>812709</v>
          </cell>
          <cell r="Y90">
            <v>588846</v>
          </cell>
          <cell r="Z90">
            <v>661608</v>
          </cell>
          <cell r="AA90">
            <v>437745</v>
          </cell>
          <cell r="AB90">
            <v>213882</v>
          </cell>
          <cell r="AC90">
            <v>286644</v>
          </cell>
          <cell r="AD90">
            <v>62781</v>
          </cell>
          <cell r="AE90">
            <v>-162099</v>
          </cell>
          <cell r="AF90">
            <v>-90189</v>
          </cell>
          <cell r="AG90">
            <v>-231563</v>
          </cell>
          <cell r="AH90">
            <v>756596</v>
          </cell>
          <cell r="AI90">
            <v>524439</v>
          </cell>
          <cell r="AJ90">
            <v>291706</v>
          </cell>
          <cell r="AK90">
            <v>60053</v>
          </cell>
          <cell r="AL90">
            <v>-171600</v>
          </cell>
          <cell r="AM90">
            <v>-403253</v>
          </cell>
          <cell r="AN90">
            <v>-458059.76999999979</v>
          </cell>
        </row>
        <row r="91">
          <cell r="G91">
            <v>4056</v>
          </cell>
          <cell r="H91" t="str">
            <v>Actual</v>
          </cell>
          <cell r="N91">
            <v>-201404</v>
          </cell>
          <cell r="O91">
            <v>-202030</v>
          </cell>
          <cell r="P91">
            <v>-198729</v>
          </cell>
          <cell r="Q91">
            <v>590547</v>
          </cell>
          <cell r="R91">
            <v>-179732</v>
          </cell>
          <cell r="S91">
            <v>-214977</v>
          </cell>
          <cell r="T91">
            <v>2821411</v>
          </cell>
          <cell r="U91">
            <v>-298186</v>
          </cell>
          <cell r="V91">
            <v>1224307</v>
          </cell>
          <cell r="W91">
            <v>88838</v>
          </cell>
          <cell r="X91">
            <v>-247844</v>
          </cell>
          <cell r="Y91">
            <v>-258421</v>
          </cell>
          <cell r="Z91">
            <v>129983</v>
          </cell>
          <cell r="AA91">
            <v>-220276</v>
          </cell>
          <cell r="AB91">
            <v>-152494.66</v>
          </cell>
          <cell r="AC91">
            <v>104870</v>
          </cell>
          <cell r="AD91">
            <v>-155621</v>
          </cell>
          <cell r="AE91">
            <v>-416156</v>
          </cell>
          <cell r="AF91">
            <v>200999</v>
          </cell>
          <cell r="AG91">
            <v>-182073</v>
          </cell>
          <cell r="AH91">
            <v>1145256</v>
          </cell>
          <cell r="AI91">
            <v>-85977</v>
          </cell>
          <cell r="AJ91">
            <v>-182555</v>
          </cell>
          <cell r="AK91">
            <v>-184830</v>
          </cell>
          <cell r="AL91">
            <v>-267591</v>
          </cell>
          <cell r="AM91">
            <v>-196123</v>
          </cell>
          <cell r="AN91">
            <v>-578.17999999999302</v>
          </cell>
        </row>
        <row r="92">
          <cell r="G92">
            <v>4057</v>
          </cell>
          <cell r="H92" t="str">
            <v>Target (Budget)</v>
          </cell>
          <cell r="N92">
            <v>-239679</v>
          </cell>
          <cell r="O92">
            <v>-240916</v>
          </cell>
          <cell r="P92">
            <v>-239679</v>
          </cell>
          <cell r="Q92">
            <v>577035</v>
          </cell>
          <cell r="R92">
            <v>-239679</v>
          </cell>
          <cell r="S92">
            <v>-241896</v>
          </cell>
          <cell r="T92">
            <v>2811170</v>
          </cell>
          <cell r="U92">
            <v>-222734</v>
          </cell>
          <cell r="V92">
            <v>1185935</v>
          </cell>
          <cell r="W92">
            <v>73498</v>
          </cell>
          <cell r="X92">
            <v>-224145</v>
          </cell>
          <cell r="Y92">
            <v>-223863</v>
          </cell>
          <cell r="Z92">
            <v>72762</v>
          </cell>
          <cell r="AA92">
            <v>-223863</v>
          </cell>
          <cell r="AB92">
            <v>-223863</v>
          </cell>
          <cell r="AC92">
            <v>72762</v>
          </cell>
          <cell r="AD92">
            <v>-223863</v>
          </cell>
          <cell r="AE92">
            <v>-224880</v>
          </cell>
          <cell r="AF92">
            <v>71910</v>
          </cell>
          <cell r="AG92">
            <v>-231563</v>
          </cell>
          <cell r="AH92">
            <v>988159</v>
          </cell>
          <cell r="AI92">
            <v>-232157</v>
          </cell>
          <cell r="AJ92">
            <v>-232734</v>
          </cell>
          <cell r="AK92">
            <v>-231653</v>
          </cell>
          <cell r="AL92">
            <v>-231653</v>
          </cell>
          <cell r="AM92">
            <v>-231653</v>
          </cell>
          <cell r="AN92">
            <v>-54807.06</v>
          </cell>
        </row>
        <row r="93">
          <cell r="G93">
            <v>4060</v>
          </cell>
          <cell r="H93" t="str">
            <v>YTD Actual</v>
          </cell>
          <cell r="N93">
            <v>-1315364</v>
          </cell>
          <cell r="O93">
            <v>-1517394</v>
          </cell>
          <cell r="P93">
            <v>-1716124</v>
          </cell>
          <cell r="Q93">
            <v>-1125576</v>
          </cell>
          <cell r="R93">
            <v>-1305309</v>
          </cell>
          <cell r="S93">
            <v>-1520285</v>
          </cell>
          <cell r="T93">
            <v>909185</v>
          </cell>
          <cell r="U93">
            <v>-298186</v>
          </cell>
          <cell r="V93">
            <v>926121</v>
          </cell>
          <cell r="W93">
            <v>1014959</v>
          </cell>
          <cell r="X93">
            <v>767115</v>
          </cell>
          <cell r="Y93">
            <v>508695</v>
          </cell>
          <cell r="Z93">
            <v>638678</v>
          </cell>
          <cell r="AA93">
            <v>418402</v>
          </cell>
          <cell r="AB93">
            <v>265906.96000000002</v>
          </cell>
          <cell r="AC93">
            <v>370777</v>
          </cell>
          <cell r="AD93">
            <v>215157</v>
          </cell>
          <cell r="AE93">
            <v>-200999</v>
          </cell>
          <cell r="AF93">
            <v>0.01</v>
          </cell>
          <cell r="AG93">
            <v>-182073</v>
          </cell>
          <cell r="AH93">
            <v>963184</v>
          </cell>
          <cell r="AI93">
            <v>877207</v>
          </cell>
          <cell r="AJ93">
            <v>694653</v>
          </cell>
          <cell r="AK93">
            <v>509823</v>
          </cell>
          <cell r="AL93">
            <v>242232</v>
          </cell>
          <cell r="AM93">
            <v>46109</v>
          </cell>
          <cell r="AN93">
            <v>45531.309999999823</v>
          </cell>
        </row>
        <row r="94">
          <cell r="G94">
            <v>4061</v>
          </cell>
          <cell r="H94" t="str">
            <v>YTD Target (Budget)</v>
          </cell>
          <cell r="N94">
            <v>-1440198</v>
          </cell>
          <cell r="O94">
            <v>-1681114</v>
          </cell>
          <cell r="P94">
            <v>-1920793</v>
          </cell>
          <cell r="Q94">
            <v>-1343758</v>
          </cell>
          <cell r="R94">
            <v>-1583436</v>
          </cell>
          <cell r="S94">
            <v>-1825332</v>
          </cell>
          <cell r="T94">
            <v>985838</v>
          </cell>
          <cell r="U94">
            <v>-222734</v>
          </cell>
          <cell r="V94">
            <v>962408</v>
          </cell>
          <cell r="W94">
            <v>1036853</v>
          </cell>
          <cell r="X94">
            <v>812709</v>
          </cell>
          <cell r="Y94">
            <v>588846</v>
          </cell>
          <cell r="Z94">
            <v>661608</v>
          </cell>
          <cell r="AA94">
            <v>437745</v>
          </cell>
          <cell r="AB94">
            <v>213882</v>
          </cell>
          <cell r="AC94">
            <v>286644</v>
          </cell>
          <cell r="AD94">
            <v>62781</v>
          </cell>
          <cell r="AE94">
            <v>-162099</v>
          </cell>
          <cell r="AF94">
            <v>-90189</v>
          </cell>
          <cell r="AG94">
            <v>-231563</v>
          </cell>
          <cell r="AH94">
            <v>756596</v>
          </cell>
          <cell r="AI94">
            <v>524439</v>
          </cell>
          <cell r="AJ94">
            <v>291706</v>
          </cell>
          <cell r="AK94">
            <v>60053</v>
          </cell>
          <cell r="AL94">
            <v>-171600</v>
          </cell>
          <cell r="AM94">
            <v>-403253</v>
          </cell>
          <cell r="AN94">
            <v>-458059.76999999979</v>
          </cell>
        </row>
        <row r="95">
          <cell r="G95">
            <v>4068</v>
          </cell>
          <cell r="H95" t="str">
            <v>Actual</v>
          </cell>
          <cell r="I95">
            <v>280538</v>
          </cell>
          <cell r="J95">
            <v>397427</v>
          </cell>
          <cell r="K95">
            <v>170056</v>
          </cell>
          <cell r="L95">
            <v>367792</v>
          </cell>
          <cell r="M95">
            <v>278899</v>
          </cell>
          <cell r="N95">
            <v>231083</v>
          </cell>
          <cell r="O95">
            <v>261831</v>
          </cell>
          <cell r="P95">
            <v>302859</v>
          </cell>
          <cell r="Q95">
            <v>249662</v>
          </cell>
          <cell r="R95">
            <v>367222</v>
          </cell>
          <cell r="S95">
            <v>322043</v>
          </cell>
          <cell r="T95">
            <v>275423</v>
          </cell>
          <cell r="U95">
            <v>280906</v>
          </cell>
          <cell r="V95">
            <v>188458</v>
          </cell>
          <cell r="W95">
            <v>364926</v>
          </cell>
          <cell r="X95">
            <v>362874</v>
          </cell>
          <cell r="Y95">
            <v>240470</v>
          </cell>
          <cell r="Z95">
            <v>228667</v>
          </cell>
          <cell r="AA95">
            <v>451388</v>
          </cell>
          <cell r="AB95">
            <v>97036.65</v>
          </cell>
          <cell r="AC95">
            <v>332416</v>
          </cell>
          <cell r="AD95">
            <v>195496</v>
          </cell>
          <cell r="AE95">
            <v>473906</v>
          </cell>
          <cell r="AF95">
            <v>268293</v>
          </cell>
          <cell r="AG95">
            <v>252202</v>
          </cell>
          <cell r="AH95">
            <v>250163</v>
          </cell>
          <cell r="AI95">
            <v>320095</v>
          </cell>
          <cell r="AJ95">
            <v>253047</v>
          </cell>
          <cell r="AK95">
            <v>192287</v>
          </cell>
          <cell r="AL95">
            <v>345438</v>
          </cell>
          <cell r="AM95">
            <v>235044</v>
          </cell>
          <cell r="AN95">
            <v>301470.69</v>
          </cell>
        </row>
        <row r="96">
          <cell r="G96">
            <v>4069</v>
          </cell>
          <cell r="H96" t="str">
            <v>Target (Budget)</v>
          </cell>
          <cell r="I96">
            <v>268902</v>
          </cell>
          <cell r="J96">
            <v>277522</v>
          </cell>
          <cell r="K96">
            <v>279533</v>
          </cell>
          <cell r="L96">
            <v>287990</v>
          </cell>
          <cell r="M96">
            <v>322841</v>
          </cell>
          <cell r="N96">
            <v>287296</v>
          </cell>
          <cell r="O96">
            <v>282526</v>
          </cell>
          <cell r="P96">
            <v>287847</v>
          </cell>
          <cell r="Q96">
            <v>286003</v>
          </cell>
          <cell r="R96">
            <v>281481</v>
          </cell>
          <cell r="S96">
            <v>327028</v>
          </cell>
          <cell r="T96">
            <v>285604</v>
          </cell>
          <cell r="U96">
            <v>325251</v>
          </cell>
          <cell r="V96">
            <v>386578</v>
          </cell>
          <cell r="W96">
            <v>280142</v>
          </cell>
          <cell r="X96">
            <v>317974</v>
          </cell>
          <cell r="Y96">
            <v>281102</v>
          </cell>
          <cell r="Z96">
            <v>281521</v>
          </cell>
          <cell r="AA96">
            <v>305051</v>
          </cell>
          <cell r="AB96">
            <v>291967</v>
          </cell>
          <cell r="AC96">
            <v>333422</v>
          </cell>
          <cell r="AD96">
            <v>291667</v>
          </cell>
          <cell r="AE96">
            <v>329026</v>
          </cell>
          <cell r="AF96">
            <v>291039</v>
          </cell>
          <cell r="AG96">
            <v>279295</v>
          </cell>
          <cell r="AH96">
            <v>280095</v>
          </cell>
          <cell r="AI96">
            <v>284802</v>
          </cell>
          <cell r="AJ96">
            <v>300563</v>
          </cell>
          <cell r="AK96">
            <v>267969</v>
          </cell>
          <cell r="AL96">
            <v>273668</v>
          </cell>
          <cell r="AM96">
            <v>278955</v>
          </cell>
          <cell r="AN96">
            <v>278008.01</v>
          </cell>
        </row>
        <row r="97">
          <cell r="G97">
            <v>4072</v>
          </cell>
          <cell r="H97" t="str">
            <v>YTD Actual</v>
          </cell>
          <cell r="I97">
            <v>280538</v>
          </cell>
          <cell r="J97">
            <v>677965</v>
          </cell>
          <cell r="K97">
            <v>848022</v>
          </cell>
          <cell r="L97">
            <v>1215813</v>
          </cell>
          <cell r="M97">
            <v>1494712</v>
          </cell>
          <cell r="N97">
            <v>1725795</v>
          </cell>
          <cell r="O97">
            <v>1987626</v>
          </cell>
          <cell r="P97">
            <v>2290485</v>
          </cell>
          <cell r="Q97">
            <v>2540147</v>
          </cell>
          <cell r="R97">
            <v>2907369</v>
          </cell>
          <cell r="S97">
            <v>3229412</v>
          </cell>
          <cell r="T97">
            <v>3504835</v>
          </cell>
          <cell r="U97">
            <v>280906</v>
          </cell>
          <cell r="V97">
            <v>469364</v>
          </cell>
          <cell r="W97">
            <v>834290</v>
          </cell>
          <cell r="X97">
            <v>1197164</v>
          </cell>
          <cell r="Y97">
            <v>1871635</v>
          </cell>
          <cell r="Z97">
            <v>1666301</v>
          </cell>
          <cell r="AA97">
            <v>2117689</v>
          </cell>
          <cell r="AB97">
            <v>2214725.69</v>
          </cell>
          <cell r="AC97">
            <v>2547142</v>
          </cell>
          <cell r="AD97">
            <v>2742637</v>
          </cell>
          <cell r="AE97">
            <v>3216543</v>
          </cell>
          <cell r="AF97">
            <v>3484836</v>
          </cell>
          <cell r="AG97">
            <v>252202</v>
          </cell>
          <cell r="AH97">
            <v>502366</v>
          </cell>
          <cell r="AI97">
            <v>822461</v>
          </cell>
          <cell r="AJ97">
            <v>1075508</v>
          </cell>
          <cell r="AK97">
            <v>1267795</v>
          </cell>
          <cell r="AL97">
            <v>1613232</v>
          </cell>
          <cell r="AM97">
            <v>1848276</v>
          </cell>
          <cell r="AN97">
            <v>2149747.16</v>
          </cell>
        </row>
        <row r="98">
          <cell r="G98">
            <v>4073</v>
          </cell>
          <cell r="H98" t="str">
            <v>YTD Target (Budget)</v>
          </cell>
          <cell r="I98">
            <v>268902</v>
          </cell>
          <cell r="J98">
            <v>554854</v>
          </cell>
          <cell r="K98">
            <v>837320</v>
          </cell>
          <cell r="L98">
            <v>1125310</v>
          </cell>
          <cell r="M98">
            <v>1448152</v>
          </cell>
          <cell r="N98">
            <v>1735448</v>
          </cell>
          <cell r="O98">
            <v>2017974</v>
          </cell>
          <cell r="P98">
            <v>2305821</v>
          </cell>
          <cell r="Q98">
            <v>2591824</v>
          </cell>
          <cell r="R98">
            <v>2873305</v>
          </cell>
          <cell r="S98">
            <v>3200333</v>
          </cell>
          <cell r="T98">
            <v>3485937</v>
          </cell>
          <cell r="U98">
            <v>325251</v>
          </cell>
          <cell r="V98">
            <v>729297</v>
          </cell>
          <cell r="W98">
            <v>912998</v>
          </cell>
          <cell r="X98">
            <v>1230972</v>
          </cell>
          <cell r="Y98">
            <v>1797196</v>
          </cell>
          <cell r="Z98">
            <v>1793595</v>
          </cell>
          <cell r="AA98">
            <v>2098646</v>
          </cell>
          <cell r="AB98">
            <v>2390612</v>
          </cell>
          <cell r="AC98">
            <v>2724034</v>
          </cell>
          <cell r="AD98">
            <v>3015700</v>
          </cell>
          <cell r="AE98">
            <v>3344726</v>
          </cell>
          <cell r="AF98">
            <v>3635765</v>
          </cell>
          <cell r="AG98">
            <v>279295</v>
          </cell>
          <cell r="AH98">
            <v>559390</v>
          </cell>
          <cell r="AI98">
            <v>844193</v>
          </cell>
          <cell r="AJ98">
            <v>1129169</v>
          </cell>
          <cell r="AK98">
            <v>1417921</v>
          </cell>
          <cell r="AL98">
            <v>1691588</v>
          </cell>
          <cell r="AM98">
            <v>1970544</v>
          </cell>
          <cell r="AN98">
            <v>2248551.91</v>
          </cell>
        </row>
        <row r="99">
          <cell r="G99">
            <v>4092</v>
          </cell>
          <cell r="H99" t="str">
            <v>Empl_Benefits</v>
          </cell>
          <cell r="I99">
            <v>21933</v>
          </cell>
          <cell r="J99">
            <v>22097</v>
          </cell>
          <cell r="K99">
            <v>21816</v>
          </cell>
          <cell r="L99">
            <v>22099</v>
          </cell>
          <cell r="M99">
            <v>32482</v>
          </cell>
          <cell r="N99">
            <v>22178</v>
          </cell>
          <cell r="O99">
            <v>20626</v>
          </cell>
          <cell r="P99">
            <v>20575</v>
          </cell>
          <cell r="Q99">
            <v>20534</v>
          </cell>
          <cell r="R99">
            <v>20842</v>
          </cell>
          <cell r="S99">
            <v>52731</v>
          </cell>
          <cell r="T99">
            <v>23820</v>
          </cell>
          <cell r="U99">
            <v>25328</v>
          </cell>
          <cell r="V99">
            <v>24348</v>
          </cell>
          <cell r="W99">
            <v>25179</v>
          </cell>
          <cell r="X99">
            <v>37181</v>
          </cell>
          <cell r="Y99">
            <v>25661</v>
          </cell>
          <cell r="Z99">
            <v>25652</v>
          </cell>
          <cell r="AA99">
            <v>26055</v>
          </cell>
          <cell r="AB99">
            <v>25662.21</v>
          </cell>
          <cell r="AC99">
            <v>25542</v>
          </cell>
          <cell r="AD99">
            <v>26142</v>
          </cell>
          <cell r="AE99">
            <v>39450</v>
          </cell>
          <cell r="AF99">
            <v>26906</v>
          </cell>
          <cell r="AG99">
            <v>26778</v>
          </cell>
          <cell r="AH99">
            <v>26948</v>
          </cell>
          <cell r="AI99">
            <v>28988</v>
          </cell>
          <cell r="AJ99">
            <v>43058</v>
          </cell>
          <cell r="AK99">
            <v>29282</v>
          </cell>
          <cell r="AL99">
            <v>29607</v>
          </cell>
          <cell r="AM99">
            <v>29560</v>
          </cell>
          <cell r="AN99">
            <v>29729.67</v>
          </cell>
        </row>
        <row r="100">
          <cell r="G100">
            <v>4093</v>
          </cell>
          <cell r="H100" t="str">
            <v>Total Personnel</v>
          </cell>
          <cell r="I100">
            <v>72497</v>
          </cell>
          <cell r="J100">
            <v>74084</v>
          </cell>
          <cell r="K100">
            <v>71473</v>
          </cell>
          <cell r="L100">
            <v>72318</v>
          </cell>
          <cell r="M100">
            <v>105105</v>
          </cell>
          <cell r="N100">
            <v>72369</v>
          </cell>
          <cell r="O100">
            <v>67201</v>
          </cell>
          <cell r="P100">
            <v>67553</v>
          </cell>
          <cell r="Q100">
            <v>65860</v>
          </cell>
          <cell r="R100">
            <v>67306</v>
          </cell>
          <cell r="S100">
            <v>169764</v>
          </cell>
          <cell r="T100">
            <v>76427</v>
          </cell>
          <cell r="U100">
            <v>82561</v>
          </cell>
          <cell r="V100">
            <v>80238</v>
          </cell>
          <cell r="W100">
            <v>81597</v>
          </cell>
          <cell r="X100">
            <v>118326</v>
          </cell>
          <cell r="Y100">
            <v>82489</v>
          </cell>
          <cell r="Z100">
            <v>82324</v>
          </cell>
          <cell r="AA100">
            <v>85179</v>
          </cell>
          <cell r="AB100">
            <v>56488.53</v>
          </cell>
          <cell r="AC100">
            <v>81480</v>
          </cell>
          <cell r="AD100">
            <v>85977</v>
          </cell>
          <cell r="AE100">
            <v>126460</v>
          </cell>
          <cell r="AF100">
            <v>85435</v>
          </cell>
          <cell r="AG100">
            <v>85153</v>
          </cell>
          <cell r="AH100">
            <v>86131</v>
          </cell>
          <cell r="AI100">
            <v>88114</v>
          </cell>
          <cell r="AJ100">
            <v>129748</v>
          </cell>
          <cell r="AK100">
            <v>88525</v>
          </cell>
          <cell r="AL100">
            <v>89941</v>
          </cell>
          <cell r="AM100">
            <v>89962</v>
          </cell>
          <cell r="AN100">
            <v>91271.489999999991</v>
          </cell>
        </row>
        <row r="101">
          <cell r="G101">
            <v>4094</v>
          </cell>
          <cell r="H101" t="str">
            <v>Target Empl_Benefits</v>
          </cell>
          <cell r="I101">
            <v>22159</v>
          </cell>
          <cell r="J101">
            <v>24798</v>
          </cell>
          <cell r="K101">
            <v>25297</v>
          </cell>
          <cell r="L101">
            <v>25257</v>
          </cell>
          <cell r="M101">
            <v>36997</v>
          </cell>
          <cell r="N101">
            <v>25315</v>
          </cell>
          <cell r="O101">
            <v>25385</v>
          </cell>
          <cell r="P101">
            <v>25347</v>
          </cell>
          <cell r="Q101">
            <v>25328</v>
          </cell>
          <cell r="R101">
            <v>25409</v>
          </cell>
          <cell r="S101">
            <v>37007</v>
          </cell>
          <cell r="T101">
            <v>25300</v>
          </cell>
          <cell r="U101">
            <v>25482</v>
          </cell>
          <cell r="V101">
            <v>41449</v>
          </cell>
          <cell r="W101">
            <v>24846</v>
          </cell>
          <cell r="X101">
            <v>38174</v>
          </cell>
          <cell r="Y101">
            <v>26081</v>
          </cell>
          <cell r="Z101">
            <v>26140</v>
          </cell>
          <cell r="AA101">
            <v>26255</v>
          </cell>
          <cell r="AB101">
            <v>26062</v>
          </cell>
          <cell r="AC101">
            <v>26062</v>
          </cell>
          <cell r="AD101">
            <v>26062</v>
          </cell>
          <cell r="AE101">
            <v>38076</v>
          </cell>
          <cell r="AF101">
            <v>26062</v>
          </cell>
          <cell r="AG101">
            <v>25440</v>
          </cell>
          <cell r="AH101">
            <v>25623</v>
          </cell>
          <cell r="AI101">
            <v>27888</v>
          </cell>
          <cell r="AJ101">
            <v>40742</v>
          </cell>
          <cell r="AK101">
            <v>27974</v>
          </cell>
          <cell r="AL101">
            <v>27907</v>
          </cell>
          <cell r="AM101">
            <v>27907</v>
          </cell>
          <cell r="AN101">
            <v>27906.510000000002</v>
          </cell>
        </row>
        <row r="102">
          <cell r="G102">
            <v>4095</v>
          </cell>
          <cell r="H102" t="str">
            <v>Target Total Personnel</v>
          </cell>
          <cell r="I102">
            <v>72082</v>
          </cell>
          <cell r="J102">
            <v>80610</v>
          </cell>
          <cell r="K102">
            <v>82730</v>
          </cell>
          <cell r="L102">
            <v>82588</v>
          </cell>
          <cell r="M102">
            <v>120081</v>
          </cell>
          <cell r="N102">
            <v>82544</v>
          </cell>
          <cell r="O102">
            <v>82920</v>
          </cell>
          <cell r="P102">
            <v>82678</v>
          </cell>
          <cell r="Q102">
            <v>82353</v>
          </cell>
          <cell r="R102">
            <v>82842</v>
          </cell>
          <cell r="S102">
            <v>119887</v>
          </cell>
          <cell r="T102">
            <v>82427</v>
          </cell>
          <cell r="U102">
            <v>82977</v>
          </cell>
          <cell r="V102">
            <v>97754</v>
          </cell>
          <cell r="W102">
            <v>78611</v>
          </cell>
          <cell r="X102">
            <v>120443</v>
          </cell>
          <cell r="Y102">
            <v>82571</v>
          </cell>
          <cell r="Z102">
            <v>82991</v>
          </cell>
          <cell r="AA102">
            <v>83806</v>
          </cell>
          <cell r="AB102">
            <v>82436</v>
          </cell>
          <cell r="AC102">
            <v>82436</v>
          </cell>
          <cell r="AD102">
            <v>82436</v>
          </cell>
          <cell r="AE102">
            <v>119740</v>
          </cell>
          <cell r="AF102">
            <v>82436</v>
          </cell>
          <cell r="AG102">
            <v>80632</v>
          </cell>
          <cell r="AH102">
            <v>81432</v>
          </cell>
          <cell r="AI102">
            <v>84939</v>
          </cell>
          <cell r="AJ102">
            <v>121996</v>
          </cell>
          <cell r="AK102">
            <v>84206</v>
          </cell>
          <cell r="AL102">
            <v>84185</v>
          </cell>
          <cell r="AM102">
            <v>85192</v>
          </cell>
          <cell r="AN102">
            <v>84244.81</v>
          </cell>
        </row>
        <row r="103">
          <cell r="G103">
            <v>4096</v>
          </cell>
          <cell r="H103" t="str">
            <v>YTD Empl_Benefits</v>
          </cell>
          <cell r="I103">
            <v>21933</v>
          </cell>
          <cell r="J103">
            <v>44030</v>
          </cell>
          <cell r="K103">
            <v>65847</v>
          </cell>
          <cell r="L103">
            <v>87945</v>
          </cell>
          <cell r="M103">
            <v>120427</v>
          </cell>
          <cell r="N103">
            <v>142605</v>
          </cell>
          <cell r="O103">
            <v>163231</v>
          </cell>
          <cell r="P103">
            <v>183805</v>
          </cell>
          <cell r="Q103">
            <v>204339</v>
          </cell>
          <cell r="R103">
            <v>225181</v>
          </cell>
          <cell r="S103">
            <v>277912</v>
          </cell>
          <cell r="T103">
            <v>301733</v>
          </cell>
          <cell r="U103">
            <v>25328</v>
          </cell>
          <cell r="V103">
            <v>49676</v>
          </cell>
          <cell r="W103">
            <v>74855</v>
          </cell>
          <cell r="X103">
            <v>112036</v>
          </cell>
          <cell r="Y103">
            <v>137697</v>
          </cell>
          <cell r="Z103">
            <v>163349</v>
          </cell>
          <cell r="AA103">
            <v>189404</v>
          </cell>
          <cell r="AB103">
            <v>215065.91</v>
          </cell>
          <cell r="AC103">
            <v>240608</v>
          </cell>
          <cell r="AD103">
            <v>266749</v>
          </cell>
          <cell r="AE103">
            <v>306199</v>
          </cell>
          <cell r="AF103">
            <v>333105</v>
          </cell>
          <cell r="AG103">
            <v>26778</v>
          </cell>
          <cell r="AH103">
            <v>53726</v>
          </cell>
          <cell r="AI103">
            <v>82714</v>
          </cell>
          <cell r="AJ103">
            <v>125772</v>
          </cell>
          <cell r="AK103">
            <v>155054</v>
          </cell>
          <cell r="AL103">
            <v>184661</v>
          </cell>
          <cell r="AM103">
            <v>214221</v>
          </cell>
          <cell r="AN103">
            <v>243951.15000000002</v>
          </cell>
        </row>
        <row r="104">
          <cell r="G104">
            <v>4097</v>
          </cell>
          <cell r="H104" t="str">
            <v>YTD Total Personnel</v>
          </cell>
          <cell r="I104">
            <v>72497</v>
          </cell>
          <cell r="J104">
            <v>146581</v>
          </cell>
          <cell r="K104">
            <v>218054</v>
          </cell>
          <cell r="L104">
            <v>290371</v>
          </cell>
          <cell r="M104">
            <v>395476</v>
          </cell>
          <cell r="N104">
            <v>467845</v>
          </cell>
          <cell r="O104">
            <v>535046</v>
          </cell>
          <cell r="P104">
            <v>602599</v>
          </cell>
          <cell r="Q104">
            <v>668460</v>
          </cell>
          <cell r="R104">
            <v>735766</v>
          </cell>
          <cell r="S104">
            <v>905529</v>
          </cell>
          <cell r="T104">
            <v>981957</v>
          </cell>
          <cell r="U104">
            <v>82561</v>
          </cell>
          <cell r="V104">
            <v>162799</v>
          </cell>
          <cell r="W104">
            <v>244396</v>
          </cell>
          <cell r="X104">
            <v>362723</v>
          </cell>
          <cell r="Y104">
            <v>445212</v>
          </cell>
          <cell r="Z104">
            <v>527536</v>
          </cell>
          <cell r="AA104">
            <v>612714</v>
          </cell>
          <cell r="AB104">
            <v>479799.31</v>
          </cell>
          <cell r="AC104">
            <v>776346</v>
          </cell>
          <cell r="AD104">
            <v>862323</v>
          </cell>
          <cell r="AE104">
            <v>988783</v>
          </cell>
          <cell r="AF104">
            <v>1074217</v>
          </cell>
          <cell r="AG104">
            <v>85153</v>
          </cell>
          <cell r="AH104">
            <v>171284</v>
          </cell>
          <cell r="AI104">
            <v>259399</v>
          </cell>
          <cell r="AJ104">
            <v>389146</v>
          </cell>
          <cell r="AK104">
            <v>477672</v>
          </cell>
          <cell r="AL104">
            <v>567612</v>
          </cell>
          <cell r="AM104">
            <v>657575</v>
          </cell>
          <cell r="AN104">
            <v>748846.23</v>
          </cell>
        </row>
        <row r="105">
          <cell r="G105">
            <v>4098</v>
          </cell>
          <cell r="H105" t="str">
            <v>YTD Target Empl_Benefits</v>
          </cell>
          <cell r="I105">
            <v>22159</v>
          </cell>
          <cell r="J105">
            <v>49571</v>
          </cell>
          <cell r="K105">
            <v>74868</v>
          </cell>
          <cell r="L105">
            <v>100125</v>
          </cell>
          <cell r="M105">
            <v>137122</v>
          </cell>
          <cell r="N105">
            <v>162437</v>
          </cell>
          <cell r="O105">
            <v>187822</v>
          </cell>
          <cell r="P105">
            <v>213169</v>
          </cell>
          <cell r="Q105">
            <v>238497</v>
          </cell>
          <cell r="R105">
            <v>263906</v>
          </cell>
          <cell r="S105">
            <v>300913</v>
          </cell>
          <cell r="T105">
            <v>326213</v>
          </cell>
          <cell r="U105">
            <v>25482</v>
          </cell>
          <cell r="V105">
            <v>84689</v>
          </cell>
          <cell r="W105">
            <v>74579</v>
          </cell>
          <cell r="X105">
            <v>112754</v>
          </cell>
          <cell r="Y105">
            <v>138835</v>
          </cell>
          <cell r="Z105">
            <v>164975</v>
          </cell>
          <cell r="AA105">
            <v>191230</v>
          </cell>
          <cell r="AB105">
            <v>217292</v>
          </cell>
          <cell r="AC105">
            <v>243355</v>
          </cell>
          <cell r="AD105">
            <v>269417</v>
          </cell>
          <cell r="AE105">
            <v>307493</v>
          </cell>
          <cell r="AF105">
            <v>333556</v>
          </cell>
          <cell r="AG105">
            <v>25440</v>
          </cell>
          <cell r="AH105">
            <v>51063</v>
          </cell>
          <cell r="AI105">
            <v>78951</v>
          </cell>
          <cell r="AJ105">
            <v>119693</v>
          </cell>
          <cell r="AK105">
            <v>147666</v>
          </cell>
          <cell r="AL105">
            <v>175573</v>
          </cell>
          <cell r="AM105">
            <v>203479</v>
          </cell>
          <cell r="AN105">
            <v>231385.89</v>
          </cell>
        </row>
        <row r="106">
          <cell r="G106">
            <v>4099</v>
          </cell>
          <cell r="H106" t="str">
            <v>YTD Target Total Personnel</v>
          </cell>
          <cell r="I106">
            <v>72082</v>
          </cell>
          <cell r="J106">
            <v>161044</v>
          </cell>
          <cell r="K106">
            <v>244991</v>
          </cell>
          <cell r="L106">
            <v>327579</v>
          </cell>
          <cell r="M106">
            <v>447660</v>
          </cell>
          <cell r="N106">
            <v>530204</v>
          </cell>
          <cell r="O106">
            <v>613124</v>
          </cell>
          <cell r="P106">
            <v>695802</v>
          </cell>
          <cell r="Q106">
            <v>778155</v>
          </cell>
          <cell r="R106">
            <v>860997</v>
          </cell>
          <cell r="S106">
            <v>980884</v>
          </cell>
          <cell r="T106">
            <v>1063311</v>
          </cell>
          <cell r="U106">
            <v>82977</v>
          </cell>
          <cell r="V106">
            <v>198199</v>
          </cell>
          <cell r="W106">
            <v>241855</v>
          </cell>
          <cell r="X106">
            <v>362298</v>
          </cell>
          <cell r="Y106">
            <v>444869</v>
          </cell>
          <cell r="Z106">
            <v>527860</v>
          </cell>
          <cell r="AA106">
            <v>611666</v>
          </cell>
          <cell r="AB106">
            <v>694102</v>
          </cell>
          <cell r="AC106">
            <v>776538</v>
          </cell>
          <cell r="AD106">
            <v>858973</v>
          </cell>
          <cell r="AE106">
            <v>978714</v>
          </cell>
          <cell r="AF106">
            <v>1061150</v>
          </cell>
          <cell r="AG106">
            <v>80632</v>
          </cell>
          <cell r="AH106">
            <v>162064</v>
          </cell>
          <cell r="AI106">
            <v>247003</v>
          </cell>
          <cell r="AJ106">
            <v>368999</v>
          </cell>
          <cell r="AK106">
            <v>453205</v>
          </cell>
          <cell r="AL106">
            <v>537390</v>
          </cell>
          <cell r="AM106">
            <v>622582</v>
          </cell>
          <cell r="AN106">
            <v>706826.60000000009</v>
          </cell>
        </row>
        <row r="107">
          <cell r="G107">
            <v>4100</v>
          </cell>
          <cell r="H107" t="str">
            <v>Actual</v>
          </cell>
          <cell r="O107">
            <v>1504</v>
          </cell>
          <cell r="P107">
            <v>3023</v>
          </cell>
          <cell r="Q107">
            <v>611</v>
          </cell>
          <cell r="U107">
            <v>861</v>
          </cell>
          <cell r="V107">
            <v>1985</v>
          </cell>
          <cell r="W107">
            <v>1637</v>
          </cell>
          <cell r="X107">
            <v>2309</v>
          </cell>
          <cell r="Y107">
            <v>2214</v>
          </cell>
          <cell r="Z107">
            <v>2003</v>
          </cell>
          <cell r="AA107">
            <v>4354</v>
          </cell>
          <cell r="AB107">
            <v>1600.75</v>
          </cell>
          <cell r="AC107">
            <v>1149</v>
          </cell>
          <cell r="AD107">
            <v>5160</v>
          </cell>
          <cell r="AE107">
            <v>3877</v>
          </cell>
          <cell r="AF107">
            <v>720</v>
          </cell>
          <cell r="AG107">
            <v>896</v>
          </cell>
          <cell r="AH107">
            <v>1584</v>
          </cell>
          <cell r="AI107">
            <v>971</v>
          </cell>
          <cell r="AJ107">
            <v>935</v>
          </cell>
          <cell r="AK107">
            <v>296</v>
          </cell>
          <cell r="AL107">
            <v>960</v>
          </cell>
          <cell r="AM107">
            <v>1197</v>
          </cell>
          <cell r="AN107">
            <v>2384.0700000000002</v>
          </cell>
        </row>
        <row r="108">
          <cell r="G108">
            <v>4101</v>
          </cell>
          <cell r="H108" t="str">
            <v>Target (Budget)</v>
          </cell>
          <cell r="O108">
            <v>1021</v>
          </cell>
          <cell r="P108">
            <v>817</v>
          </cell>
          <cell r="Q108">
            <v>511</v>
          </cell>
          <cell r="U108">
            <v>778</v>
          </cell>
          <cell r="V108">
            <v>2419</v>
          </cell>
          <cell r="W108">
            <v>80</v>
          </cell>
          <cell r="X108">
            <v>754</v>
          </cell>
          <cell r="Y108">
            <v>266</v>
          </cell>
          <cell r="Z108">
            <v>627</v>
          </cell>
          <cell r="AA108">
            <v>1328</v>
          </cell>
          <cell r="AB108">
            <v>150</v>
          </cell>
          <cell r="AC108">
            <v>150</v>
          </cell>
          <cell r="AD108">
            <v>150</v>
          </cell>
          <cell r="AE108">
            <v>150</v>
          </cell>
          <cell r="AF108">
            <v>150</v>
          </cell>
          <cell r="AG108">
            <v>577</v>
          </cell>
          <cell r="AH108">
            <v>1194</v>
          </cell>
          <cell r="AI108">
            <v>344</v>
          </cell>
          <cell r="AJ108">
            <v>542</v>
          </cell>
          <cell r="AK108">
            <v>525</v>
          </cell>
          <cell r="AL108">
            <v>571</v>
          </cell>
          <cell r="AM108">
            <v>1579</v>
          </cell>
          <cell r="AN108">
            <v>631.20000000000005</v>
          </cell>
        </row>
        <row r="109">
          <cell r="G109">
            <v>4104</v>
          </cell>
          <cell r="H109" t="str">
            <v>YTD Actual</v>
          </cell>
          <cell r="O109">
            <v>6429</v>
          </cell>
          <cell r="P109">
            <v>9452</v>
          </cell>
          <cell r="Q109">
            <v>10063</v>
          </cell>
          <cell r="U109">
            <v>861</v>
          </cell>
          <cell r="V109">
            <v>2846</v>
          </cell>
          <cell r="W109">
            <v>4483</v>
          </cell>
          <cell r="X109">
            <v>6791</v>
          </cell>
          <cell r="Y109">
            <v>9005</v>
          </cell>
          <cell r="Z109">
            <v>11008</v>
          </cell>
          <cell r="AA109">
            <v>15362</v>
          </cell>
          <cell r="AB109">
            <v>16962.52</v>
          </cell>
          <cell r="AC109">
            <v>18112</v>
          </cell>
          <cell r="AD109">
            <v>23271</v>
          </cell>
          <cell r="AE109">
            <v>27148</v>
          </cell>
          <cell r="AF109">
            <v>27868</v>
          </cell>
          <cell r="AG109">
            <v>896</v>
          </cell>
          <cell r="AH109">
            <v>2480</v>
          </cell>
          <cell r="AI109">
            <v>3451</v>
          </cell>
          <cell r="AJ109">
            <v>4386</v>
          </cell>
          <cell r="AK109">
            <v>4682</v>
          </cell>
          <cell r="AL109">
            <v>5642</v>
          </cell>
          <cell r="AM109">
            <v>6839</v>
          </cell>
          <cell r="AN109">
            <v>9223.3799999999992</v>
          </cell>
        </row>
        <row r="110">
          <cell r="G110">
            <v>4105</v>
          </cell>
          <cell r="H110" t="str">
            <v>YTD Target (Budget)</v>
          </cell>
          <cell r="O110">
            <v>6331</v>
          </cell>
          <cell r="P110">
            <v>7148</v>
          </cell>
          <cell r="Q110">
            <v>7659</v>
          </cell>
          <cell r="U110">
            <v>778</v>
          </cell>
          <cell r="V110">
            <v>3197</v>
          </cell>
          <cell r="W110">
            <v>3277</v>
          </cell>
          <cell r="X110">
            <v>4031</v>
          </cell>
          <cell r="Y110">
            <v>4297</v>
          </cell>
          <cell r="Z110">
            <v>4924</v>
          </cell>
          <cell r="AA110">
            <v>6253</v>
          </cell>
          <cell r="AB110">
            <v>6403</v>
          </cell>
          <cell r="AC110">
            <v>6553</v>
          </cell>
          <cell r="AD110">
            <v>6703</v>
          </cell>
          <cell r="AE110">
            <v>6853</v>
          </cell>
          <cell r="AF110">
            <v>7003</v>
          </cell>
          <cell r="AG110">
            <v>577</v>
          </cell>
          <cell r="AH110">
            <v>1771</v>
          </cell>
          <cell r="AI110">
            <v>2115</v>
          </cell>
          <cell r="AJ110">
            <v>2658</v>
          </cell>
          <cell r="AK110">
            <v>3183</v>
          </cell>
          <cell r="AL110">
            <v>3754</v>
          </cell>
          <cell r="AM110">
            <v>5333</v>
          </cell>
          <cell r="AN110">
            <v>5963.83</v>
          </cell>
        </row>
        <row r="111">
          <cell r="G111">
            <v>4112</v>
          </cell>
          <cell r="H111" t="str">
            <v>Actual</v>
          </cell>
          <cell r="I111">
            <v>991709</v>
          </cell>
          <cell r="J111">
            <v>-211289</v>
          </cell>
          <cell r="K111">
            <v>-265120</v>
          </cell>
          <cell r="L111">
            <v>-367792</v>
          </cell>
          <cell r="M111">
            <v>-278899</v>
          </cell>
          <cell r="N111">
            <v>-231083</v>
          </cell>
          <cell r="O111">
            <v>-261831</v>
          </cell>
          <cell r="P111">
            <v>-302859</v>
          </cell>
          <cell r="Q111">
            <v>1967818</v>
          </cell>
          <cell r="R111">
            <v>-367222</v>
          </cell>
          <cell r="S111">
            <v>-322043</v>
          </cell>
          <cell r="T111">
            <v>1237278</v>
          </cell>
          <cell r="U111">
            <v>-280906</v>
          </cell>
          <cell r="V111">
            <v>2990812</v>
          </cell>
          <cell r="W111">
            <v>-234926</v>
          </cell>
          <cell r="X111">
            <v>-362874</v>
          </cell>
          <cell r="Y111">
            <v>-240470</v>
          </cell>
          <cell r="Z111">
            <v>-98677</v>
          </cell>
          <cell r="AA111">
            <v>-451388</v>
          </cell>
          <cell r="AB111">
            <v>-97036.65</v>
          </cell>
          <cell r="AC111">
            <v>-202416</v>
          </cell>
          <cell r="AD111">
            <v>-195496</v>
          </cell>
          <cell r="AE111">
            <v>-473906</v>
          </cell>
          <cell r="AF111">
            <v>-94366</v>
          </cell>
          <cell r="AG111">
            <v>-252202</v>
          </cell>
          <cell r="AH111">
            <v>2810671</v>
          </cell>
          <cell r="AI111">
            <v>-230095</v>
          </cell>
          <cell r="AJ111">
            <v>-253047</v>
          </cell>
          <cell r="AK111">
            <v>-192287</v>
          </cell>
          <cell r="AL111">
            <v>-345438</v>
          </cell>
          <cell r="AM111">
            <v>-235044</v>
          </cell>
          <cell r="AN111">
            <v>-221470.68999999997</v>
          </cell>
        </row>
        <row r="112">
          <cell r="G112">
            <v>4113</v>
          </cell>
          <cell r="H112" t="str">
            <v>Target (Budget)</v>
          </cell>
          <cell r="I112">
            <v>1003345</v>
          </cell>
          <cell r="J112">
            <v>-91383</v>
          </cell>
          <cell r="K112">
            <v>-374597</v>
          </cell>
          <cell r="L112">
            <v>-287990</v>
          </cell>
          <cell r="M112">
            <v>-322841</v>
          </cell>
          <cell r="N112">
            <v>-287296</v>
          </cell>
          <cell r="O112">
            <v>-282526</v>
          </cell>
          <cell r="P112">
            <v>-287847</v>
          </cell>
          <cell r="Q112">
            <v>1931477</v>
          </cell>
          <cell r="R112">
            <v>-281481</v>
          </cell>
          <cell r="S112">
            <v>-327028</v>
          </cell>
          <cell r="T112">
            <v>1227097</v>
          </cell>
          <cell r="U112">
            <v>-325251</v>
          </cell>
          <cell r="V112">
            <v>2792692</v>
          </cell>
          <cell r="W112">
            <v>-150142</v>
          </cell>
          <cell r="X112">
            <v>-317974</v>
          </cell>
          <cell r="Y112">
            <v>-281102</v>
          </cell>
          <cell r="Z112">
            <v>-151521</v>
          </cell>
          <cell r="AA112">
            <v>-305051</v>
          </cell>
          <cell r="AB112">
            <v>-291967</v>
          </cell>
          <cell r="AC112">
            <v>-203433</v>
          </cell>
          <cell r="AD112">
            <v>-291667</v>
          </cell>
          <cell r="AE112">
            <v>-329026</v>
          </cell>
          <cell r="AF112">
            <v>-117112</v>
          </cell>
          <cell r="AG112">
            <v>-279295</v>
          </cell>
          <cell r="AH112">
            <v>2780739</v>
          </cell>
          <cell r="AI112">
            <v>-194802</v>
          </cell>
          <cell r="AJ112">
            <v>-300563</v>
          </cell>
          <cell r="AK112">
            <v>-267969</v>
          </cell>
          <cell r="AL112">
            <v>-273668</v>
          </cell>
          <cell r="AM112">
            <v>-278955</v>
          </cell>
          <cell r="AN112">
            <v>-198008.00999999998</v>
          </cell>
        </row>
        <row r="113">
          <cell r="G113">
            <v>4116</v>
          </cell>
          <cell r="H113" t="str">
            <v>YTD Actual</v>
          </cell>
          <cell r="I113">
            <v>991709</v>
          </cell>
          <cell r="J113">
            <v>780421</v>
          </cell>
          <cell r="K113">
            <v>515300</v>
          </cell>
          <cell r="L113">
            <v>147509</v>
          </cell>
          <cell r="M113">
            <v>1494712</v>
          </cell>
          <cell r="N113">
            <v>-362473</v>
          </cell>
          <cell r="O113">
            <v>-624304</v>
          </cell>
          <cell r="P113">
            <v>-927163</v>
          </cell>
          <cell r="Q113">
            <v>1040655</v>
          </cell>
          <cell r="R113">
            <v>673433</v>
          </cell>
          <cell r="S113">
            <v>351390</v>
          </cell>
          <cell r="T113">
            <v>287542</v>
          </cell>
          <cell r="U113">
            <v>-280906</v>
          </cell>
          <cell r="V113">
            <v>2709906</v>
          </cell>
          <cell r="W113">
            <v>2474980</v>
          </cell>
          <cell r="X113">
            <v>2112105</v>
          </cell>
          <cell r="Y113">
            <v>1871635</v>
          </cell>
          <cell r="Z113">
            <v>1772969</v>
          </cell>
          <cell r="AA113">
            <v>1321580</v>
          </cell>
          <cell r="AB113">
            <v>1224543.73</v>
          </cell>
          <cell r="AC113">
            <v>1022128</v>
          </cell>
          <cell r="AD113">
            <v>826632</v>
          </cell>
          <cell r="AE113">
            <v>352726</v>
          </cell>
          <cell r="AF113">
            <v>258361</v>
          </cell>
          <cell r="AG113">
            <v>-252202</v>
          </cell>
          <cell r="AH113">
            <v>2558468</v>
          </cell>
          <cell r="AI113">
            <v>2328373</v>
          </cell>
          <cell r="AJ113">
            <v>2075326</v>
          </cell>
          <cell r="AK113">
            <v>1883039</v>
          </cell>
          <cell r="AL113">
            <v>1537602</v>
          </cell>
          <cell r="AM113">
            <v>1302558</v>
          </cell>
          <cell r="AN113">
            <v>1081086.8399999999</v>
          </cell>
        </row>
        <row r="114">
          <cell r="G114">
            <v>4117</v>
          </cell>
          <cell r="H114" t="str">
            <v>YTD Target (Budget)</v>
          </cell>
          <cell r="I114">
            <v>1003345</v>
          </cell>
          <cell r="J114">
            <v>903532</v>
          </cell>
          <cell r="K114">
            <v>526001</v>
          </cell>
          <cell r="L114">
            <v>238011</v>
          </cell>
          <cell r="M114">
            <v>1448152</v>
          </cell>
          <cell r="N114">
            <v>-372126</v>
          </cell>
          <cell r="O114">
            <v>-654652</v>
          </cell>
          <cell r="P114">
            <v>-942499</v>
          </cell>
          <cell r="Q114">
            <v>988978</v>
          </cell>
          <cell r="R114">
            <v>707496</v>
          </cell>
          <cell r="S114">
            <v>380468</v>
          </cell>
          <cell r="T114">
            <v>306440</v>
          </cell>
          <cell r="U114">
            <v>-325251</v>
          </cell>
          <cell r="V114">
            <v>2449973</v>
          </cell>
          <cell r="W114">
            <v>2396272</v>
          </cell>
          <cell r="X114">
            <v>2078298</v>
          </cell>
          <cell r="Y114">
            <v>1797196</v>
          </cell>
          <cell r="Z114">
            <v>1645675</v>
          </cell>
          <cell r="AA114">
            <v>1340624</v>
          </cell>
          <cell r="AB114">
            <v>1048657</v>
          </cell>
          <cell r="AC114">
            <v>845236</v>
          </cell>
          <cell r="AD114">
            <v>553569</v>
          </cell>
          <cell r="AE114">
            <v>224543</v>
          </cell>
          <cell r="AF114">
            <v>107432</v>
          </cell>
          <cell r="AG114">
            <v>-279295</v>
          </cell>
          <cell r="AH114">
            <v>2501444</v>
          </cell>
          <cell r="AI114">
            <v>2306641</v>
          </cell>
          <cell r="AJ114">
            <v>2021665</v>
          </cell>
          <cell r="AK114">
            <v>1732913</v>
          </cell>
          <cell r="AL114">
            <v>1459246</v>
          </cell>
          <cell r="AM114">
            <v>1180290</v>
          </cell>
          <cell r="AN114">
            <v>982282.08999999985</v>
          </cell>
        </row>
        <row r="115">
          <cell r="G115">
            <v>4124</v>
          </cell>
          <cell r="H115" t="str">
            <v>Actual</v>
          </cell>
          <cell r="I115">
            <v>994415</v>
          </cell>
          <cell r="J115">
            <v>-254415</v>
          </cell>
          <cell r="K115">
            <v>-287131</v>
          </cell>
          <cell r="L115">
            <v>-387202</v>
          </cell>
          <cell r="M115">
            <v>-295840</v>
          </cell>
          <cell r="N115">
            <v>-255118</v>
          </cell>
          <cell r="O115">
            <v>-289120</v>
          </cell>
          <cell r="P115">
            <v>-324908</v>
          </cell>
          <cell r="Q115">
            <v>1935972</v>
          </cell>
          <cell r="R115">
            <v>-385912</v>
          </cell>
          <cell r="S115">
            <v>-344188</v>
          </cell>
          <cell r="T115">
            <v>1194573</v>
          </cell>
          <cell r="U115">
            <v>-280659</v>
          </cell>
          <cell r="V115">
            <v>2945191</v>
          </cell>
          <cell r="W115">
            <v>-664405</v>
          </cell>
          <cell r="X115">
            <v>-385049</v>
          </cell>
          <cell r="Y115">
            <v>-261126</v>
          </cell>
          <cell r="Z115">
            <v>-118697</v>
          </cell>
          <cell r="AA115">
            <v>-471399</v>
          </cell>
          <cell r="AB115">
            <v>-118089.36</v>
          </cell>
          <cell r="AC115">
            <v>-225236</v>
          </cell>
          <cell r="AD115">
            <v>-216441</v>
          </cell>
          <cell r="AE115">
            <v>-494616</v>
          </cell>
          <cell r="AF115">
            <v>-116172</v>
          </cell>
          <cell r="AG115">
            <v>-274405</v>
          </cell>
          <cell r="AH115">
            <v>2793027</v>
          </cell>
          <cell r="AI115">
            <v>-250790</v>
          </cell>
          <cell r="AJ115">
            <v>-270911</v>
          </cell>
          <cell r="AK115">
            <v>-214816</v>
          </cell>
          <cell r="AL115">
            <v>-367910</v>
          </cell>
          <cell r="AM115">
            <v>-279052</v>
          </cell>
          <cell r="AN115">
            <v>-244158.30999999997</v>
          </cell>
        </row>
        <row r="116">
          <cell r="G116">
            <v>4125</v>
          </cell>
          <cell r="H116" t="str">
            <v>Target (Budget)</v>
          </cell>
          <cell r="I116">
            <v>1003345</v>
          </cell>
          <cell r="J116">
            <v>-141867</v>
          </cell>
          <cell r="K116">
            <v>-399839</v>
          </cell>
          <cell r="L116">
            <v>-313232</v>
          </cell>
          <cell r="M116">
            <v>-348083</v>
          </cell>
          <cell r="N116">
            <v>-312538</v>
          </cell>
          <cell r="O116">
            <v>-307768</v>
          </cell>
          <cell r="P116">
            <v>-313089</v>
          </cell>
          <cell r="Q116">
            <v>1906235</v>
          </cell>
          <cell r="R116">
            <v>-306723</v>
          </cell>
          <cell r="S116">
            <v>-352270</v>
          </cell>
          <cell r="T116">
            <v>1201855</v>
          </cell>
          <cell r="U116">
            <v>-347069</v>
          </cell>
          <cell r="V116">
            <v>2742975</v>
          </cell>
          <cell r="W116">
            <v>-177039</v>
          </cell>
          <cell r="X116">
            <v>-342671</v>
          </cell>
          <cell r="Y116">
            <v>-304799</v>
          </cell>
          <cell r="Z116">
            <v>-178218</v>
          </cell>
          <cell r="AA116">
            <v>-331948</v>
          </cell>
          <cell r="AB116">
            <v>-318864</v>
          </cell>
          <cell r="AC116">
            <v>-230318</v>
          </cell>
          <cell r="AD116">
            <v>-316364</v>
          </cell>
          <cell r="AE116">
            <v>-353723</v>
          </cell>
          <cell r="AF116">
            <v>-141328</v>
          </cell>
          <cell r="AG116">
            <v>-302257</v>
          </cell>
          <cell r="AH116">
            <v>2757627</v>
          </cell>
          <cell r="AI116">
            <v>-217914</v>
          </cell>
          <cell r="AJ116">
            <v>-323125</v>
          </cell>
          <cell r="AK116">
            <v>-289131</v>
          </cell>
          <cell r="AL116">
            <v>-294330</v>
          </cell>
          <cell r="AM116">
            <v>-299618</v>
          </cell>
          <cell r="AN116">
            <v>-219170.09999999998</v>
          </cell>
        </row>
        <row r="117">
          <cell r="G117">
            <v>4128</v>
          </cell>
          <cell r="H117" t="str">
            <v>YTD Actual</v>
          </cell>
          <cell r="I117">
            <v>994415</v>
          </cell>
          <cell r="J117">
            <v>740000</v>
          </cell>
          <cell r="K117">
            <v>452869</v>
          </cell>
          <cell r="L117">
            <v>65667</v>
          </cell>
          <cell r="M117">
            <v>-230173</v>
          </cell>
          <cell r="N117">
            <v>-485291</v>
          </cell>
          <cell r="O117">
            <v>-774411</v>
          </cell>
          <cell r="P117">
            <v>-1099320</v>
          </cell>
          <cell r="Q117">
            <v>836652</v>
          </cell>
          <cell r="R117">
            <v>450740</v>
          </cell>
          <cell r="S117">
            <v>106552</v>
          </cell>
          <cell r="T117">
            <v>0</v>
          </cell>
          <cell r="U117">
            <v>-280659</v>
          </cell>
          <cell r="V117">
            <v>2664532</v>
          </cell>
          <cell r="W117">
            <v>2000127</v>
          </cell>
          <cell r="X117">
            <v>2021775</v>
          </cell>
          <cell r="Y117">
            <v>1760649</v>
          </cell>
          <cell r="Z117">
            <v>1641952</v>
          </cell>
          <cell r="AA117">
            <v>1170554</v>
          </cell>
          <cell r="AB117">
            <v>1052464.1399999999</v>
          </cell>
          <cell r="AC117">
            <v>827228</v>
          </cell>
          <cell r="AD117">
            <v>610788</v>
          </cell>
          <cell r="AE117">
            <v>116172</v>
          </cell>
          <cell r="AF117">
            <v>0.01</v>
          </cell>
          <cell r="AG117">
            <v>-274405</v>
          </cell>
          <cell r="AH117">
            <v>2518622</v>
          </cell>
          <cell r="AI117">
            <v>2267832</v>
          </cell>
          <cell r="AJ117">
            <v>1996920</v>
          </cell>
          <cell r="AK117">
            <v>1782104</v>
          </cell>
          <cell r="AL117">
            <v>1414195</v>
          </cell>
          <cell r="AM117">
            <v>1135143</v>
          </cell>
          <cell r="AN117">
            <v>890984.73999999987</v>
          </cell>
        </row>
        <row r="118">
          <cell r="G118">
            <v>4129</v>
          </cell>
          <cell r="H118" t="str">
            <v>YTD Target (Budget)</v>
          </cell>
          <cell r="I118">
            <v>1003345</v>
          </cell>
          <cell r="J118">
            <v>853048</v>
          </cell>
          <cell r="K118">
            <v>450275</v>
          </cell>
          <cell r="L118">
            <v>137043</v>
          </cell>
          <cell r="M118">
            <v>-211040</v>
          </cell>
          <cell r="N118">
            <v>-523578</v>
          </cell>
          <cell r="O118">
            <v>-831346</v>
          </cell>
          <cell r="P118">
            <v>-1144435</v>
          </cell>
          <cell r="Q118">
            <v>761800</v>
          </cell>
          <cell r="R118">
            <v>455076</v>
          </cell>
          <cell r="S118">
            <v>102806</v>
          </cell>
          <cell r="T118">
            <v>3536</v>
          </cell>
          <cell r="U118">
            <v>-347069</v>
          </cell>
          <cell r="V118">
            <v>2396195</v>
          </cell>
          <cell r="W118">
            <v>2315597</v>
          </cell>
          <cell r="X118">
            <v>1972926</v>
          </cell>
          <cell r="Y118">
            <v>1668128</v>
          </cell>
          <cell r="Z118">
            <v>1489909</v>
          </cell>
          <cell r="AA118">
            <v>1157961</v>
          </cell>
          <cell r="AB118">
            <v>839098</v>
          </cell>
          <cell r="AC118">
            <v>608780</v>
          </cell>
          <cell r="AD118">
            <v>292416</v>
          </cell>
          <cell r="AE118">
            <v>-61307</v>
          </cell>
          <cell r="AF118">
            <v>-202634</v>
          </cell>
          <cell r="AG118">
            <v>-302257</v>
          </cell>
          <cell r="AH118">
            <v>2455370</v>
          </cell>
          <cell r="AI118">
            <v>2237455</v>
          </cell>
          <cell r="AJ118">
            <v>1929916</v>
          </cell>
          <cell r="AK118">
            <v>1620003</v>
          </cell>
          <cell r="AL118">
            <v>1325673</v>
          </cell>
          <cell r="AM118">
            <v>1026055</v>
          </cell>
          <cell r="AN118">
            <v>806885.36999999988</v>
          </cell>
        </row>
        <row r="119">
          <cell r="G119">
            <v>5000</v>
          </cell>
          <cell r="H119" t="str">
            <v>Actual</v>
          </cell>
          <cell r="I119">
            <v>846790</v>
          </cell>
          <cell r="J119">
            <v>1196504</v>
          </cell>
          <cell r="K119">
            <v>1050376</v>
          </cell>
          <cell r="L119">
            <v>1057088</v>
          </cell>
          <cell r="M119">
            <v>1360376</v>
          </cell>
          <cell r="N119">
            <v>970421</v>
          </cell>
          <cell r="O119">
            <v>1084677</v>
          </cell>
          <cell r="P119">
            <v>942412</v>
          </cell>
          <cell r="Q119">
            <v>1027997</v>
          </cell>
          <cell r="R119">
            <v>1019603</v>
          </cell>
          <cell r="S119">
            <v>1123500</v>
          </cell>
          <cell r="T119">
            <v>1036984</v>
          </cell>
          <cell r="U119">
            <v>1024899</v>
          </cell>
          <cell r="V119">
            <v>1112140</v>
          </cell>
          <cell r="W119">
            <v>1241856</v>
          </cell>
          <cell r="X119">
            <v>1329573</v>
          </cell>
          <cell r="Y119">
            <v>1224197</v>
          </cell>
          <cell r="Z119">
            <v>1125998</v>
          </cell>
          <cell r="AA119">
            <v>1149284</v>
          </cell>
          <cell r="AB119">
            <v>1114643.6499999999</v>
          </cell>
          <cell r="AC119">
            <v>1062359</v>
          </cell>
          <cell r="AD119">
            <v>1262492</v>
          </cell>
          <cell r="AE119">
            <v>1293239</v>
          </cell>
          <cell r="AF119">
            <v>1141746</v>
          </cell>
          <cell r="AG119">
            <v>689700</v>
          </cell>
          <cell r="AH119">
            <v>1480853</v>
          </cell>
          <cell r="AI119">
            <v>1382543</v>
          </cell>
          <cell r="AJ119">
            <v>1697444</v>
          </cell>
          <cell r="AK119">
            <v>1031401</v>
          </cell>
          <cell r="AL119">
            <v>1228243</v>
          </cell>
          <cell r="AM119">
            <v>1237217</v>
          </cell>
          <cell r="AN119">
            <v>1122158.1300000001</v>
          </cell>
        </row>
        <row r="120">
          <cell r="G120">
            <v>5001</v>
          </cell>
          <cell r="H120" t="str">
            <v>Target (Budget)</v>
          </cell>
          <cell r="I120">
            <v>886875</v>
          </cell>
          <cell r="J120">
            <v>954858</v>
          </cell>
          <cell r="K120">
            <v>929362</v>
          </cell>
          <cell r="L120">
            <v>1052214</v>
          </cell>
          <cell r="M120">
            <v>2074173</v>
          </cell>
          <cell r="N120">
            <v>1082840</v>
          </cell>
          <cell r="O120">
            <v>1568591</v>
          </cell>
          <cell r="P120">
            <v>1410929</v>
          </cell>
          <cell r="Q120">
            <v>1151025</v>
          </cell>
          <cell r="R120">
            <v>1134282</v>
          </cell>
          <cell r="S120">
            <v>1237753</v>
          </cell>
          <cell r="T120">
            <v>1129967</v>
          </cell>
          <cell r="U120">
            <v>1108079</v>
          </cell>
          <cell r="V120">
            <v>1313135</v>
          </cell>
          <cell r="W120">
            <v>1180475</v>
          </cell>
          <cell r="X120">
            <v>1747574</v>
          </cell>
          <cell r="Y120">
            <v>1183551</v>
          </cell>
          <cell r="Z120">
            <v>1502388</v>
          </cell>
          <cell r="AA120">
            <v>1257933</v>
          </cell>
          <cell r="AB120">
            <v>1427793</v>
          </cell>
          <cell r="AC120">
            <v>1367770</v>
          </cell>
          <cell r="AD120">
            <v>1424994</v>
          </cell>
          <cell r="AE120">
            <v>1672219</v>
          </cell>
          <cell r="AF120">
            <v>1563052</v>
          </cell>
          <cell r="AG120">
            <v>1058379</v>
          </cell>
          <cell r="AH120">
            <v>1073654</v>
          </cell>
          <cell r="AI120">
            <v>1382745</v>
          </cell>
          <cell r="AJ120">
            <v>1341967</v>
          </cell>
          <cell r="AK120">
            <v>1084202</v>
          </cell>
          <cell r="AL120">
            <v>1230161</v>
          </cell>
          <cell r="AM120">
            <v>1104209</v>
          </cell>
          <cell r="AN120">
            <v>1074816.08</v>
          </cell>
        </row>
        <row r="121">
          <cell r="G121">
            <v>5004</v>
          </cell>
          <cell r="H121" t="str">
            <v>YTD Actual</v>
          </cell>
          <cell r="I121">
            <v>846790</v>
          </cell>
          <cell r="J121">
            <v>2043224</v>
          </cell>
          <cell r="K121">
            <v>3093600</v>
          </cell>
          <cell r="L121">
            <v>4150687</v>
          </cell>
          <cell r="M121">
            <v>5511063</v>
          </cell>
          <cell r="N121">
            <v>6481484</v>
          </cell>
          <cell r="O121">
            <v>7566161</v>
          </cell>
          <cell r="P121">
            <v>8508573</v>
          </cell>
          <cell r="Q121">
            <v>9536570</v>
          </cell>
          <cell r="R121">
            <v>10556173</v>
          </cell>
          <cell r="S121">
            <v>11679673</v>
          </cell>
          <cell r="T121">
            <v>12716662</v>
          </cell>
          <cell r="U121">
            <v>1024899</v>
          </cell>
          <cell r="V121">
            <v>2137039</v>
          </cell>
          <cell r="W121">
            <v>3378895</v>
          </cell>
          <cell r="X121">
            <v>4708468</v>
          </cell>
          <cell r="Y121">
            <v>5932665</v>
          </cell>
          <cell r="Z121">
            <v>7059058</v>
          </cell>
          <cell r="AA121">
            <v>8208342</v>
          </cell>
          <cell r="AB121">
            <v>9322985.7799999993</v>
          </cell>
          <cell r="AC121">
            <v>10385345</v>
          </cell>
          <cell r="AD121">
            <v>11647837</v>
          </cell>
          <cell r="AE121">
            <v>12941076</v>
          </cell>
          <cell r="AF121">
            <v>14082822</v>
          </cell>
          <cell r="AG121">
            <v>689700</v>
          </cell>
          <cell r="AH121">
            <v>2170553</v>
          </cell>
          <cell r="AI121">
            <v>3553096</v>
          </cell>
          <cell r="AJ121">
            <v>5250540</v>
          </cell>
          <cell r="AK121">
            <v>6281941</v>
          </cell>
          <cell r="AL121">
            <v>7510184</v>
          </cell>
          <cell r="AM121">
            <v>8747401</v>
          </cell>
          <cell r="AN121">
            <v>9869559.3399999999</v>
          </cell>
        </row>
        <row r="122">
          <cell r="G122">
            <v>5005</v>
          </cell>
          <cell r="H122" t="str">
            <v>YTD Target (Budget)</v>
          </cell>
          <cell r="I122">
            <v>886875</v>
          </cell>
          <cell r="J122">
            <v>1839487</v>
          </cell>
          <cell r="K122">
            <v>2773165</v>
          </cell>
          <cell r="L122">
            <v>3583142</v>
          </cell>
          <cell r="M122">
            <v>5657315</v>
          </cell>
          <cell r="N122">
            <v>6740155</v>
          </cell>
          <cell r="O122">
            <v>8308749</v>
          </cell>
          <cell r="P122">
            <v>9719678</v>
          </cell>
          <cell r="Q122">
            <v>10870703</v>
          </cell>
          <cell r="R122">
            <v>12004985</v>
          </cell>
          <cell r="S122">
            <v>13242738</v>
          </cell>
          <cell r="T122">
            <v>14372706</v>
          </cell>
          <cell r="U122">
            <v>1108079</v>
          </cell>
          <cell r="V122">
            <v>2498135</v>
          </cell>
          <cell r="W122">
            <v>3465735</v>
          </cell>
          <cell r="X122">
            <v>5213308</v>
          </cell>
          <cell r="Y122">
            <v>6396860</v>
          </cell>
          <cell r="Z122">
            <v>8153408</v>
          </cell>
          <cell r="AA122">
            <v>9411341</v>
          </cell>
          <cell r="AB122">
            <v>10839133</v>
          </cell>
          <cell r="AC122">
            <v>12206903</v>
          </cell>
          <cell r="AD122">
            <v>13631897</v>
          </cell>
          <cell r="AE122">
            <v>15304116</v>
          </cell>
          <cell r="AF122">
            <v>16867168</v>
          </cell>
          <cell r="AG122">
            <v>1058379</v>
          </cell>
          <cell r="AH122">
            <v>2208158</v>
          </cell>
          <cell r="AI122">
            <v>3525404</v>
          </cell>
          <cell r="AJ122">
            <v>4828426</v>
          </cell>
          <cell r="AK122">
            <v>5937618</v>
          </cell>
          <cell r="AL122">
            <v>7167779</v>
          </cell>
          <cell r="AM122">
            <v>8271989</v>
          </cell>
          <cell r="AN122">
            <v>9346804.629999999</v>
          </cell>
        </row>
        <row r="123">
          <cell r="G123">
            <v>5024</v>
          </cell>
          <cell r="H123" t="str">
            <v>Empl_Benefits</v>
          </cell>
          <cell r="I123">
            <v>183120</v>
          </cell>
          <cell r="J123">
            <v>193675</v>
          </cell>
          <cell r="K123">
            <v>197914</v>
          </cell>
          <cell r="L123">
            <v>197032</v>
          </cell>
          <cell r="M123">
            <v>262854</v>
          </cell>
          <cell r="N123">
            <v>199052</v>
          </cell>
          <cell r="O123">
            <v>196600</v>
          </cell>
          <cell r="P123">
            <v>195898</v>
          </cell>
          <cell r="Q123">
            <v>193533</v>
          </cell>
          <cell r="R123">
            <v>194466</v>
          </cell>
          <cell r="S123">
            <v>272029</v>
          </cell>
          <cell r="T123">
            <v>191716</v>
          </cell>
          <cell r="U123">
            <v>208573</v>
          </cell>
          <cell r="V123">
            <v>216135</v>
          </cell>
          <cell r="W123">
            <v>230013</v>
          </cell>
          <cell r="X123">
            <v>313339</v>
          </cell>
          <cell r="Y123">
            <v>225323</v>
          </cell>
          <cell r="Z123">
            <v>222710</v>
          </cell>
          <cell r="AA123">
            <v>221339</v>
          </cell>
          <cell r="AB123">
            <v>219119.5</v>
          </cell>
          <cell r="AC123">
            <v>215284</v>
          </cell>
          <cell r="AD123">
            <v>217734</v>
          </cell>
          <cell r="AE123">
            <v>303157</v>
          </cell>
          <cell r="AF123">
            <v>229623</v>
          </cell>
          <cell r="AG123">
            <v>230372</v>
          </cell>
          <cell r="AH123">
            <v>223754</v>
          </cell>
          <cell r="AI123">
            <v>242895</v>
          </cell>
          <cell r="AJ123">
            <v>328061</v>
          </cell>
          <cell r="AK123">
            <v>243130</v>
          </cell>
          <cell r="AL123">
            <v>245935</v>
          </cell>
          <cell r="AM123">
            <v>233471</v>
          </cell>
          <cell r="AN123">
            <v>236361.20000000004</v>
          </cell>
        </row>
        <row r="124">
          <cell r="G124">
            <v>5025</v>
          </cell>
          <cell r="H124" t="str">
            <v>Total Personnel</v>
          </cell>
          <cell r="I124">
            <v>637696</v>
          </cell>
          <cell r="J124">
            <v>692841</v>
          </cell>
          <cell r="K124">
            <v>705922</v>
          </cell>
          <cell r="L124">
            <v>682785</v>
          </cell>
          <cell r="M124">
            <v>898378</v>
          </cell>
          <cell r="N124">
            <v>688759</v>
          </cell>
          <cell r="O124">
            <v>716257</v>
          </cell>
          <cell r="P124">
            <v>686110</v>
          </cell>
          <cell r="Q124">
            <v>673626</v>
          </cell>
          <cell r="R124">
            <v>674672</v>
          </cell>
          <cell r="S124">
            <v>942604</v>
          </cell>
          <cell r="T124">
            <v>663036</v>
          </cell>
          <cell r="U124">
            <v>718309</v>
          </cell>
          <cell r="V124">
            <v>746655</v>
          </cell>
          <cell r="W124">
            <v>792029</v>
          </cell>
          <cell r="X124">
            <v>1053301</v>
          </cell>
          <cell r="Y124">
            <v>775323</v>
          </cell>
          <cell r="Z124">
            <v>781675</v>
          </cell>
          <cell r="AA124">
            <v>772544</v>
          </cell>
          <cell r="AB124">
            <v>526496.87</v>
          </cell>
          <cell r="AC124">
            <v>731405</v>
          </cell>
          <cell r="AD124">
            <v>737132</v>
          </cell>
          <cell r="AE124">
            <v>1023415</v>
          </cell>
          <cell r="AF124">
            <v>776190</v>
          </cell>
          <cell r="AG124">
            <v>787887</v>
          </cell>
          <cell r="AH124">
            <v>774491</v>
          </cell>
          <cell r="AI124">
            <v>814275</v>
          </cell>
          <cell r="AJ124">
            <v>1080529</v>
          </cell>
          <cell r="AK124">
            <v>808320</v>
          </cell>
          <cell r="AL124">
            <v>821647</v>
          </cell>
          <cell r="AM124">
            <v>773234</v>
          </cell>
          <cell r="AN124">
            <v>788445.85000000009</v>
          </cell>
        </row>
        <row r="125">
          <cell r="G125">
            <v>5026</v>
          </cell>
          <cell r="H125" t="str">
            <v>Target Empl_Benefits</v>
          </cell>
          <cell r="I125">
            <v>206369</v>
          </cell>
          <cell r="J125">
            <v>204927</v>
          </cell>
          <cell r="K125">
            <v>208581</v>
          </cell>
          <cell r="L125">
            <v>208636</v>
          </cell>
          <cell r="M125">
            <v>278536</v>
          </cell>
          <cell r="N125">
            <v>209415</v>
          </cell>
          <cell r="O125">
            <v>209820</v>
          </cell>
          <cell r="P125">
            <v>209492</v>
          </cell>
          <cell r="Q125">
            <v>209297</v>
          </cell>
          <cell r="R125">
            <v>209615</v>
          </cell>
          <cell r="S125">
            <v>278391</v>
          </cell>
          <cell r="T125">
            <v>209043</v>
          </cell>
          <cell r="U125">
            <v>218639</v>
          </cell>
          <cell r="V125">
            <v>328183</v>
          </cell>
          <cell r="W125">
            <v>220665</v>
          </cell>
          <cell r="X125">
            <v>304081</v>
          </cell>
          <cell r="Y125">
            <v>230680</v>
          </cell>
          <cell r="Z125">
            <v>229184</v>
          </cell>
          <cell r="AA125">
            <v>228514</v>
          </cell>
          <cell r="AB125">
            <v>228783</v>
          </cell>
          <cell r="AC125">
            <v>228749</v>
          </cell>
          <cell r="AD125">
            <v>228543</v>
          </cell>
          <cell r="AE125">
            <v>303883</v>
          </cell>
          <cell r="AF125">
            <v>231266</v>
          </cell>
          <cell r="AG125">
            <v>207337</v>
          </cell>
          <cell r="AH125">
            <v>207188</v>
          </cell>
          <cell r="AI125">
            <v>228434</v>
          </cell>
          <cell r="AJ125">
            <v>310438</v>
          </cell>
          <cell r="AK125">
            <v>227666</v>
          </cell>
          <cell r="AL125">
            <v>227583</v>
          </cell>
          <cell r="AM125">
            <v>227197</v>
          </cell>
          <cell r="AN125">
            <v>227932.91999999998</v>
          </cell>
        </row>
        <row r="126">
          <cell r="G126">
            <v>5027</v>
          </cell>
          <cell r="H126" t="str">
            <v>Target Total Personnel</v>
          </cell>
          <cell r="I126">
            <v>705799</v>
          </cell>
          <cell r="J126">
            <v>704851</v>
          </cell>
          <cell r="K126">
            <v>716545</v>
          </cell>
          <cell r="L126">
            <v>716111</v>
          </cell>
          <cell r="M126">
            <v>941881</v>
          </cell>
          <cell r="N126">
            <v>718484</v>
          </cell>
          <cell r="O126">
            <v>720968</v>
          </cell>
          <cell r="P126">
            <v>718493</v>
          </cell>
          <cell r="Q126">
            <v>719075</v>
          </cell>
          <cell r="R126">
            <v>717874</v>
          </cell>
          <cell r="S126">
            <v>939455</v>
          </cell>
          <cell r="T126">
            <v>716150</v>
          </cell>
          <cell r="U126">
            <v>753698</v>
          </cell>
          <cell r="V126">
            <v>859534</v>
          </cell>
          <cell r="W126">
            <v>756038</v>
          </cell>
          <cell r="X126">
            <v>1018951</v>
          </cell>
          <cell r="Y126">
            <v>795553</v>
          </cell>
          <cell r="Z126">
            <v>786413</v>
          </cell>
          <cell r="AA126">
            <v>783765</v>
          </cell>
          <cell r="AB126">
            <v>782551</v>
          </cell>
          <cell r="AC126">
            <v>782174</v>
          </cell>
          <cell r="AD126">
            <v>777957</v>
          </cell>
          <cell r="AE126">
            <v>1014799</v>
          </cell>
          <cell r="AF126">
            <v>795309</v>
          </cell>
          <cell r="AG126">
            <v>712817</v>
          </cell>
          <cell r="AH126">
            <v>706779</v>
          </cell>
          <cell r="AI126">
            <v>756011</v>
          </cell>
          <cell r="AJ126">
            <v>1003530</v>
          </cell>
          <cell r="AK126">
            <v>748344</v>
          </cell>
          <cell r="AL126">
            <v>747756</v>
          </cell>
          <cell r="AM126">
            <v>745031</v>
          </cell>
          <cell r="AN126">
            <v>750243.79</v>
          </cell>
        </row>
        <row r="127">
          <cell r="G127">
            <v>5028</v>
          </cell>
          <cell r="H127" t="str">
            <v>YTD Empl_Benefits</v>
          </cell>
          <cell r="I127">
            <v>183120</v>
          </cell>
          <cell r="J127">
            <v>376795</v>
          </cell>
          <cell r="K127">
            <v>574708</v>
          </cell>
          <cell r="L127">
            <v>771740</v>
          </cell>
          <cell r="M127">
            <v>1034594</v>
          </cell>
          <cell r="N127">
            <v>1233646</v>
          </cell>
          <cell r="O127">
            <v>1430246</v>
          </cell>
          <cell r="P127">
            <v>1626144</v>
          </cell>
          <cell r="Q127">
            <v>1819677</v>
          </cell>
          <cell r="R127">
            <v>2014143</v>
          </cell>
          <cell r="S127">
            <v>2286173</v>
          </cell>
          <cell r="T127">
            <v>2477894</v>
          </cell>
          <cell r="U127">
            <v>208573</v>
          </cell>
          <cell r="V127">
            <v>424708</v>
          </cell>
          <cell r="W127">
            <v>654721</v>
          </cell>
          <cell r="X127">
            <v>968059</v>
          </cell>
          <cell r="Y127">
            <v>1193382</v>
          </cell>
          <cell r="Z127">
            <v>1416092</v>
          </cell>
          <cell r="AA127">
            <v>1637431</v>
          </cell>
          <cell r="AB127">
            <v>1856550.88</v>
          </cell>
          <cell r="AC127">
            <v>2071835</v>
          </cell>
          <cell r="AD127">
            <v>2289570</v>
          </cell>
          <cell r="AE127">
            <v>2592727</v>
          </cell>
          <cell r="AF127">
            <v>2822350</v>
          </cell>
          <cell r="AG127">
            <v>230372</v>
          </cell>
          <cell r="AH127">
            <v>454126</v>
          </cell>
          <cell r="AI127">
            <v>697021</v>
          </cell>
          <cell r="AJ127">
            <v>1025082</v>
          </cell>
          <cell r="AK127">
            <v>1268211</v>
          </cell>
          <cell r="AL127">
            <v>1514146</v>
          </cell>
          <cell r="AM127">
            <v>1747618</v>
          </cell>
          <cell r="AN127">
            <v>1983979.1500000006</v>
          </cell>
        </row>
        <row r="128">
          <cell r="G128">
            <v>5029</v>
          </cell>
          <cell r="H128" t="str">
            <v>YTD Total Personnel</v>
          </cell>
          <cell r="I128">
            <v>637696</v>
          </cell>
          <cell r="J128">
            <v>1330537</v>
          </cell>
          <cell r="K128">
            <v>2036459</v>
          </cell>
          <cell r="L128">
            <v>2719244</v>
          </cell>
          <cell r="M128">
            <v>3617622</v>
          </cell>
          <cell r="N128">
            <v>4306382</v>
          </cell>
          <cell r="O128">
            <v>5022638</v>
          </cell>
          <cell r="P128">
            <v>5708749</v>
          </cell>
          <cell r="Q128">
            <v>6382375</v>
          </cell>
          <cell r="R128">
            <v>7057047</v>
          </cell>
          <cell r="S128">
            <v>7999651</v>
          </cell>
          <cell r="T128">
            <v>8662692</v>
          </cell>
          <cell r="U128">
            <v>718309</v>
          </cell>
          <cell r="V128">
            <v>1464965</v>
          </cell>
          <cell r="W128">
            <v>2256994</v>
          </cell>
          <cell r="X128">
            <v>3310294</v>
          </cell>
          <cell r="Y128">
            <v>4085617</v>
          </cell>
          <cell r="Z128">
            <v>4867292</v>
          </cell>
          <cell r="AA128">
            <v>5639836</v>
          </cell>
          <cell r="AB128">
            <v>4528901.42</v>
          </cell>
          <cell r="AC128">
            <v>7116857</v>
          </cell>
          <cell r="AD128">
            <v>7853989</v>
          </cell>
          <cell r="AE128">
            <v>8877405</v>
          </cell>
          <cell r="AF128">
            <v>9653595</v>
          </cell>
          <cell r="AG128">
            <v>787887</v>
          </cell>
          <cell r="AH128">
            <v>1562378</v>
          </cell>
          <cell r="AI128">
            <v>2376653</v>
          </cell>
          <cell r="AJ128">
            <v>3457182</v>
          </cell>
          <cell r="AK128">
            <v>4265502</v>
          </cell>
          <cell r="AL128">
            <v>5087149</v>
          </cell>
          <cell r="AM128">
            <v>5860383</v>
          </cell>
          <cell r="AN128">
            <v>6648828.7299999995</v>
          </cell>
        </row>
        <row r="129">
          <cell r="G129">
            <v>5030</v>
          </cell>
          <cell r="H129" t="str">
            <v>YTD Target Empl_Benefits</v>
          </cell>
          <cell r="I129">
            <v>206369</v>
          </cell>
          <cell r="J129">
            <v>410263</v>
          </cell>
          <cell r="K129">
            <v>618943</v>
          </cell>
          <cell r="L129">
            <v>827636</v>
          </cell>
          <cell r="M129">
            <v>1106172</v>
          </cell>
          <cell r="N129">
            <v>1315587</v>
          </cell>
          <cell r="O129">
            <v>1525407</v>
          </cell>
          <cell r="P129">
            <v>1734898</v>
          </cell>
          <cell r="Q129">
            <v>1944195</v>
          </cell>
          <cell r="R129">
            <v>2153810</v>
          </cell>
          <cell r="S129">
            <v>2432201</v>
          </cell>
          <cell r="T129">
            <v>2641244</v>
          </cell>
          <cell r="U129">
            <v>218639</v>
          </cell>
          <cell r="V129">
            <v>644427</v>
          </cell>
          <cell r="W129">
            <v>645621</v>
          </cell>
          <cell r="X129">
            <v>949702</v>
          </cell>
          <cell r="Y129">
            <v>1180382</v>
          </cell>
          <cell r="Z129">
            <v>1409566</v>
          </cell>
          <cell r="AA129">
            <v>1638080</v>
          </cell>
          <cell r="AB129">
            <v>1866863</v>
          </cell>
          <cell r="AC129">
            <v>2095612</v>
          </cell>
          <cell r="AD129">
            <v>2324155</v>
          </cell>
          <cell r="AE129">
            <v>2628038</v>
          </cell>
          <cell r="AF129">
            <v>2859304</v>
          </cell>
          <cell r="AG129">
            <v>207337</v>
          </cell>
          <cell r="AH129">
            <v>414525</v>
          </cell>
          <cell r="AI129">
            <v>642959</v>
          </cell>
          <cell r="AJ129">
            <v>953397</v>
          </cell>
          <cell r="AK129">
            <v>1181063</v>
          </cell>
          <cell r="AL129">
            <v>1408646</v>
          </cell>
          <cell r="AM129">
            <v>1635843</v>
          </cell>
          <cell r="AN129">
            <v>1863776.1099999999</v>
          </cell>
        </row>
        <row r="130">
          <cell r="G130">
            <v>5031</v>
          </cell>
          <cell r="H130" t="str">
            <v>YTD Target Total Personnel</v>
          </cell>
          <cell r="I130">
            <v>705799</v>
          </cell>
          <cell r="J130">
            <v>1409320</v>
          </cell>
          <cell r="K130">
            <v>2130180</v>
          </cell>
          <cell r="L130">
            <v>2846193</v>
          </cell>
          <cell r="M130">
            <v>3788074</v>
          </cell>
          <cell r="N130">
            <v>4506558</v>
          </cell>
          <cell r="O130">
            <v>5227526</v>
          </cell>
          <cell r="P130">
            <v>59496017</v>
          </cell>
          <cell r="Q130">
            <v>6665093</v>
          </cell>
          <cell r="R130">
            <v>7382967</v>
          </cell>
          <cell r="S130">
            <v>8322422</v>
          </cell>
          <cell r="T130">
            <v>9038572</v>
          </cell>
          <cell r="U130">
            <v>753698</v>
          </cell>
          <cell r="V130">
            <v>1690153</v>
          </cell>
          <cell r="W130">
            <v>2233316</v>
          </cell>
          <cell r="X130">
            <v>3252266</v>
          </cell>
          <cell r="Y130">
            <v>4047819</v>
          </cell>
          <cell r="Z130">
            <v>4850176</v>
          </cell>
          <cell r="AA130">
            <v>5633941</v>
          </cell>
          <cell r="AB130">
            <v>6416491</v>
          </cell>
          <cell r="AC130">
            <v>7198666</v>
          </cell>
          <cell r="AD130">
            <v>7976623</v>
          </cell>
          <cell r="AE130">
            <v>8991422</v>
          </cell>
          <cell r="AF130">
            <v>9786731</v>
          </cell>
          <cell r="AG130">
            <v>712817</v>
          </cell>
          <cell r="AH130">
            <v>1419596</v>
          </cell>
          <cell r="AI130">
            <v>2175607</v>
          </cell>
          <cell r="AJ130">
            <v>3179137</v>
          </cell>
          <cell r="AK130">
            <v>3927482</v>
          </cell>
          <cell r="AL130">
            <v>4675238</v>
          </cell>
          <cell r="AM130">
            <v>5420268</v>
          </cell>
          <cell r="AN130">
            <v>6170512.1199999992</v>
          </cell>
        </row>
        <row r="131">
          <cell r="G131">
            <v>5032</v>
          </cell>
          <cell r="H131" t="str">
            <v>Actual</v>
          </cell>
          <cell r="O131">
            <v>6479</v>
          </cell>
          <cell r="P131">
            <v>15743</v>
          </cell>
          <cell r="Q131">
            <v>5682</v>
          </cell>
          <cell r="U131">
            <v>4184</v>
          </cell>
          <cell r="V131">
            <v>5189</v>
          </cell>
          <cell r="W131">
            <v>16546</v>
          </cell>
          <cell r="X131">
            <v>16036</v>
          </cell>
          <cell r="Y131">
            <v>8488</v>
          </cell>
          <cell r="Z131">
            <v>13353</v>
          </cell>
          <cell r="AA131">
            <v>12143</v>
          </cell>
          <cell r="AB131">
            <v>9841.41</v>
          </cell>
          <cell r="AC131">
            <v>9076</v>
          </cell>
          <cell r="AD131">
            <v>5879</v>
          </cell>
          <cell r="AE131">
            <v>16109</v>
          </cell>
          <cell r="AF131">
            <v>4519</v>
          </cell>
          <cell r="AG131">
            <v>5311</v>
          </cell>
          <cell r="AH131">
            <v>4596</v>
          </cell>
          <cell r="AI131">
            <v>16312</v>
          </cell>
          <cell r="AJ131">
            <v>13724</v>
          </cell>
          <cell r="AK131">
            <v>10329</v>
          </cell>
          <cell r="AL131">
            <v>11563</v>
          </cell>
          <cell r="AM131">
            <v>9821</v>
          </cell>
          <cell r="AN131">
            <v>14322.66</v>
          </cell>
        </row>
        <row r="132">
          <cell r="G132">
            <v>5033</v>
          </cell>
          <cell r="H132" t="str">
            <v>Target (Budget)</v>
          </cell>
          <cell r="O132">
            <v>10248</v>
          </cell>
          <cell r="P132">
            <v>8101</v>
          </cell>
          <cell r="Q132">
            <v>8802</v>
          </cell>
          <cell r="U132">
            <v>3144</v>
          </cell>
          <cell r="V132">
            <v>11184</v>
          </cell>
          <cell r="W132">
            <v>13987</v>
          </cell>
          <cell r="X132">
            <v>9823</v>
          </cell>
          <cell r="Y132">
            <v>17386</v>
          </cell>
          <cell r="Z132">
            <v>8212</v>
          </cell>
          <cell r="AA132">
            <v>3935</v>
          </cell>
          <cell r="AB132">
            <v>5750</v>
          </cell>
          <cell r="AC132">
            <v>5550</v>
          </cell>
          <cell r="AD132">
            <v>4300</v>
          </cell>
          <cell r="AE132">
            <v>3900</v>
          </cell>
          <cell r="AF132">
            <v>15111</v>
          </cell>
          <cell r="AG132">
            <v>9521</v>
          </cell>
          <cell r="AH132">
            <v>10097</v>
          </cell>
          <cell r="AI132">
            <v>12916</v>
          </cell>
          <cell r="AJ132">
            <v>14177</v>
          </cell>
          <cell r="AK132">
            <v>12417</v>
          </cell>
          <cell r="AL132">
            <v>11912</v>
          </cell>
          <cell r="AM132">
            <v>9572</v>
          </cell>
          <cell r="AN132">
            <v>14049.85</v>
          </cell>
        </row>
        <row r="133">
          <cell r="G133">
            <v>5036</v>
          </cell>
          <cell r="H133" t="str">
            <v>YTD Actual</v>
          </cell>
          <cell r="O133">
            <v>60102</v>
          </cell>
          <cell r="P133">
            <v>75845</v>
          </cell>
          <cell r="Q133">
            <v>81527</v>
          </cell>
          <cell r="U133">
            <v>4184</v>
          </cell>
          <cell r="V133">
            <v>9373</v>
          </cell>
          <cell r="W133">
            <v>25919</v>
          </cell>
          <cell r="X133">
            <v>41955</v>
          </cell>
          <cell r="Y133">
            <v>50443</v>
          </cell>
          <cell r="Z133">
            <v>63797</v>
          </cell>
          <cell r="AA133">
            <v>75939</v>
          </cell>
          <cell r="AB133">
            <v>85780.85</v>
          </cell>
          <cell r="AC133">
            <v>94857</v>
          </cell>
          <cell r="AD133">
            <v>100736</v>
          </cell>
          <cell r="AE133">
            <v>116845</v>
          </cell>
          <cell r="AF133">
            <v>121364</v>
          </cell>
          <cell r="AG133">
            <v>5311</v>
          </cell>
          <cell r="AH133">
            <v>9907</v>
          </cell>
          <cell r="AI133">
            <v>26219</v>
          </cell>
          <cell r="AJ133">
            <v>39943</v>
          </cell>
          <cell r="AK133">
            <v>50272</v>
          </cell>
          <cell r="AL133">
            <v>61835</v>
          </cell>
          <cell r="AM133">
            <v>71656</v>
          </cell>
          <cell r="AN133">
            <v>85978.540000000008</v>
          </cell>
        </row>
        <row r="134">
          <cell r="G134">
            <v>5037</v>
          </cell>
          <cell r="H134" t="str">
            <v>YTD Target (Budget)</v>
          </cell>
          <cell r="O134">
            <v>54882</v>
          </cell>
          <cell r="P134">
            <v>62983</v>
          </cell>
          <cell r="Q134">
            <v>71785</v>
          </cell>
          <cell r="U134">
            <v>3144</v>
          </cell>
          <cell r="V134">
            <v>14328</v>
          </cell>
          <cell r="W134">
            <v>28315</v>
          </cell>
          <cell r="X134">
            <v>38137</v>
          </cell>
          <cell r="Y134">
            <v>55523</v>
          </cell>
          <cell r="Z134">
            <v>63735</v>
          </cell>
          <cell r="AA134">
            <v>67670</v>
          </cell>
          <cell r="AB134">
            <v>73420</v>
          </cell>
          <cell r="AC134">
            <v>78970</v>
          </cell>
          <cell r="AD134">
            <v>83270</v>
          </cell>
          <cell r="AE134">
            <v>87170</v>
          </cell>
          <cell r="AF134">
            <v>102281</v>
          </cell>
          <cell r="AG134">
            <v>9521</v>
          </cell>
          <cell r="AH134">
            <v>19619</v>
          </cell>
          <cell r="AI134">
            <v>32535</v>
          </cell>
          <cell r="AJ134">
            <v>46712</v>
          </cell>
          <cell r="AK134">
            <v>59129</v>
          </cell>
          <cell r="AL134">
            <v>71041</v>
          </cell>
          <cell r="AM134">
            <v>80613</v>
          </cell>
          <cell r="AN134">
            <v>94663.34</v>
          </cell>
        </row>
        <row r="135">
          <cell r="G135">
            <v>5044</v>
          </cell>
          <cell r="H135" t="str">
            <v>Actual</v>
          </cell>
          <cell r="I135">
            <v>-281153</v>
          </cell>
          <cell r="J135">
            <v>638507</v>
          </cell>
          <cell r="K135">
            <v>3538969</v>
          </cell>
          <cell r="L135">
            <v>-1054054</v>
          </cell>
          <cell r="M135">
            <v>-870376</v>
          </cell>
          <cell r="N135">
            <v>-970421</v>
          </cell>
          <cell r="O135">
            <v>-1019052</v>
          </cell>
          <cell r="P135">
            <v>3427588</v>
          </cell>
          <cell r="Q135">
            <v>6921704</v>
          </cell>
          <cell r="R135">
            <v>-1019603</v>
          </cell>
          <cell r="S135">
            <v>-1123500</v>
          </cell>
          <cell r="T135">
            <v>-949325</v>
          </cell>
          <cell r="U135">
            <v>5532905</v>
          </cell>
          <cell r="V135">
            <v>8282322</v>
          </cell>
          <cell r="W135">
            <v>-1241866</v>
          </cell>
          <cell r="X135">
            <v>-1329573</v>
          </cell>
          <cell r="Y135">
            <v>-1224197</v>
          </cell>
          <cell r="Z135">
            <v>3734002</v>
          </cell>
          <cell r="AA135">
            <v>-1149284</v>
          </cell>
          <cell r="AB135">
            <v>-1113061.8600000001</v>
          </cell>
          <cell r="AC135">
            <v>-1014928</v>
          </cell>
          <cell r="AD135">
            <v>-1262492</v>
          </cell>
          <cell r="AE135">
            <v>-1293239</v>
          </cell>
          <cell r="AF135">
            <v>-82076</v>
          </cell>
          <cell r="AG135">
            <v>244724</v>
          </cell>
          <cell r="AH135">
            <v>8448716</v>
          </cell>
          <cell r="AI135">
            <v>-1382543</v>
          </cell>
          <cell r="AJ135">
            <v>-1697444</v>
          </cell>
          <cell r="AK135">
            <v>-1031401</v>
          </cell>
          <cell r="AL135">
            <v>3256757</v>
          </cell>
          <cell r="AM135">
            <v>-1237217</v>
          </cell>
          <cell r="AN135">
            <v>-879978.58000000031</v>
          </cell>
        </row>
        <row r="136">
          <cell r="G136">
            <v>5045</v>
          </cell>
          <cell r="H136" t="str">
            <v>Target (Budget)</v>
          </cell>
          <cell r="I136">
            <v>-321238</v>
          </cell>
          <cell r="J136">
            <v>880153</v>
          </cell>
          <cell r="K136">
            <v>3659983</v>
          </cell>
          <cell r="L136">
            <v>-1049180</v>
          </cell>
          <cell r="M136">
            <v>-1584173</v>
          </cell>
          <cell r="N136">
            <v>-1082840</v>
          </cell>
          <cell r="O136">
            <v>-1502969</v>
          </cell>
          <cell r="P136">
            <v>2959071</v>
          </cell>
          <cell r="Q136">
            <v>6798676</v>
          </cell>
          <cell r="R136">
            <v>-1134282</v>
          </cell>
          <cell r="S136">
            <v>-1237753</v>
          </cell>
          <cell r="T136">
            <v>-1042309</v>
          </cell>
          <cell r="U136">
            <v>5449725</v>
          </cell>
          <cell r="V136">
            <v>8081327</v>
          </cell>
          <cell r="W136">
            <v>-1180475</v>
          </cell>
          <cell r="X136">
            <v>-1747574</v>
          </cell>
          <cell r="Y136">
            <v>-1183551</v>
          </cell>
          <cell r="Z136">
            <v>3357612</v>
          </cell>
          <cell r="AA136">
            <v>-1257933</v>
          </cell>
          <cell r="AB136">
            <v>-1426206</v>
          </cell>
          <cell r="AC136">
            <v>-1320338</v>
          </cell>
          <cell r="AD136">
            <v>-1424994</v>
          </cell>
          <cell r="AE136">
            <v>-1672219</v>
          </cell>
          <cell r="AF136">
            <v>-503382</v>
          </cell>
          <cell r="AG136">
            <v>-123956</v>
          </cell>
          <cell r="AH136">
            <v>8855915</v>
          </cell>
          <cell r="AI136">
            <v>-1382745</v>
          </cell>
          <cell r="AJ136">
            <v>-1341967</v>
          </cell>
          <cell r="AK136">
            <v>-1084202</v>
          </cell>
          <cell r="AL136">
            <v>3254839</v>
          </cell>
          <cell r="AM136">
            <v>-1104209</v>
          </cell>
          <cell r="AN136">
            <v>-832636.53000000026</v>
          </cell>
        </row>
        <row r="137">
          <cell r="G137">
            <v>5048</v>
          </cell>
          <cell r="H137" t="str">
            <v>YTD Actual</v>
          </cell>
          <cell r="I137">
            <v>-281153</v>
          </cell>
          <cell r="J137">
            <v>357424</v>
          </cell>
          <cell r="K137">
            <v>3896393</v>
          </cell>
          <cell r="L137">
            <v>2842339</v>
          </cell>
          <cell r="M137">
            <v>1971964</v>
          </cell>
          <cell r="N137">
            <v>1001543</v>
          </cell>
          <cell r="O137">
            <v>-17509</v>
          </cell>
          <cell r="P137">
            <v>3410079</v>
          </cell>
          <cell r="Q137">
            <v>10331783</v>
          </cell>
          <cell r="R137">
            <v>9312180</v>
          </cell>
          <cell r="S137">
            <v>8188679</v>
          </cell>
          <cell r="T137">
            <v>7239349</v>
          </cell>
          <cell r="U137">
            <v>5532905</v>
          </cell>
          <cell r="V137">
            <v>13815227</v>
          </cell>
          <cell r="W137">
            <v>12573371</v>
          </cell>
          <cell r="X137">
            <v>11243798</v>
          </cell>
          <cell r="Y137">
            <v>10019597</v>
          </cell>
          <cell r="Z137">
            <v>13753203</v>
          </cell>
          <cell r="AA137">
            <v>12603919</v>
          </cell>
          <cell r="AB137">
            <v>11490862.52</v>
          </cell>
          <cell r="AC137">
            <v>10475935</v>
          </cell>
          <cell r="AD137">
            <v>9213442</v>
          </cell>
          <cell r="AE137">
            <v>7920204</v>
          </cell>
          <cell r="AF137">
            <v>7838127</v>
          </cell>
          <cell r="AG137">
            <v>244724</v>
          </cell>
          <cell r="AH137">
            <v>8693440</v>
          </cell>
          <cell r="AI137">
            <v>7310897</v>
          </cell>
          <cell r="AJ137">
            <v>5613453</v>
          </cell>
          <cell r="AK137">
            <v>4582052</v>
          </cell>
          <cell r="AL137">
            <v>7838808</v>
          </cell>
          <cell r="AM137">
            <v>6601591</v>
          </cell>
          <cell r="AN137">
            <v>5721612.8399999999</v>
          </cell>
        </row>
        <row r="138">
          <cell r="G138">
            <v>5049</v>
          </cell>
          <cell r="H138" t="str">
            <v>YTD Target (Budget)</v>
          </cell>
          <cell r="I138">
            <v>-321238</v>
          </cell>
          <cell r="J138">
            <v>561161</v>
          </cell>
          <cell r="K138">
            <v>4216828</v>
          </cell>
          <cell r="L138">
            <v>3409885</v>
          </cell>
          <cell r="M138">
            <v>1825712</v>
          </cell>
          <cell r="N138">
            <v>742872</v>
          </cell>
          <cell r="O138">
            <v>-760098</v>
          </cell>
          <cell r="P138">
            <v>2198973</v>
          </cell>
          <cell r="Q138">
            <v>8997649</v>
          </cell>
          <cell r="R138">
            <v>7863367</v>
          </cell>
          <cell r="S138">
            <v>6625614</v>
          </cell>
          <cell r="T138">
            <v>5583306</v>
          </cell>
          <cell r="U138">
            <v>5449725</v>
          </cell>
          <cell r="V138">
            <v>13454132</v>
          </cell>
          <cell r="W138">
            <v>12486532</v>
          </cell>
          <cell r="X138">
            <v>10738958</v>
          </cell>
          <cell r="Y138">
            <v>9555402</v>
          </cell>
          <cell r="Z138">
            <v>12658854</v>
          </cell>
          <cell r="AA138">
            <v>11400921</v>
          </cell>
          <cell r="AB138">
            <v>9974715</v>
          </cell>
          <cell r="AC138">
            <v>8654377</v>
          </cell>
          <cell r="AD138">
            <v>7229383</v>
          </cell>
          <cell r="AE138">
            <v>5557164</v>
          </cell>
          <cell r="AF138">
            <v>5053782</v>
          </cell>
          <cell r="AG138">
            <v>-123956</v>
          </cell>
          <cell r="AH138">
            <v>8655834</v>
          </cell>
          <cell r="AI138">
            <v>7338589</v>
          </cell>
          <cell r="AJ138">
            <v>6035567</v>
          </cell>
          <cell r="AK138">
            <v>4926375</v>
          </cell>
          <cell r="AL138">
            <v>8181213</v>
          </cell>
          <cell r="AM138">
            <v>7077004</v>
          </cell>
          <cell r="AN138">
            <v>6244367.5500000007</v>
          </cell>
        </row>
        <row r="139">
          <cell r="G139">
            <v>5056</v>
          </cell>
          <cell r="H139" t="str">
            <v>Actual</v>
          </cell>
          <cell r="I139">
            <v>-392825</v>
          </cell>
          <cell r="J139">
            <v>653589</v>
          </cell>
          <cell r="K139">
            <v>3249996</v>
          </cell>
          <cell r="L139">
            <v>-949785</v>
          </cell>
          <cell r="M139">
            <v>-957956</v>
          </cell>
          <cell r="N139">
            <v>-928375</v>
          </cell>
          <cell r="O139">
            <v>-941980</v>
          </cell>
          <cell r="P139">
            <v>3295646</v>
          </cell>
          <cell r="Q139">
            <v>6917536</v>
          </cell>
          <cell r="R139">
            <v>-1088023</v>
          </cell>
          <cell r="S139">
            <v>-1392005</v>
          </cell>
          <cell r="T139">
            <v>-908015</v>
          </cell>
          <cell r="U139">
            <v>5572408</v>
          </cell>
          <cell r="V139">
            <v>8286301</v>
          </cell>
          <cell r="W139">
            <v>-1371745</v>
          </cell>
          <cell r="X139">
            <v>-2252784</v>
          </cell>
          <cell r="Y139">
            <v>-1152302</v>
          </cell>
          <cell r="Z139">
            <v>1299037</v>
          </cell>
          <cell r="AA139">
            <v>-845445</v>
          </cell>
          <cell r="AB139">
            <v>-1090880.5900000001</v>
          </cell>
          <cell r="AC139">
            <v>-1113224</v>
          </cell>
          <cell r="AD139">
            <v>-1852431</v>
          </cell>
          <cell r="AE139">
            <v>1928797</v>
          </cell>
          <cell r="AF139">
            <v>-2615318</v>
          </cell>
          <cell r="AG139">
            <v>355295</v>
          </cell>
          <cell r="AH139">
            <v>8569899</v>
          </cell>
          <cell r="AI139">
            <v>-1253990</v>
          </cell>
          <cell r="AJ139">
            <v>-1600623</v>
          </cell>
          <cell r="AK139">
            <v>-924531</v>
          </cell>
          <cell r="AL139">
            <v>3143921</v>
          </cell>
          <cell r="AM139">
            <v>-1392862</v>
          </cell>
          <cell r="AN139">
            <v>-687355.84000000032</v>
          </cell>
        </row>
        <row r="140">
          <cell r="G140">
            <v>5057</v>
          </cell>
          <cell r="H140" t="str">
            <v>Target (Budget)</v>
          </cell>
          <cell r="I140">
            <v>-277613</v>
          </cell>
          <cell r="J140">
            <v>950028</v>
          </cell>
          <cell r="K140">
            <v>2801929</v>
          </cell>
          <cell r="L140">
            <v>-966929</v>
          </cell>
          <cell r="M140">
            <v>-1497922</v>
          </cell>
          <cell r="N140">
            <v>-1901794</v>
          </cell>
          <cell r="O140">
            <v>-1516718</v>
          </cell>
          <cell r="P140">
            <v>3040322</v>
          </cell>
          <cell r="Q140">
            <v>5978622</v>
          </cell>
          <cell r="R140">
            <v>-1050331</v>
          </cell>
          <cell r="S140">
            <v>-1155502</v>
          </cell>
          <cell r="T140">
            <v>-1864661</v>
          </cell>
          <cell r="U140">
            <v>5364892</v>
          </cell>
          <cell r="V140">
            <v>7984826</v>
          </cell>
          <cell r="W140">
            <v>-1276528</v>
          </cell>
          <cell r="X140">
            <v>-1634626</v>
          </cell>
          <cell r="Y140">
            <v>-1284604</v>
          </cell>
          <cell r="Z140">
            <v>964660</v>
          </cell>
          <cell r="AA140">
            <v>-1360089</v>
          </cell>
          <cell r="AB140">
            <v>-1532509</v>
          </cell>
          <cell r="AC140">
            <v>-1360641</v>
          </cell>
          <cell r="AD140">
            <v>-1528296</v>
          </cell>
          <cell r="AE140">
            <v>1778918</v>
          </cell>
          <cell r="AF140">
            <v>-648916</v>
          </cell>
          <cell r="AG140">
            <v>-40379</v>
          </cell>
          <cell r="AH140">
            <v>8937792</v>
          </cell>
          <cell r="AI140">
            <v>-1289968</v>
          </cell>
          <cell r="AJ140">
            <v>-1244990</v>
          </cell>
          <cell r="AK140">
            <v>-1013725</v>
          </cell>
          <cell r="AL140">
            <v>2823916</v>
          </cell>
          <cell r="AM140">
            <v>-1031832</v>
          </cell>
          <cell r="AN140">
            <v>-764759.36000000022</v>
          </cell>
        </row>
        <row r="141">
          <cell r="G141">
            <v>5060</v>
          </cell>
          <cell r="H141" t="str">
            <v>YTD Actual</v>
          </cell>
          <cell r="I141">
            <v>-392825</v>
          </cell>
          <cell r="J141">
            <v>260765</v>
          </cell>
          <cell r="K141">
            <v>3510761</v>
          </cell>
          <cell r="L141">
            <v>2560976</v>
          </cell>
          <cell r="M141">
            <v>1603020</v>
          </cell>
          <cell r="N141">
            <v>674645</v>
          </cell>
          <cell r="O141">
            <v>-267335</v>
          </cell>
          <cell r="P141">
            <v>3028311</v>
          </cell>
          <cell r="Q141">
            <v>9945847</v>
          </cell>
          <cell r="R141">
            <v>8857824</v>
          </cell>
          <cell r="S141">
            <v>7465819</v>
          </cell>
          <cell r="T141">
            <v>6557799</v>
          </cell>
          <cell r="U141">
            <v>5572408</v>
          </cell>
          <cell r="V141">
            <v>13858709</v>
          </cell>
          <cell r="W141">
            <v>12486964</v>
          </cell>
          <cell r="X141">
            <v>10234180</v>
          </cell>
          <cell r="Y141">
            <v>9081873</v>
          </cell>
          <cell r="Z141">
            <v>10380514</v>
          </cell>
          <cell r="AA141">
            <v>9535069</v>
          </cell>
          <cell r="AB141">
            <v>8444193.2599999998</v>
          </cell>
          <cell r="AC141">
            <v>7330970</v>
          </cell>
          <cell r="AD141">
            <v>5478538</v>
          </cell>
          <cell r="AE141">
            <v>3549741</v>
          </cell>
          <cell r="AF141">
            <v>934424</v>
          </cell>
          <cell r="AG141">
            <v>355295</v>
          </cell>
          <cell r="AH141">
            <v>8925195</v>
          </cell>
          <cell r="AI141">
            <v>7671205</v>
          </cell>
          <cell r="AJ141">
            <v>6070582</v>
          </cell>
          <cell r="AK141">
            <v>5146051</v>
          </cell>
          <cell r="AL141">
            <v>8289973</v>
          </cell>
          <cell r="AM141">
            <v>6897110</v>
          </cell>
          <cell r="AN141">
            <v>6209754.6299999999</v>
          </cell>
        </row>
        <row r="142">
          <cell r="G142">
            <v>5061</v>
          </cell>
          <cell r="H142" t="str">
            <v>YTD Target (Budget)</v>
          </cell>
          <cell r="I142">
            <v>-277613</v>
          </cell>
          <cell r="J142">
            <v>674661</v>
          </cell>
          <cell r="K142">
            <v>3607176</v>
          </cell>
          <cell r="L142">
            <v>2882484</v>
          </cell>
          <cell r="M142">
            <v>1384562</v>
          </cell>
          <cell r="N142">
            <v>-517232</v>
          </cell>
          <cell r="O142">
            <v>-2033951</v>
          </cell>
          <cell r="P142">
            <v>1006371</v>
          </cell>
          <cell r="Q142">
            <v>6984993</v>
          </cell>
          <cell r="R142">
            <v>5934662</v>
          </cell>
          <cell r="S142">
            <v>4779160</v>
          </cell>
          <cell r="T142">
            <v>2914500</v>
          </cell>
          <cell r="U142">
            <v>5364892</v>
          </cell>
          <cell r="V142">
            <v>13258010</v>
          </cell>
          <cell r="W142">
            <v>12194357</v>
          </cell>
          <cell r="X142">
            <v>10559731</v>
          </cell>
          <cell r="Y142">
            <v>9275139</v>
          </cell>
          <cell r="Z142">
            <v>10069039</v>
          </cell>
          <cell r="AA142">
            <v>8708949</v>
          </cell>
          <cell r="AB142">
            <v>7176441</v>
          </cell>
          <cell r="AC142">
            <v>5815800</v>
          </cell>
          <cell r="AD142">
            <v>4287504</v>
          </cell>
          <cell r="AE142">
            <v>2508586</v>
          </cell>
          <cell r="AF142">
            <v>1859670</v>
          </cell>
          <cell r="AG142">
            <v>-40379</v>
          </cell>
          <cell r="AH142">
            <v>8821289</v>
          </cell>
          <cell r="AI142">
            <v>7596820</v>
          </cell>
          <cell r="AJ142">
            <v>6390775</v>
          </cell>
          <cell r="AK142">
            <v>5352061</v>
          </cell>
          <cell r="AL142">
            <v>8175976</v>
          </cell>
          <cell r="AM142">
            <v>7144144</v>
          </cell>
          <cell r="AN142">
            <v>6379384.9100000011</v>
          </cell>
        </row>
        <row r="143">
          <cell r="G143">
            <v>6000</v>
          </cell>
          <cell r="H143" t="str">
            <v>Actual</v>
          </cell>
          <cell r="I143">
            <v>317048</v>
          </cell>
          <cell r="J143">
            <v>293185</v>
          </cell>
          <cell r="K143">
            <v>301754</v>
          </cell>
          <cell r="L143">
            <v>324642</v>
          </cell>
          <cell r="M143">
            <v>436020</v>
          </cell>
          <cell r="N143">
            <v>308830</v>
          </cell>
          <cell r="O143">
            <v>287679</v>
          </cell>
          <cell r="P143">
            <v>363041</v>
          </cell>
          <cell r="Q143">
            <v>383893</v>
          </cell>
          <cell r="R143">
            <v>438338</v>
          </cell>
          <cell r="S143">
            <v>606226</v>
          </cell>
          <cell r="T143">
            <v>366930</v>
          </cell>
          <cell r="U143">
            <v>404691</v>
          </cell>
          <cell r="V143">
            <v>299289</v>
          </cell>
          <cell r="W143">
            <v>345629</v>
          </cell>
          <cell r="X143">
            <v>463727</v>
          </cell>
          <cell r="Y143">
            <v>474741</v>
          </cell>
          <cell r="Z143">
            <v>309998</v>
          </cell>
          <cell r="AA143">
            <v>317313</v>
          </cell>
          <cell r="AB143">
            <v>326794.64</v>
          </cell>
          <cell r="AC143">
            <v>839970</v>
          </cell>
          <cell r="AD143">
            <v>391155</v>
          </cell>
          <cell r="AE143">
            <v>476007</v>
          </cell>
          <cell r="AF143">
            <v>319681</v>
          </cell>
          <cell r="AG143">
            <v>417368</v>
          </cell>
          <cell r="AH143">
            <v>481523</v>
          </cell>
          <cell r="AI143">
            <v>361995</v>
          </cell>
          <cell r="AJ143">
            <v>501761</v>
          </cell>
          <cell r="AK143">
            <v>380098</v>
          </cell>
          <cell r="AL143">
            <v>337715</v>
          </cell>
          <cell r="AM143">
            <v>296777</v>
          </cell>
          <cell r="AN143">
            <v>345959.63999999996</v>
          </cell>
        </row>
        <row r="144">
          <cell r="G144">
            <v>6001</v>
          </cell>
          <cell r="H144" t="str">
            <v>Target (Budget)</v>
          </cell>
          <cell r="I144">
            <v>259384</v>
          </cell>
          <cell r="J144">
            <v>309491</v>
          </cell>
          <cell r="K144">
            <v>314500</v>
          </cell>
          <cell r="L144">
            <v>327044</v>
          </cell>
          <cell r="M144">
            <v>995670</v>
          </cell>
          <cell r="N144">
            <v>322787</v>
          </cell>
          <cell r="O144">
            <v>309136</v>
          </cell>
          <cell r="P144">
            <v>317939</v>
          </cell>
          <cell r="Q144">
            <v>310282</v>
          </cell>
          <cell r="R144">
            <v>314754</v>
          </cell>
          <cell r="S144">
            <v>413815</v>
          </cell>
          <cell r="T144">
            <v>317051</v>
          </cell>
          <cell r="U144">
            <v>722509</v>
          </cell>
          <cell r="V144">
            <v>356131</v>
          </cell>
          <cell r="W144">
            <v>416529</v>
          </cell>
          <cell r="X144">
            <v>462196</v>
          </cell>
          <cell r="Y144">
            <v>381652</v>
          </cell>
          <cell r="Z144">
            <v>357323</v>
          </cell>
          <cell r="AA144">
            <v>345013</v>
          </cell>
          <cell r="AB144">
            <v>401774</v>
          </cell>
          <cell r="AC144">
            <v>489818</v>
          </cell>
          <cell r="AD144">
            <v>317313</v>
          </cell>
          <cell r="AE144">
            <v>425014</v>
          </cell>
          <cell r="AF144">
            <v>333344</v>
          </cell>
          <cell r="AG144">
            <v>452348</v>
          </cell>
          <cell r="AH144">
            <v>375047</v>
          </cell>
          <cell r="AI144">
            <v>374300</v>
          </cell>
          <cell r="AJ144">
            <v>521772</v>
          </cell>
          <cell r="AK144">
            <v>364664</v>
          </cell>
          <cell r="AL144">
            <v>533938</v>
          </cell>
          <cell r="AM144">
            <v>368826</v>
          </cell>
          <cell r="AN144">
            <v>378330.94</v>
          </cell>
        </row>
        <row r="145">
          <cell r="G145">
            <v>6004</v>
          </cell>
          <cell r="H145" t="str">
            <v>YTD Actual</v>
          </cell>
          <cell r="I145">
            <v>317048</v>
          </cell>
          <cell r="J145">
            <v>609786</v>
          </cell>
          <cell r="K145">
            <v>911540</v>
          </cell>
          <cell r="L145">
            <v>1236182</v>
          </cell>
          <cell r="M145">
            <v>1672203</v>
          </cell>
          <cell r="N145">
            <v>1981033</v>
          </cell>
          <cell r="O145">
            <v>2268712</v>
          </cell>
          <cell r="P145">
            <v>2631752</v>
          </cell>
          <cell r="Q145">
            <v>3015645</v>
          </cell>
          <cell r="R145">
            <v>3453983</v>
          </cell>
          <cell r="S145">
            <v>4060209</v>
          </cell>
          <cell r="T145">
            <v>4427139</v>
          </cell>
          <cell r="U145">
            <v>404691</v>
          </cell>
          <cell r="V145">
            <v>703979</v>
          </cell>
          <cell r="W145">
            <v>1049609</v>
          </cell>
          <cell r="X145">
            <v>1513336</v>
          </cell>
          <cell r="Y145">
            <v>1988077</v>
          </cell>
          <cell r="Z145">
            <v>2298076</v>
          </cell>
          <cell r="AA145">
            <v>2615388</v>
          </cell>
          <cell r="AB145">
            <v>2942182.86</v>
          </cell>
          <cell r="AC145">
            <v>3782153</v>
          </cell>
          <cell r="AD145">
            <v>4173308</v>
          </cell>
          <cell r="AE145">
            <v>4649315</v>
          </cell>
          <cell r="AF145">
            <v>4968996</v>
          </cell>
          <cell r="AG145">
            <v>417368</v>
          </cell>
          <cell r="AH145">
            <v>940897</v>
          </cell>
          <cell r="AI145">
            <v>1302892</v>
          </cell>
          <cell r="AJ145">
            <v>1804653</v>
          </cell>
          <cell r="AK145">
            <v>2184751</v>
          </cell>
          <cell r="AL145">
            <v>2522466</v>
          </cell>
          <cell r="AM145">
            <v>2819243</v>
          </cell>
          <cell r="AN145">
            <v>3165202.64</v>
          </cell>
        </row>
        <row r="146">
          <cell r="G146">
            <v>6005</v>
          </cell>
          <cell r="H146" t="str">
            <v>YTD Target (Budget)</v>
          </cell>
          <cell r="I146">
            <v>259384</v>
          </cell>
          <cell r="J146">
            <v>594544</v>
          </cell>
          <cell r="K146">
            <v>925425</v>
          </cell>
          <cell r="L146">
            <v>1252469</v>
          </cell>
          <cell r="M146">
            <v>2248139</v>
          </cell>
          <cell r="N146">
            <v>2570926</v>
          </cell>
          <cell r="O146">
            <v>2880062</v>
          </cell>
          <cell r="P146">
            <v>3198001</v>
          </cell>
          <cell r="Q146">
            <v>3508283</v>
          </cell>
          <cell r="R146">
            <v>3823037</v>
          </cell>
          <cell r="S146">
            <v>4236852</v>
          </cell>
          <cell r="T146">
            <v>4553903</v>
          </cell>
          <cell r="U146">
            <v>722509</v>
          </cell>
          <cell r="V146">
            <v>1100209</v>
          </cell>
          <cell r="W146">
            <v>1423481</v>
          </cell>
          <cell r="X146">
            <v>1885677</v>
          </cell>
          <cell r="Y146">
            <v>2267329</v>
          </cell>
          <cell r="Z146">
            <v>2624651</v>
          </cell>
          <cell r="AA146">
            <v>2969664</v>
          </cell>
          <cell r="AB146">
            <v>3371438</v>
          </cell>
          <cell r="AC146">
            <v>3861257</v>
          </cell>
          <cell r="AD146">
            <v>4178569</v>
          </cell>
          <cell r="AE146">
            <v>4603583</v>
          </cell>
          <cell r="AF146">
            <v>4936927</v>
          </cell>
          <cell r="AG146">
            <v>452348</v>
          </cell>
          <cell r="AH146">
            <v>827395</v>
          </cell>
          <cell r="AI146">
            <v>1265918</v>
          </cell>
          <cell r="AJ146">
            <v>1774398</v>
          </cell>
          <cell r="AK146">
            <v>2139062</v>
          </cell>
          <cell r="AL146">
            <v>2673000</v>
          </cell>
          <cell r="AM146">
            <v>3041826</v>
          </cell>
          <cell r="AN146">
            <v>3420157.2</v>
          </cell>
        </row>
        <row r="147">
          <cell r="G147">
            <v>6024</v>
          </cell>
          <cell r="H147" t="str">
            <v>Empl_Benefits</v>
          </cell>
          <cell r="I147">
            <v>65769</v>
          </cell>
          <cell r="J147">
            <v>65106</v>
          </cell>
          <cell r="K147">
            <v>68391</v>
          </cell>
          <cell r="L147">
            <v>69178</v>
          </cell>
          <cell r="M147">
            <v>104052</v>
          </cell>
          <cell r="N147">
            <v>71780</v>
          </cell>
          <cell r="O147">
            <v>67530</v>
          </cell>
          <cell r="P147">
            <v>71101</v>
          </cell>
          <cell r="Q147">
            <v>70876</v>
          </cell>
          <cell r="R147">
            <v>68462</v>
          </cell>
          <cell r="S147">
            <v>103081</v>
          </cell>
          <cell r="T147">
            <v>69336</v>
          </cell>
          <cell r="U147">
            <v>66453</v>
          </cell>
          <cell r="V147">
            <v>65028</v>
          </cell>
          <cell r="W147">
            <v>72511</v>
          </cell>
          <cell r="X147">
            <v>107208</v>
          </cell>
          <cell r="Y147">
            <v>72337</v>
          </cell>
          <cell r="Z147">
            <v>74550</v>
          </cell>
          <cell r="AA147">
            <v>73996</v>
          </cell>
          <cell r="AB147">
            <v>77749.38</v>
          </cell>
          <cell r="AC147">
            <v>80472</v>
          </cell>
          <cell r="AD147">
            <v>72988</v>
          </cell>
          <cell r="AE147">
            <v>113120</v>
          </cell>
          <cell r="AF147">
            <v>76636</v>
          </cell>
          <cell r="AG147">
            <v>71493</v>
          </cell>
          <cell r="AH147">
            <v>76376</v>
          </cell>
          <cell r="AI147">
            <v>82729</v>
          </cell>
          <cell r="AJ147">
            <v>122148</v>
          </cell>
          <cell r="AK147">
            <v>84211</v>
          </cell>
          <cell r="AL147">
            <v>86321</v>
          </cell>
          <cell r="AM147">
            <v>82879</v>
          </cell>
          <cell r="AN147">
            <v>82765.529999999984</v>
          </cell>
        </row>
        <row r="148">
          <cell r="G148">
            <v>6025</v>
          </cell>
          <cell r="H148" t="str">
            <v>Total Personnel</v>
          </cell>
          <cell r="I148">
            <v>229724</v>
          </cell>
          <cell r="J148">
            <v>225998</v>
          </cell>
          <cell r="K148">
            <v>239540</v>
          </cell>
          <cell r="L148">
            <v>238325</v>
          </cell>
          <cell r="M148">
            <v>363888</v>
          </cell>
          <cell r="N148">
            <v>257261</v>
          </cell>
          <cell r="O148">
            <v>231897</v>
          </cell>
          <cell r="P148">
            <v>258049</v>
          </cell>
          <cell r="Q148">
            <v>251014</v>
          </cell>
          <cell r="R148">
            <v>231436</v>
          </cell>
          <cell r="S148">
            <v>356017</v>
          </cell>
          <cell r="T148">
            <v>262892</v>
          </cell>
          <cell r="U148">
            <v>228518</v>
          </cell>
          <cell r="V148">
            <v>221640</v>
          </cell>
          <cell r="W148">
            <v>246509</v>
          </cell>
          <cell r="X148">
            <v>370287</v>
          </cell>
          <cell r="Y148">
            <v>251068</v>
          </cell>
          <cell r="Z148">
            <v>254697</v>
          </cell>
          <cell r="AA148">
            <v>245256</v>
          </cell>
          <cell r="AB148">
            <v>195312.12</v>
          </cell>
          <cell r="AC148">
            <v>290945</v>
          </cell>
          <cell r="AD148">
            <v>236221</v>
          </cell>
          <cell r="AE148">
            <v>382342</v>
          </cell>
          <cell r="AF148">
            <v>256612</v>
          </cell>
          <cell r="AG148">
            <v>237748</v>
          </cell>
          <cell r="AH148">
            <v>254276</v>
          </cell>
          <cell r="AI148">
            <v>263404</v>
          </cell>
          <cell r="AJ148">
            <v>388979</v>
          </cell>
          <cell r="AK148">
            <v>271279</v>
          </cell>
          <cell r="AL148">
            <v>276589</v>
          </cell>
          <cell r="AM148">
            <v>257544</v>
          </cell>
          <cell r="AN148">
            <v>261230.90999999997</v>
          </cell>
        </row>
        <row r="149">
          <cell r="G149">
            <v>6026</v>
          </cell>
          <cell r="H149" t="str">
            <v>Target Empl_Benefits</v>
          </cell>
          <cell r="I149">
            <v>66987</v>
          </cell>
          <cell r="J149">
            <v>70187</v>
          </cell>
          <cell r="K149">
            <v>72295</v>
          </cell>
          <cell r="L149">
            <v>71758</v>
          </cell>
          <cell r="M149">
            <v>108228</v>
          </cell>
          <cell r="N149">
            <v>72536</v>
          </cell>
          <cell r="O149">
            <v>73474</v>
          </cell>
          <cell r="P149">
            <v>72965</v>
          </cell>
          <cell r="Q149">
            <v>72713</v>
          </cell>
          <cell r="R149">
            <v>73795</v>
          </cell>
          <cell r="S149">
            <v>108359</v>
          </cell>
          <cell r="T149">
            <v>72333</v>
          </cell>
          <cell r="U149">
            <v>74419</v>
          </cell>
          <cell r="V149">
            <v>112124</v>
          </cell>
          <cell r="W149">
            <v>69920</v>
          </cell>
          <cell r="X149">
            <v>103568</v>
          </cell>
          <cell r="Y149">
            <v>78884</v>
          </cell>
          <cell r="Z149">
            <v>79023</v>
          </cell>
          <cell r="AA149">
            <v>76106</v>
          </cell>
          <cell r="AB149">
            <v>76266</v>
          </cell>
          <cell r="AC149">
            <v>75924</v>
          </cell>
          <cell r="AD149">
            <v>75807</v>
          </cell>
          <cell r="AE149">
            <v>110586</v>
          </cell>
          <cell r="AF149">
            <v>77815</v>
          </cell>
          <cell r="AG149">
            <v>76282</v>
          </cell>
          <cell r="AH149">
            <v>75731</v>
          </cell>
          <cell r="AI149">
            <v>83241</v>
          </cell>
          <cell r="AJ149">
            <v>120878</v>
          </cell>
          <cell r="AK149">
            <v>82607</v>
          </cell>
          <cell r="AL149">
            <v>82585</v>
          </cell>
          <cell r="AM149">
            <v>83395</v>
          </cell>
          <cell r="AN149">
            <v>83919.47</v>
          </cell>
        </row>
        <row r="150">
          <cell r="G150">
            <v>6027</v>
          </cell>
          <cell r="H150" t="str">
            <v>Target Total Personnel</v>
          </cell>
          <cell r="I150">
            <v>218485</v>
          </cell>
          <cell r="J150">
            <v>230033</v>
          </cell>
          <cell r="K150">
            <v>243478</v>
          </cell>
          <cell r="L150">
            <v>241513</v>
          </cell>
          <cell r="M150">
            <v>359679</v>
          </cell>
          <cell r="N150">
            <v>240915</v>
          </cell>
          <cell r="O150">
            <v>245979</v>
          </cell>
          <cell r="P150">
            <v>242720</v>
          </cell>
          <cell r="Q150">
            <v>238343</v>
          </cell>
          <cell r="R150">
            <v>244925</v>
          </cell>
          <cell r="S150">
            <v>357061</v>
          </cell>
          <cell r="T150">
            <v>239338</v>
          </cell>
          <cell r="U150">
            <v>266322</v>
          </cell>
          <cell r="V150">
            <v>287329</v>
          </cell>
          <cell r="W150">
            <v>241756</v>
          </cell>
          <cell r="X150">
            <v>345270</v>
          </cell>
          <cell r="Y150">
            <v>278135</v>
          </cell>
          <cell r="Z150">
            <v>279127</v>
          </cell>
          <cell r="AA150">
            <v>263905</v>
          </cell>
          <cell r="AB150">
            <v>259457</v>
          </cell>
          <cell r="AC150">
            <v>257015</v>
          </cell>
          <cell r="AD150">
            <v>256183</v>
          </cell>
          <cell r="AE150">
            <v>363040</v>
          </cell>
          <cell r="AF150">
            <v>270508</v>
          </cell>
          <cell r="AG150">
            <v>257482</v>
          </cell>
          <cell r="AH150">
            <v>254732</v>
          </cell>
          <cell r="AI150">
            <v>267546</v>
          </cell>
          <cell r="AJ150">
            <v>379084</v>
          </cell>
          <cell r="AK150">
            <v>263805</v>
          </cell>
          <cell r="AL150">
            <v>263650</v>
          </cell>
          <cell r="AM150">
            <v>269367</v>
          </cell>
          <cell r="AN150">
            <v>273072.18</v>
          </cell>
        </row>
        <row r="151">
          <cell r="G151">
            <v>6028</v>
          </cell>
          <cell r="H151" t="str">
            <v>YTD Empl_Benefits</v>
          </cell>
          <cell r="I151">
            <v>65769</v>
          </cell>
          <cell r="J151">
            <v>130875</v>
          </cell>
          <cell r="K151">
            <v>199266</v>
          </cell>
          <cell r="L151">
            <v>268444</v>
          </cell>
          <cell r="M151">
            <v>372496</v>
          </cell>
          <cell r="N151">
            <v>444276</v>
          </cell>
          <cell r="O151">
            <v>511806</v>
          </cell>
          <cell r="P151">
            <v>582907</v>
          </cell>
          <cell r="Q151">
            <v>653783</v>
          </cell>
          <cell r="R151">
            <v>722245</v>
          </cell>
          <cell r="S151">
            <v>825326</v>
          </cell>
          <cell r="T151">
            <v>894662</v>
          </cell>
          <cell r="U151">
            <v>66453</v>
          </cell>
          <cell r="V151">
            <v>131481</v>
          </cell>
          <cell r="W151">
            <v>203991</v>
          </cell>
          <cell r="X151">
            <v>311199</v>
          </cell>
          <cell r="Y151">
            <v>384426</v>
          </cell>
          <cell r="Z151">
            <v>458976</v>
          </cell>
          <cell r="AA151">
            <v>532972</v>
          </cell>
          <cell r="AB151">
            <v>610721.82999999996</v>
          </cell>
          <cell r="AC151">
            <v>691193</v>
          </cell>
          <cell r="AD151">
            <v>764182</v>
          </cell>
          <cell r="AE151">
            <v>877302</v>
          </cell>
          <cell r="AF151">
            <v>953938</v>
          </cell>
          <cell r="AG151">
            <v>71493</v>
          </cell>
          <cell r="AH151">
            <v>151903</v>
          </cell>
          <cell r="AI151">
            <v>234632</v>
          </cell>
          <cell r="AJ151">
            <v>356780</v>
          </cell>
          <cell r="AK151">
            <v>440992</v>
          </cell>
          <cell r="AL151">
            <v>527312</v>
          </cell>
          <cell r="AM151">
            <v>610191</v>
          </cell>
          <cell r="AN151">
            <v>692956.63</v>
          </cell>
        </row>
        <row r="152">
          <cell r="G152">
            <v>6029</v>
          </cell>
          <cell r="H152" t="str">
            <v>YTD Total Personnel</v>
          </cell>
          <cell r="I152">
            <v>229724</v>
          </cell>
          <cell r="J152">
            <v>455722</v>
          </cell>
          <cell r="K152">
            <v>695262</v>
          </cell>
          <cell r="L152">
            <v>933587</v>
          </cell>
          <cell r="M152">
            <v>1297475</v>
          </cell>
          <cell r="N152">
            <v>1554736</v>
          </cell>
          <cell r="O152">
            <v>1786633</v>
          </cell>
          <cell r="P152">
            <v>2044682</v>
          </cell>
          <cell r="Q152">
            <v>2295696</v>
          </cell>
          <cell r="R152">
            <v>2527132</v>
          </cell>
          <cell r="S152">
            <v>2883149</v>
          </cell>
          <cell r="T152">
            <v>3146041</v>
          </cell>
          <cell r="U152">
            <v>228519</v>
          </cell>
          <cell r="V152">
            <v>450158</v>
          </cell>
          <cell r="W152">
            <v>696667</v>
          </cell>
          <cell r="X152">
            <v>1066954</v>
          </cell>
          <cell r="Y152">
            <v>1318022</v>
          </cell>
          <cell r="Z152">
            <v>1572719</v>
          </cell>
          <cell r="AA152">
            <v>1817975</v>
          </cell>
          <cell r="AB152">
            <v>1480314.35</v>
          </cell>
          <cell r="AC152">
            <v>2381981</v>
          </cell>
          <cell r="AD152">
            <v>2618201</v>
          </cell>
          <cell r="AE152">
            <v>3000543</v>
          </cell>
          <cell r="AF152">
            <v>3257156</v>
          </cell>
          <cell r="AG152">
            <v>237748</v>
          </cell>
          <cell r="AH152">
            <v>505210</v>
          </cell>
          <cell r="AI152">
            <v>768615</v>
          </cell>
          <cell r="AJ152">
            <v>1157594</v>
          </cell>
          <cell r="AK152">
            <v>1428872</v>
          </cell>
          <cell r="AL152">
            <v>1705461</v>
          </cell>
          <cell r="AM152">
            <v>1963005</v>
          </cell>
          <cell r="AN152">
            <v>2224235.9700000002</v>
          </cell>
        </row>
        <row r="153">
          <cell r="G153">
            <v>6030</v>
          </cell>
          <cell r="H153" t="str">
            <v>YTD Target Empl_Benefits</v>
          </cell>
          <cell r="I153">
            <v>66987</v>
          </cell>
          <cell r="J153">
            <v>140047</v>
          </cell>
          <cell r="K153">
            <v>212342</v>
          </cell>
          <cell r="L153">
            <v>284100</v>
          </cell>
          <cell r="M153">
            <v>392328</v>
          </cell>
          <cell r="N153">
            <v>464864</v>
          </cell>
          <cell r="O153">
            <v>538338</v>
          </cell>
          <cell r="P153">
            <v>611303</v>
          </cell>
          <cell r="Q153">
            <v>684016</v>
          </cell>
          <cell r="R153">
            <v>757811</v>
          </cell>
          <cell r="S153">
            <v>866170</v>
          </cell>
          <cell r="T153">
            <v>938503</v>
          </cell>
          <cell r="U153">
            <v>74419</v>
          </cell>
          <cell r="V153">
            <v>225756</v>
          </cell>
          <cell r="W153">
            <v>202419</v>
          </cell>
          <cell r="X153">
            <v>305986</v>
          </cell>
          <cell r="Y153">
            <v>384870</v>
          </cell>
          <cell r="Z153">
            <v>463893</v>
          </cell>
          <cell r="AA153">
            <v>539999</v>
          </cell>
          <cell r="AB153">
            <v>616265</v>
          </cell>
          <cell r="AC153">
            <v>692188</v>
          </cell>
          <cell r="AD153">
            <v>767995</v>
          </cell>
          <cell r="AE153">
            <v>878581</v>
          </cell>
          <cell r="AF153">
            <v>956396</v>
          </cell>
          <cell r="AG153">
            <v>76282</v>
          </cell>
          <cell r="AH153">
            <v>152012</v>
          </cell>
          <cell r="AI153">
            <v>235253</v>
          </cell>
          <cell r="AJ153">
            <v>356132</v>
          </cell>
          <cell r="AK153">
            <v>438739</v>
          </cell>
          <cell r="AL153">
            <v>521324</v>
          </cell>
          <cell r="AM153">
            <v>604719</v>
          </cell>
          <cell r="AN153">
            <v>688638.09</v>
          </cell>
        </row>
        <row r="154">
          <cell r="G154">
            <v>6031</v>
          </cell>
          <cell r="H154" t="str">
            <v>YTD Target Total Personnel</v>
          </cell>
          <cell r="I154">
            <v>218485</v>
          </cell>
          <cell r="J154">
            <v>457707</v>
          </cell>
          <cell r="K154">
            <v>717566</v>
          </cell>
          <cell r="L154">
            <v>959079</v>
          </cell>
          <cell r="M154">
            <v>1318758</v>
          </cell>
          <cell r="N154">
            <v>1559673</v>
          </cell>
          <cell r="O154">
            <v>1805652</v>
          </cell>
          <cell r="P154">
            <v>2048372</v>
          </cell>
          <cell r="Q154">
            <v>2286715</v>
          </cell>
          <cell r="R154">
            <v>2531640</v>
          </cell>
          <cell r="S154">
            <v>2888701</v>
          </cell>
          <cell r="T154">
            <v>3128039</v>
          </cell>
          <cell r="U154">
            <v>266322</v>
          </cell>
          <cell r="V154">
            <v>575221</v>
          </cell>
          <cell r="W154">
            <v>723720</v>
          </cell>
          <cell r="X154">
            <v>1068990</v>
          </cell>
          <cell r="Y154">
            <v>1347124</v>
          </cell>
          <cell r="Z154">
            <v>1626251</v>
          </cell>
          <cell r="AA154">
            <v>1890156</v>
          </cell>
          <cell r="AB154">
            <v>2149613</v>
          </cell>
          <cell r="AC154">
            <v>2406627</v>
          </cell>
          <cell r="AD154">
            <v>2662810</v>
          </cell>
          <cell r="AE154">
            <v>3025851</v>
          </cell>
          <cell r="AF154">
            <v>3296359</v>
          </cell>
          <cell r="AG154">
            <v>257482</v>
          </cell>
          <cell r="AH154">
            <v>512213</v>
          </cell>
          <cell r="AI154">
            <v>772856</v>
          </cell>
          <cell r="AJ154">
            <v>1151940</v>
          </cell>
          <cell r="AK154">
            <v>1415745</v>
          </cell>
          <cell r="AL154">
            <v>1679396</v>
          </cell>
          <cell r="AM154">
            <v>1948763</v>
          </cell>
          <cell r="AN154">
            <v>2221835.12</v>
          </cell>
        </row>
        <row r="155">
          <cell r="G155">
            <v>6032</v>
          </cell>
          <cell r="H155" t="str">
            <v>Actual</v>
          </cell>
          <cell r="O155">
            <v>11094</v>
          </cell>
          <cell r="P155">
            <v>31514</v>
          </cell>
          <cell r="Q155">
            <v>19727</v>
          </cell>
          <cell r="U155">
            <v>12231</v>
          </cell>
          <cell r="V155">
            <v>10016</v>
          </cell>
          <cell r="W155">
            <v>18274</v>
          </cell>
          <cell r="X155">
            <v>29266</v>
          </cell>
          <cell r="Y155">
            <v>18351</v>
          </cell>
          <cell r="Z155">
            <v>22502</v>
          </cell>
          <cell r="AA155">
            <v>9399</v>
          </cell>
          <cell r="AB155">
            <v>30998.98</v>
          </cell>
          <cell r="AC155">
            <v>44537</v>
          </cell>
          <cell r="AD155">
            <v>1137</v>
          </cell>
          <cell r="AE155">
            <v>25869</v>
          </cell>
          <cell r="AF155">
            <v>11820</v>
          </cell>
          <cell r="AG155">
            <v>8408</v>
          </cell>
          <cell r="AH155">
            <v>8797</v>
          </cell>
          <cell r="AI155">
            <v>12632</v>
          </cell>
          <cell r="AJ155">
            <v>21053</v>
          </cell>
          <cell r="AK155">
            <v>17412</v>
          </cell>
          <cell r="AL155">
            <v>17704</v>
          </cell>
          <cell r="AM155">
            <v>4148</v>
          </cell>
          <cell r="AN155">
            <v>9555.2000000000007</v>
          </cell>
        </row>
        <row r="156">
          <cell r="G156">
            <v>6033</v>
          </cell>
          <cell r="H156" t="str">
            <v>Target (Budget)</v>
          </cell>
          <cell r="O156">
            <v>13750</v>
          </cell>
          <cell r="P156">
            <v>11000</v>
          </cell>
          <cell r="Q156">
            <v>6875</v>
          </cell>
          <cell r="U156">
            <v>8916</v>
          </cell>
          <cell r="V156">
            <v>7573</v>
          </cell>
          <cell r="W156">
            <v>16547</v>
          </cell>
          <cell r="X156">
            <v>12127</v>
          </cell>
          <cell r="Y156">
            <v>25722</v>
          </cell>
          <cell r="Z156">
            <v>27897</v>
          </cell>
          <cell r="AA156">
            <v>11132</v>
          </cell>
          <cell r="AB156">
            <v>12400</v>
          </cell>
          <cell r="AC156">
            <v>10300</v>
          </cell>
          <cell r="AD156">
            <v>9585</v>
          </cell>
          <cell r="AE156">
            <v>7850</v>
          </cell>
          <cell r="AF156">
            <v>7448</v>
          </cell>
          <cell r="AG156">
            <v>11304</v>
          </cell>
          <cell r="AH156">
            <v>11173</v>
          </cell>
          <cell r="AI156">
            <v>16972</v>
          </cell>
          <cell r="AJ156">
            <v>19141</v>
          </cell>
          <cell r="AK156">
            <v>16452</v>
          </cell>
          <cell r="AL156">
            <v>16319</v>
          </cell>
          <cell r="AM156">
            <v>21226</v>
          </cell>
          <cell r="AN156">
            <v>24406.32</v>
          </cell>
        </row>
        <row r="157">
          <cell r="G157">
            <v>6036</v>
          </cell>
          <cell r="H157" t="str">
            <v>YTD Actual</v>
          </cell>
          <cell r="O157">
            <v>117924</v>
          </cell>
          <cell r="P157">
            <v>149438</v>
          </cell>
          <cell r="Q157">
            <v>169165</v>
          </cell>
          <cell r="U157">
            <v>12231</v>
          </cell>
          <cell r="V157">
            <v>22247</v>
          </cell>
          <cell r="W157">
            <v>40521</v>
          </cell>
          <cell r="X157">
            <v>69787</v>
          </cell>
          <cell r="Y157">
            <v>88138</v>
          </cell>
          <cell r="Z157">
            <v>110640</v>
          </cell>
          <cell r="AA157">
            <v>120039</v>
          </cell>
          <cell r="AB157">
            <v>151038.07</v>
          </cell>
          <cell r="AC157">
            <v>195575</v>
          </cell>
          <cell r="AD157">
            <v>196712</v>
          </cell>
          <cell r="AE157">
            <v>222581</v>
          </cell>
          <cell r="AF157">
            <v>234402</v>
          </cell>
          <cell r="AG157">
            <v>8408</v>
          </cell>
          <cell r="AH157">
            <v>17670</v>
          </cell>
          <cell r="AI157">
            <v>30302</v>
          </cell>
          <cell r="AJ157">
            <v>51356</v>
          </cell>
          <cell r="AK157">
            <v>68768</v>
          </cell>
          <cell r="AL157">
            <v>86471</v>
          </cell>
          <cell r="AM157">
            <v>90620</v>
          </cell>
          <cell r="AN157">
            <v>100174.96</v>
          </cell>
        </row>
        <row r="158">
          <cell r="G158">
            <v>6037</v>
          </cell>
          <cell r="H158" t="str">
            <v>YTD Target (Budget)</v>
          </cell>
          <cell r="O158">
            <v>85247</v>
          </cell>
          <cell r="P158">
            <v>96247</v>
          </cell>
          <cell r="Q158">
            <v>103122</v>
          </cell>
          <cell r="U158">
            <v>8916</v>
          </cell>
          <cell r="V158">
            <v>16489</v>
          </cell>
          <cell r="W158">
            <v>33036</v>
          </cell>
          <cell r="X158">
            <v>45162</v>
          </cell>
          <cell r="Y158">
            <v>70885</v>
          </cell>
          <cell r="Z158">
            <v>98782</v>
          </cell>
          <cell r="AA158">
            <v>109914</v>
          </cell>
          <cell r="AB158">
            <v>122314</v>
          </cell>
          <cell r="AC158">
            <v>132614</v>
          </cell>
          <cell r="AD158">
            <v>142199</v>
          </cell>
          <cell r="AE158">
            <v>150049</v>
          </cell>
          <cell r="AF158">
            <v>157497</v>
          </cell>
          <cell r="AG158">
            <v>11304</v>
          </cell>
          <cell r="AH158">
            <v>22477</v>
          </cell>
          <cell r="AI158">
            <v>39448</v>
          </cell>
          <cell r="AJ158">
            <v>58589</v>
          </cell>
          <cell r="AK158">
            <v>75041</v>
          </cell>
          <cell r="AL158">
            <v>91360</v>
          </cell>
          <cell r="AM158">
            <v>112586</v>
          </cell>
          <cell r="AN158">
            <v>136992.42000000001</v>
          </cell>
        </row>
        <row r="159">
          <cell r="G159">
            <v>6044</v>
          </cell>
          <cell r="H159" t="str">
            <v>Actual</v>
          </cell>
          <cell r="I159">
            <v>444679</v>
          </cell>
          <cell r="J159">
            <v>3245928</v>
          </cell>
          <cell r="K159">
            <v>-84221</v>
          </cell>
          <cell r="L159">
            <v>-324642</v>
          </cell>
          <cell r="M159">
            <v>-436020</v>
          </cell>
          <cell r="N159">
            <v>-308830</v>
          </cell>
          <cell r="O159">
            <v>-287679</v>
          </cell>
          <cell r="P159">
            <v>-363041</v>
          </cell>
          <cell r="Q159">
            <v>131218</v>
          </cell>
          <cell r="R159">
            <v>-438338</v>
          </cell>
          <cell r="S159">
            <v>-606226</v>
          </cell>
          <cell r="T159">
            <v>-367530</v>
          </cell>
          <cell r="U159">
            <v>602830</v>
          </cell>
          <cell r="V159">
            <v>3716193</v>
          </cell>
          <cell r="W159">
            <v>-345629</v>
          </cell>
          <cell r="X159">
            <v>-463727</v>
          </cell>
          <cell r="Y159">
            <v>-474741</v>
          </cell>
          <cell r="Z159">
            <v>-309998</v>
          </cell>
          <cell r="AA159">
            <v>-317313</v>
          </cell>
          <cell r="AB159">
            <v>-326794.64</v>
          </cell>
          <cell r="AC159">
            <v>-839970</v>
          </cell>
          <cell r="AD159">
            <v>-391155</v>
          </cell>
          <cell r="AE159">
            <v>-476007</v>
          </cell>
          <cell r="AF159">
            <v>-358639</v>
          </cell>
          <cell r="AG159">
            <v>-128113</v>
          </cell>
          <cell r="AH159">
            <v>3319643</v>
          </cell>
          <cell r="AI159">
            <v>-361995</v>
          </cell>
          <cell r="AJ159">
            <v>-501761</v>
          </cell>
          <cell r="AK159">
            <v>-380098</v>
          </cell>
          <cell r="AL159">
            <v>-337715</v>
          </cell>
          <cell r="AM159">
            <v>-296777</v>
          </cell>
          <cell r="AN159">
            <v>-287547.96999999997</v>
          </cell>
        </row>
        <row r="160">
          <cell r="G160">
            <v>6045</v>
          </cell>
          <cell r="H160" t="str">
            <v>Target (Budget)</v>
          </cell>
          <cell r="I160">
            <v>502343</v>
          </cell>
          <cell r="J160">
            <v>3229623</v>
          </cell>
          <cell r="K160">
            <v>-96967</v>
          </cell>
          <cell r="L160">
            <v>-327044</v>
          </cell>
          <cell r="M160">
            <v>-995670</v>
          </cell>
          <cell r="N160">
            <v>-322787</v>
          </cell>
          <cell r="O160">
            <v>-309136</v>
          </cell>
          <cell r="P160">
            <v>-317939</v>
          </cell>
          <cell r="Q160">
            <v>204829</v>
          </cell>
          <cell r="R160">
            <v>-314754</v>
          </cell>
          <cell r="S160">
            <v>-413815</v>
          </cell>
          <cell r="T160">
            <v>-317651</v>
          </cell>
          <cell r="U160">
            <v>285012</v>
          </cell>
          <cell r="V160">
            <v>3659351</v>
          </cell>
          <cell r="W160">
            <v>-416529</v>
          </cell>
          <cell r="X160">
            <v>-462196</v>
          </cell>
          <cell r="Y160">
            <v>-381652</v>
          </cell>
          <cell r="Z160">
            <v>-357323</v>
          </cell>
          <cell r="AA160">
            <v>-345013</v>
          </cell>
          <cell r="AB160">
            <v>-401774</v>
          </cell>
          <cell r="AC160">
            <v>-489818</v>
          </cell>
          <cell r="AD160">
            <v>-317313</v>
          </cell>
          <cell r="AE160">
            <v>-425014</v>
          </cell>
          <cell r="AF160">
            <v>-372302</v>
          </cell>
          <cell r="AG160">
            <v>-163093</v>
          </cell>
          <cell r="AH160">
            <v>3426119</v>
          </cell>
          <cell r="AI160">
            <v>-374300</v>
          </cell>
          <cell r="AJ160">
            <v>-521772</v>
          </cell>
          <cell r="AK160">
            <v>-364664</v>
          </cell>
          <cell r="AL160">
            <v>-533938</v>
          </cell>
          <cell r="AM160">
            <v>-368826</v>
          </cell>
          <cell r="AN160">
            <v>-319919.27</v>
          </cell>
        </row>
        <row r="161">
          <cell r="G161">
            <v>6048</v>
          </cell>
          <cell r="H161" t="str">
            <v>YTD Actual</v>
          </cell>
          <cell r="I161">
            <v>444679</v>
          </cell>
          <cell r="J161">
            <v>3691055</v>
          </cell>
          <cell r="K161">
            <v>3606834</v>
          </cell>
          <cell r="L161">
            <v>3282192</v>
          </cell>
          <cell r="M161">
            <v>2846172</v>
          </cell>
          <cell r="N161">
            <v>2537341</v>
          </cell>
          <cell r="O161">
            <v>2249663</v>
          </cell>
          <cell r="P161">
            <v>1886622</v>
          </cell>
          <cell r="Q161">
            <v>2017840</v>
          </cell>
          <cell r="R161">
            <v>1579502</v>
          </cell>
          <cell r="S161">
            <v>973276</v>
          </cell>
          <cell r="T161">
            <v>605746</v>
          </cell>
          <cell r="U161">
            <v>602830</v>
          </cell>
          <cell r="V161">
            <v>4319023</v>
          </cell>
          <cell r="W161">
            <v>3973394</v>
          </cell>
          <cell r="X161">
            <v>3509667</v>
          </cell>
          <cell r="Y161">
            <v>3034926</v>
          </cell>
          <cell r="Z161">
            <v>2724927</v>
          </cell>
          <cell r="AA161">
            <v>2407614</v>
          </cell>
          <cell r="AB161">
            <v>2080819.8</v>
          </cell>
          <cell r="AC161">
            <v>1240850</v>
          </cell>
          <cell r="AD161">
            <v>849695</v>
          </cell>
          <cell r="AE161">
            <v>373688</v>
          </cell>
          <cell r="AF161">
            <v>15049</v>
          </cell>
          <cell r="AG161">
            <v>-128113</v>
          </cell>
          <cell r="AH161">
            <v>3149525</v>
          </cell>
          <cell r="AI161">
            <v>2787530</v>
          </cell>
          <cell r="AJ161">
            <v>2285768</v>
          </cell>
          <cell r="AK161">
            <v>1905670</v>
          </cell>
          <cell r="AL161">
            <v>1567956</v>
          </cell>
          <cell r="AM161">
            <v>1271178</v>
          </cell>
          <cell r="AN161">
            <v>983630.31999999983</v>
          </cell>
        </row>
        <row r="162">
          <cell r="G162">
            <v>6049</v>
          </cell>
          <cell r="H162" t="str">
            <v>YTD Target (Budget)</v>
          </cell>
          <cell r="I162">
            <v>502343</v>
          </cell>
          <cell r="J162">
            <v>3706297</v>
          </cell>
          <cell r="K162">
            <v>3592949</v>
          </cell>
          <cell r="L162">
            <v>3265905</v>
          </cell>
          <cell r="M162">
            <v>2270235</v>
          </cell>
          <cell r="N162">
            <v>1947448</v>
          </cell>
          <cell r="O162">
            <v>1638312</v>
          </cell>
          <cell r="P162">
            <v>1320373</v>
          </cell>
          <cell r="Q162">
            <v>1525202</v>
          </cell>
          <cell r="R162">
            <v>1210448</v>
          </cell>
          <cell r="S162">
            <v>796633</v>
          </cell>
          <cell r="T162">
            <v>478982</v>
          </cell>
          <cell r="U162">
            <v>285012</v>
          </cell>
          <cell r="V162">
            <v>3922794</v>
          </cell>
          <cell r="W162">
            <v>3599522</v>
          </cell>
          <cell r="X162">
            <v>3137326</v>
          </cell>
          <cell r="Y162">
            <v>2755674</v>
          </cell>
          <cell r="Z162">
            <v>2398351</v>
          </cell>
          <cell r="AA162">
            <v>2053338</v>
          </cell>
          <cell r="AB162">
            <v>1651565</v>
          </cell>
          <cell r="AC162">
            <v>1161746</v>
          </cell>
          <cell r="AD162">
            <v>844433</v>
          </cell>
          <cell r="AE162">
            <v>419420</v>
          </cell>
          <cell r="AF162">
            <v>47118</v>
          </cell>
          <cell r="AG162">
            <v>-163093</v>
          </cell>
          <cell r="AH162">
            <v>3263026</v>
          </cell>
          <cell r="AI162">
            <v>2824504</v>
          </cell>
          <cell r="AJ162">
            <v>2316023</v>
          </cell>
          <cell r="AK162">
            <v>1951359</v>
          </cell>
          <cell r="AL162">
            <v>1417421</v>
          </cell>
          <cell r="AM162">
            <v>1048595</v>
          </cell>
          <cell r="AN162">
            <v>728675.75999999978</v>
          </cell>
        </row>
        <row r="163">
          <cell r="G163">
            <v>6056</v>
          </cell>
          <cell r="H163" t="str">
            <v>Actual</v>
          </cell>
          <cell r="I163">
            <v>463978</v>
          </cell>
          <cell r="J163">
            <v>3323342</v>
          </cell>
          <cell r="K163">
            <v>-48090</v>
          </cell>
          <cell r="L163">
            <v>-263514</v>
          </cell>
          <cell r="M163">
            <v>-404916</v>
          </cell>
          <cell r="N163">
            <v>-278082</v>
          </cell>
          <cell r="O163">
            <v>-269519</v>
          </cell>
          <cell r="P163">
            <v>-349787</v>
          </cell>
          <cell r="Q163">
            <v>184144</v>
          </cell>
          <cell r="R163">
            <v>-425324</v>
          </cell>
          <cell r="S163">
            <v>-589946</v>
          </cell>
          <cell r="T163">
            <v>-334766</v>
          </cell>
          <cell r="U163">
            <v>612651</v>
          </cell>
          <cell r="V163">
            <v>3782561</v>
          </cell>
          <cell r="W163">
            <v>-319688</v>
          </cell>
          <cell r="X163">
            <v>-432684</v>
          </cell>
          <cell r="Y163">
            <v>-635790</v>
          </cell>
          <cell r="Z163">
            <v>-285309</v>
          </cell>
          <cell r="AA163">
            <v>-288926</v>
          </cell>
          <cell r="AB163">
            <v>-304591.15000000002</v>
          </cell>
          <cell r="AC163">
            <v>-831478</v>
          </cell>
          <cell r="AD163">
            <v>-368343</v>
          </cell>
          <cell r="AE163">
            <v>-394684</v>
          </cell>
          <cell r="AF163">
            <v>-244463</v>
          </cell>
          <cell r="AG163">
            <v>-30860</v>
          </cell>
          <cell r="AH163">
            <v>3364534</v>
          </cell>
          <cell r="AI163">
            <v>-279437</v>
          </cell>
          <cell r="AJ163">
            <v>-430128</v>
          </cell>
          <cell r="AK163">
            <v>-333717</v>
          </cell>
          <cell r="AL163">
            <v>-293923</v>
          </cell>
          <cell r="AM163">
            <v>-236884</v>
          </cell>
          <cell r="AN163">
            <v>-180760.8</v>
          </cell>
        </row>
        <row r="164">
          <cell r="G164">
            <v>6057</v>
          </cell>
          <cell r="H164" t="str">
            <v>Target (Budget)</v>
          </cell>
          <cell r="I164">
            <v>514798</v>
          </cell>
          <cell r="J164">
            <v>3286825</v>
          </cell>
          <cell r="K164">
            <v>-67110</v>
          </cell>
          <cell r="L164">
            <v>-307716</v>
          </cell>
          <cell r="M164">
            <v>-976342</v>
          </cell>
          <cell r="N164">
            <v>-303459</v>
          </cell>
          <cell r="O164">
            <v>-269313</v>
          </cell>
          <cell r="P164">
            <v>-298611</v>
          </cell>
          <cell r="Q164">
            <v>224157</v>
          </cell>
          <cell r="R164">
            <v>-295426</v>
          </cell>
          <cell r="S164">
            <v>-394487</v>
          </cell>
          <cell r="T164">
            <v>-298323</v>
          </cell>
          <cell r="U164">
            <v>310842</v>
          </cell>
          <cell r="V164">
            <v>3690086</v>
          </cell>
          <cell r="W164">
            <v>-345044</v>
          </cell>
          <cell r="X164">
            <v>-411711</v>
          </cell>
          <cell r="Y164">
            <v>-351167</v>
          </cell>
          <cell r="Z164">
            <v>-306838</v>
          </cell>
          <cell r="AA164">
            <v>-294528</v>
          </cell>
          <cell r="AB164">
            <v>-383289</v>
          </cell>
          <cell r="AC164">
            <v>-471083</v>
          </cell>
          <cell r="AD164">
            <v>-299828</v>
          </cell>
          <cell r="AE164">
            <v>-407529</v>
          </cell>
          <cell r="AF164">
            <v>-354017</v>
          </cell>
          <cell r="AG164">
            <v>-26742</v>
          </cell>
          <cell r="AH164">
            <v>3495479</v>
          </cell>
          <cell r="AI164">
            <v>-280194</v>
          </cell>
          <cell r="AJ164">
            <v>-428665</v>
          </cell>
          <cell r="AK164">
            <v>-275557</v>
          </cell>
          <cell r="AL164">
            <v>-445831</v>
          </cell>
          <cell r="AM164">
            <v>-281719</v>
          </cell>
          <cell r="AN164">
            <v>-234812.37</v>
          </cell>
        </row>
        <row r="165">
          <cell r="G165">
            <v>6060</v>
          </cell>
          <cell r="H165" t="str">
            <v>YTD Actual</v>
          </cell>
          <cell r="I165">
            <v>463978</v>
          </cell>
          <cell r="J165">
            <v>3787320</v>
          </cell>
          <cell r="K165">
            <v>3739230</v>
          </cell>
          <cell r="L165">
            <v>3475717</v>
          </cell>
          <cell r="M165">
            <v>3070801</v>
          </cell>
          <cell r="N165">
            <v>2792719</v>
          </cell>
          <cell r="O165">
            <v>2523200</v>
          </cell>
          <cell r="P165">
            <v>2173413</v>
          </cell>
          <cell r="Q165">
            <v>2357557</v>
          </cell>
          <cell r="R165">
            <v>1932233</v>
          </cell>
          <cell r="S165">
            <v>1342287</v>
          </cell>
          <cell r="T165">
            <v>1007521</v>
          </cell>
          <cell r="U165">
            <v>612651</v>
          </cell>
          <cell r="V165">
            <v>4395213</v>
          </cell>
          <cell r="W165">
            <v>4075524</v>
          </cell>
          <cell r="X165">
            <v>3642840</v>
          </cell>
          <cell r="Y165">
            <v>3007049</v>
          </cell>
          <cell r="Z165">
            <v>2721740</v>
          </cell>
          <cell r="AA165">
            <v>2432815</v>
          </cell>
          <cell r="AB165">
            <v>2128223.5699999998</v>
          </cell>
          <cell r="AC165">
            <v>1296745</v>
          </cell>
          <cell r="AD165">
            <v>928403</v>
          </cell>
          <cell r="AE165">
            <v>533718</v>
          </cell>
          <cell r="AF165">
            <v>289255</v>
          </cell>
          <cell r="AG165">
            <v>-30860</v>
          </cell>
          <cell r="AH165">
            <v>3291669</v>
          </cell>
          <cell r="AI165">
            <v>3012232</v>
          </cell>
          <cell r="AJ165">
            <v>2582104</v>
          </cell>
          <cell r="AK165">
            <v>2248387</v>
          </cell>
          <cell r="AL165">
            <v>1954464</v>
          </cell>
          <cell r="AM165">
            <v>1717580</v>
          </cell>
          <cell r="AN165">
            <v>1536818.98</v>
          </cell>
        </row>
        <row r="166">
          <cell r="G166">
            <v>6061</v>
          </cell>
          <cell r="H166" t="str">
            <v>YTD Target (Budget)</v>
          </cell>
          <cell r="I166">
            <v>514798</v>
          </cell>
          <cell r="J166">
            <v>3775954</v>
          </cell>
          <cell r="K166">
            <v>3692463</v>
          </cell>
          <cell r="L166">
            <v>3384747</v>
          </cell>
          <cell r="M166">
            <v>2408405</v>
          </cell>
          <cell r="N166">
            <v>2104946</v>
          </cell>
          <cell r="O166">
            <v>1835633</v>
          </cell>
          <cell r="P166">
            <v>1537022</v>
          </cell>
          <cell r="Q166">
            <v>1761179</v>
          </cell>
          <cell r="R166">
            <v>1465753</v>
          </cell>
          <cell r="S166">
            <v>1071266</v>
          </cell>
          <cell r="T166">
            <v>772943</v>
          </cell>
          <cell r="U166">
            <v>310842</v>
          </cell>
          <cell r="V166">
            <v>3979359</v>
          </cell>
          <cell r="W166">
            <v>3727572</v>
          </cell>
          <cell r="X166">
            <v>3315861</v>
          </cell>
          <cell r="Y166">
            <v>2964694</v>
          </cell>
          <cell r="Z166">
            <v>2657857</v>
          </cell>
          <cell r="AA166">
            <v>2363329</v>
          </cell>
          <cell r="AB166">
            <v>1980040</v>
          </cell>
          <cell r="AC166">
            <v>1508956</v>
          </cell>
          <cell r="AD166">
            <v>1209129</v>
          </cell>
          <cell r="AE166">
            <v>801600</v>
          </cell>
          <cell r="AF166">
            <v>447583</v>
          </cell>
          <cell r="AG166">
            <v>-26742</v>
          </cell>
          <cell r="AH166">
            <v>3468737</v>
          </cell>
          <cell r="AI166">
            <v>3151815</v>
          </cell>
          <cell r="AJ166">
            <v>2736441</v>
          </cell>
          <cell r="AK166">
            <v>2460884</v>
          </cell>
          <cell r="AL166">
            <v>2015053</v>
          </cell>
          <cell r="AM166">
            <v>1733333</v>
          </cell>
          <cell r="AN166">
            <v>1498521.0799999998</v>
          </cell>
        </row>
        <row r="167">
          <cell r="G167">
            <v>7000</v>
          </cell>
          <cell r="H167" t="str">
            <v>Actual</v>
          </cell>
          <cell r="I167">
            <v>3481491</v>
          </cell>
          <cell r="J167">
            <v>4260634</v>
          </cell>
          <cell r="K167">
            <v>3349684</v>
          </cell>
          <cell r="L167">
            <v>4024244</v>
          </cell>
          <cell r="M167">
            <v>4663766</v>
          </cell>
          <cell r="N167">
            <v>4209838</v>
          </cell>
          <cell r="O167">
            <v>3927765</v>
          </cell>
          <cell r="P167">
            <v>3746090</v>
          </cell>
          <cell r="Q167">
            <v>3998761</v>
          </cell>
          <cell r="R167">
            <v>4358367</v>
          </cell>
          <cell r="S167">
            <v>4947638</v>
          </cell>
          <cell r="T167">
            <v>4081451</v>
          </cell>
          <cell r="U167">
            <v>4063948</v>
          </cell>
          <cell r="V167">
            <v>4111457</v>
          </cell>
          <cell r="W167">
            <v>4145476</v>
          </cell>
          <cell r="X167">
            <v>5040133</v>
          </cell>
          <cell r="Y167">
            <v>4341659</v>
          </cell>
          <cell r="Z167">
            <v>4012705</v>
          </cell>
          <cell r="AA167">
            <v>4350301</v>
          </cell>
          <cell r="AB167">
            <v>3814353.6</v>
          </cell>
          <cell r="AC167">
            <v>4628650</v>
          </cell>
          <cell r="AD167">
            <v>4354689</v>
          </cell>
          <cell r="AE167">
            <v>5233188</v>
          </cell>
          <cell r="AF167">
            <v>3835353</v>
          </cell>
          <cell r="AG167">
            <v>3612112</v>
          </cell>
          <cell r="AH167">
            <v>4265702</v>
          </cell>
          <cell r="AI167">
            <v>4235081</v>
          </cell>
          <cell r="AJ167">
            <v>5367659</v>
          </cell>
          <cell r="AK167">
            <v>3749456</v>
          </cell>
          <cell r="AL167">
            <v>4417316</v>
          </cell>
          <cell r="AM167">
            <v>4215632</v>
          </cell>
          <cell r="AN167">
            <v>3877851.0999999996</v>
          </cell>
        </row>
        <row r="168">
          <cell r="G168">
            <v>7001</v>
          </cell>
          <cell r="H168" t="str">
            <v>Target (Budget)</v>
          </cell>
          <cell r="I168">
            <v>3581836</v>
          </cell>
          <cell r="J168">
            <v>3822335</v>
          </cell>
          <cell r="K168">
            <v>3847784</v>
          </cell>
          <cell r="L168">
            <v>3811169</v>
          </cell>
          <cell r="M168">
            <v>6343453</v>
          </cell>
          <cell r="N168">
            <v>4239425</v>
          </cell>
          <cell r="O168">
            <v>4823400</v>
          </cell>
          <cell r="P168">
            <v>4111547</v>
          </cell>
          <cell r="Q168">
            <v>4368306</v>
          </cell>
          <cell r="R168">
            <v>4414662</v>
          </cell>
          <cell r="S168">
            <v>5244596</v>
          </cell>
          <cell r="T168">
            <v>4342765</v>
          </cell>
          <cell r="U168">
            <v>4447993</v>
          </cell>
          <cell r="V168">
            <v>4457805</v>
          </cell>
          <cell r="W168">
            <v>4266345</v>
          </cell>
          <cell r="X168">
            <v>5500015</v>
          </cell>
          <cell r="Y168">
            <v>4221458</v>
          </cell>
          <cell r="Z168">
            <v>4535782</v>
          </cell>
          <cell r="AA168">
            <v>4360520</v>
          </cell>
          <cell r="AB168">
            <v>4501595</v>
          </cell>
          <cell r="AC168">
            <v>4557719</v>
          </cell>
          <cell r="AD168">
            <v>4396007</v>
          </cell>
          <cell r="AE168">
            <v>5357294</v>
          </cell>
          <cell r="AF168">
            <v>4591897</v>
          </cell>
          <cell r="AG168">
            <v>4087677</v>
          </cell>
          <cell r="AH168">
            <v>4026432</v>
          </cell>
          <cell r="AI168">
            <v>4490217</v>
          </cell>
          <cell r="AJ168">
            <v>4942239</v>
          </cell>
          <cell r="AK168">
            <v>3972133</v>
          </cell>
          <cell r="AL168">
            <v>4424644</v>
          </cell>
          <cell r="AM168">
            <v>4003634</v>
          </cell>
          <cell r="AN168">
            <v>3984096.9299999992</v>
          </cell>
        </row>
        <row r="169">
          <cell r="G169">
            <v>7004</v>
          </cell>
          <cell r="H169" t="str">
            <v>YTD Actual</v>
          </cell>
          <cell r="I169">
            <v>3481491</v>
          </cell>
          <cell r="J169">
            <v>7790485</v>
          </cell>
          <cell r="K169">
            <v>11140172</v>
          </cell>
          <cell r="L169">
            <v>13975910</v>
          </cell>
          <cell r="M169">
            <v>20232215</v>
          </cell>
          <cell r="N169">
            <v>25376283</v>
          </cell>
          <cell r="O169">
            <v>29483778</v>
          </cell>
          <cell r="P169">
            <v>30228479</v>
          </cell>
          <cell r="Q169">
            <v>37647123</v>
          </cell>
          <cell r="R169">
            <v>42005486</v>
          </cell>
          <cell r="S169">
            <v>46953123</v>
          </cell>
          <cell r="T169">
            <v>51034579</v>
          </cell>
          <cell r="U169">
            <v>4063948</v>
          </cell>
          <cell r="V169">
            <v>8175404</v>
          </cell>
          <cell r="W169">
            <v>12320881</v>
          </cell>
          <cell r="X169">
            <v>17361013</v>
          </cell>
          <cell r="Y169">
            <v>22136675</v>
          </cell>
          <cell r="Z169">
            <v>25715774</v>
          </cell>
          <cell r="AA169">
            <v>30066075</v>
          </cell>
          <cell r="AB169">
            <v>33884933.020000003</v>
          </cell>
          <cell r="AC169">
            <v>38513572</v>
          </cell>
          <cell r="AD169">
            <v>36561944</v>
          </cell>
          <cell r="AE169">
            <v>48101749</v>
          </cell>
          <cell r="AF169">
            <v>51937113</v>
          </cell>
          <cell r="AG169">
            <v>3612112</v>
          </cell>
          <cell r="AH169">
            <v>7919821</v>
          </cell>
          <cell r="AI169">
            <v>12154901</v>
          </cell>
          <cell r="AJ169">
            <v>17522561</v>
          </cell>
          <cell r="AK169">
            <v>21272017</v>
          </cell>
          <cell r="AL169">
            <v>25689332</v>
          </cell>
          <cell r="AM169">
            <v>29904963</v>
          </cell>
          <cell r="AN169">
            <v>33782814.159999996</v>
          </cell>
        </row>
        <row r="170">
          <cell r="G170">
            <v>7005</v>
          </cell>
          <cell r="H170" t="str">
            <v>YTD Target (Budget)</v>
          </cell>
          <cell r="I170">
            <v>3581836</v>
          </cell>
          <cell r="J170">
            <v>7367740</v>
          </cell>
          <cell r="K170">
            <v>11238526</v>
          </cell>
          <cell r="L170">
            <v>13561313</v>
          </cell>
          <cell r="M170">
            <v>21571131</v>
          </cell>
          <cell r="N170">
            <v>27011075</v>
          </cell>
          <cell r="O170">
            <v>31834477</v>
          </cell>
          <cell r="P170">
            <v>32833726</v>
          </cell>
          <cell r="Q170">
            <v>40735906</v>
          </cell>
          <cell r="R170">
            <v>45150569</v>
          </cell>
          <cell r="S170">
            <v>50395164</v>
          </cell>
          <cell r="T170">
            <v>54737930</v>
          </cell>
          <cell r="U170">
            <v>4447993</v>
          </cell>
          <cell r="V170">
            <v>9169813</v>
          </cell>
          <cell r="W170">
            <v>12880449</v>
          </cell>
          <cell r="X170">
            <v>18380463</v>
          </cell>
          <cell r="Y170">
            <v>22884195</v>
          </cell>
          <cell r="Z170">
            <v>27389015</v>
          </cell>
          <cell r="AA170">
            <v>31749535</v>
          </cell>
          <cell r="AB170">
            <v>36251129</v>
          </cell>
          <cell r="AC170">
            <v>40808847</v>
          </cell>
          <cell r="AD170">
            <v>38497189</v>
          </cell>
          <cell r="AE170">
            <v>50562148</v>
          </cell>
          <cell r="AF170">
            <v>55154044</v>
          </cell>
          <cell r="AG170">
            <v>4087677</v>
          </cell>
          <cell r="AH170">
            <v>8191695</v>
          </cell>
          <cell r="AI170">
            <v>12608627</v>
          </cell>
          <cell r="AJ170">
            <v>17393028</v>
          </cell>
          <cell r="AK170">
            <v>21410934</v>
          </cell>
          <cell r="AL170">
            <v>25835577</v>
          </cell>
          <cell r="AM170">
            <v>29839212</v>
          </cell>
          <cell r="AN170">
            <v>33823308.539999999</v>
          </cell>
        </row>
        <row r="171">
          <cell r="G171">
            <v>10407</v>
          </cell>
          <cell r="H171" t="str">
            <v>Empl_Benefits</v>
          </cell>
          <cell r="I171">
            <v>656710</v>
          </cell>
          <cell r="J171">
            <v>685689</v>
          </cell>
          <cell r="K171">
            <v>705041</v>
          </cell>
          <cell r="L171">
            <v>703167</v>
          </cell>
          <cell r="M171">
            <v>1008028</v>
          </cell>
          <cell r="N171">
            <v>706281</v>
          </cell>
          <cell r="O171">
            <v>701071</v>
          </cell>
          <cell r="P171">
            <v>704105</v>
          </cell>
          <cell r="Q171">
            <v>694953</v>
          </cell>
          <cell r="R171">
            <v>691894</v>
          </cell>
          <cell r="S171">
            <v>996246</v>
          </cell>
          <cell r="T171">
            <v>687123</v>
          </cell>
          <cell r="U171">
            <v>688274</v>
          </cell>
          <cell r="V171">
            <v>678048</v>
          </cell>
          <cell r="W171">
            <v>708199</v>
          </cell>
          <cell r="X171">
            <v>1008166</v>
          </cell>
          <cell r="Y171">
            <v>705809</v>
          </cell>
          <cell r="Z171">
            <v>749439</v>
          </cell>
          <cell r="AA171">
            <v>706091</v>
          </cell>
          <cell r="AB171">
            <v>708462.32</v>
          </cell>
          <cell r="AC171">
            <v>718796</v>
          </cell>
          <cell r="AD171">
            <v>710570</v>
          </cell>
          <cell r="AE171">
            <v>1019616</v>
          </cell>
          <cell r="AF171">
            <v>718876</v>
          </cell>
          <cell r="AG171">
            <v>711613</v>
          </cell>
          <cell r="AH171">
            <v>708067</v>
          </cell>
          <cell r="AI171">
            <v>760964</v>
          </cell>
          <cell r="AJ171">
            <v>1085262</v>
          </cell>
          <cell r="AK171">
            <v>762792</v>
          </cell>
          <cell r="AL171">
            <v>765396</v>
          </cell>
          <cell r="AM171">
            <v>749698</v>
          </cell>
          <cell r="AN171">
            <v>749061.35000000021</v>
          </cell>
        </row>
        <row r="172">
          <cell r="G172">
            <v>10408</v>
          </cell>
          <cell r="H172" t="str">
            <v>Total Personnel</v>
          </cell>
          <cell r="I172">
            <v>2224017</v>
          </cell>
          <cell r="J172">
            <v>2359381</v>
          </cell>
          <cell r="K172">
            <v>2411902</v>
          </cell>
          <cell r="L172">
            <v>2367540</v>
          </cell>
          <cell r="M172">
            <v>3377311</v>
          </cell>
          <cell r="N172">
            <v>2378809</v>
          </cell>
          <cell r="O172">
            <v>2396379</v>
          </cell>
          <cell r="P172">
            <v>2401354</v>
          </cell>
          <cell r="Q172">
            <v>2354343</v>
          </cell>
          <cell r="R172">
            <v>2320476</v>
          </cell>
          <cell r="S172">
            <v>3333556</v>
          </cell>
          <cell r="T172">
            <v>2348928</v>
          </cell>
          <cell r="U172">
            <v>2312182</v>
          </cell>
          <cell r="V172">
            <v>2281774</v>
          </cell>
          <cell r="W172">
            <v>2368928</v>
          </cell>
          <cell r="X172">
            <v>3310190</v>
          </cell>
          <cell r="Y172">
            <v>2351799</v>
          </cell>
          <cell r="Z172">
            <v>2490775</v>
          </cell>
          <cell r="AA172">
            <v>2350987</v>
          </cell>
          <cell r="AB172">
            <v>1640839.82</v>
          </cell>
          <cell r="AC172">
            <v>2398742</v>
          </cell>
          <cell r="AD172">
            <v>2329892</v>
          </cell>
          <cell r="AE172">
            <v>3345163</v>
          </cell>
          <cell r="AF172">
            <v>2377943</v>
          </cell>
          <cell r="AG172">
            <v>2349367</v>
          </cell>
          <cell r="AH172">
            <v>2358938</v>
          </cell>
          <cell r="AI172">
            <v>2428799</v>
          </cell>
          <cell r="AJ172">
            <v>3435262</v>
          </cell>
          <cell r="AK172">
            <v>2429578</v>
          </cell>
          <cell r="AL172">
            <v>2437989</v>
          </cell>
          <cell r="AM172">
            <v>2366904</v>
          </cell>
          <cell r="AN172">
            <v>2393462.3299999996</v>
          </cell>
        </row>
        <row r="173">
          <cell r="G173">
            <v>10409</v>
          </cell>
          <cell r="H173" t="str">
            <v>Target Empl_Benefits</v>
          </cell>
          <cell r="I173">
            <v>719179</v>
          </cell>
          <cell r="J173">
            <v>723196</v>
          </cell>
          <cell r="K173">
            <v>739176</v>
          </cell>
          <cell r="L173">
            <v>738978</v>
          </cell>
          <cell r="M173">
            <v>1054662</v>
          </cell>
          <cell r="N173">
            <v>742594</v>
          </cell>
          <cell r="O173">
            <v>745323</v>
          </cell>
          <cell r="P173">
            <v>743663</v>
          </cell>
          <cell r="Q173">
            <v>742794</v>
          </cell>
          <cell r="R173">
            <v>745803</v>
          </cell>
          <cell r="S173">
            <v>1055836</v>
          </cell>
          <cell r="T173">
            <v>741659</v>
          </cell>
          <cell r="U173">
            <v>683374</v>
          </cell>
          <cell r="V173">
            <v>924746</v>
          </cell>
          <cell r="W173">
            <v>710491</v>
          </cell>
          <cell r="X173">
            <v>1024854</v>
          </cell>
          <cell r="Y173">
            <v>737292</v>
          </cell>
          <cell r="Z173">
            <v>734132</v>
          </cell>
          <cell r="AA173">
            <v>732955</v>
          </cell>
          <cell r="AB173">
            <v>731366</v>
          </cell>
          <cell r="AC173">
            <v>730256</v>
          </cell>
          <cell r="AD173">
            <v>729664</v>
          </cell>
          <cell r="AE173">
            <v>1031741</v>
          </cell>
          <cell r="AF173">
            <v>736311</v>
          </cell>
          <cell r="AG173">
            <v>678446</v>
          </cell>
          <cell r="AH173">
            <v>682308</v>
          </cell>
          <cell r="AI173">
            <v>748499</v>
          </cell>
          <cell r="AJ173">
            <v>1057038</v>
          </cell>
          <cell r="AK173">
            <v>745728</v>
          </cell>
          <cell r="AL173">
            <v>746062</v>
          </cell>
          <cell r="AM173">
            <v>745293</v>
          </cell>
          <cell r="AN173">
            <v>747244.90999999968</v>
          </cell>
        </row>
        <row r="174">
          <cell r="G174">
            <v>10410</v>
          </cell>
          <cell r="H174" t="str">
            <v>Target Total Personnel</v>
          </cell>
          <cell r="I174">
            <v>2379591</v>
          </cell>
          <cell r="J174">
            <v>2412521</v>
          </cell>
          <cell r="K174">
            <v>2468578</v>
          </cell>
          <cell r="L174">
            <v>2466534</v>
          </cell>
          <cell r="M174">
            <v>3477233</v>
          </cell>
          <cell r="N174">
            <v>2469841</v>
          </cell>
          <cell r="O174">
            <v>2484057</v>
          </cell>
          <cell r="P174">
            <v>2474314</v>
          </cell>
          <cell r="Q174">
            <v>2463345</v>
          </cell>
          <cell r="R174">
            <v>2477679</v>
          </cell>
          <cell r="S174">
            <v>3470546</v>
          </cell>
          <cell r="T174">
            <v>2462504</v>
          </cell>
          <cell r="U174">
            <v>2310746</v>
          </cell>
          <cell r="V174">
            <v>2555492</v>
          </cell>
          <cell r="W174">
            <v>2348671</v>
          </cell>
          <cell r="X174">
            <v>3328276</v>
          </cell>
          <cell r="Y174">
            <v>2448997</v>
          </cell>
          <cell r="Z174">
            <v>2427989</v>
          </cell>
          <cell r="AA174">
            <v>2422608</v>
          </cell>
          <cell r="AB174">
            <v>2407254</v>
          </cell>
          <cell r="AC174">
            <v>2399201</v>
          </cell>
          <cell r="AD174">
            <v>2392233</v>
          </cell>
          <cell r="AE174">
            <v>3332981</v>
          </cell>
          <cell r="AF174">
            <v>2430553</v>
          </cell>
          <cell r="AG174">
            <v>2247696</v>
          </cell>
          <cell r="AH174">
            <v>2258784</v>
          </cell>
          <cell r="AI174">
            <v>2397150</v>
          </cell>
          <cell r="AJ174">
            <v>3297025</v>
          </cell>
          <cell r="AK174">
            <v>2368106</v>
          </cell>
          <cell r="AL174">
            <v>2364813</v>
          </cell>
          <cell r="AM174">
            <v>2366497</v>
          </cell>
          <cell r="AN174">
            <v>2379358.4399999995</v>
          </cell>
        </row>
        <row r="175">
          <cell r="G175">
            <v>10411</v>
          </cell>
          <cell r="H175" t="str">
            <v>YTD Empl_Benefits</v>
          </cell>
          <cell r="I175">
            <v>656710</v>
          </cell>
          <cell r="J175">
            <v>1358649</v>
          </cell>
          <cell r="K175">
            <v>2063690</v>
          </cell>
          <cell r="L175">
            <v>2766856</v>
          </cell>
          <cell r="M175">
            <v>3774883</v>
          </cell>
          <cell r="N175">
            <v>4484494</v>
          </cell>
          <cell r="O175">
            <v>5185565</v>
          </cell>
          <cell r="P175">
            <v>5889669</v>
          </cell>
          <cell r="Q175">
            <v>6584622</v>
          </cell>
          <cell r="R175">
            <v>7276515</v>
          </cell>
          <cell r="S175">
            <v>8272762</v>
          </cell>
          <cell r="T175">
            <v>8959892</v>
          </cell>
          <cell r="U175">
            <v>688274</v>
          </cell>
          <cell r="V175">
            <v>1366322</v>
          </cell>
          <cell r="W175">
            <v>2074520</v>
          </cell>
          <cell r="X175">
            <v>3082687</v>
          </cell>
          <cell r="Y175">
            <v>3789386</v>
          </cell>
          <cell r="Z175">
            <v>4538826</v>
          </cell>
          <cell r="AA175">
            <v>5244919</v>
          </cell>
          <cell r="AB175">
            <v>5954681.1299999999</v>
          </cell>
          <cell r="AC175">
            <v>6673476</v>
          </cell>
          <cell r="AD175">
            <v>7383615</v>
          </cell>
          <cell r="AE175">
            <v>8403663</v>
          </cell>
          <cell r="AF175">
            <v>9122540</v>
          </cell>
          <cell r="AG175">
            <v>711613</v>
          </cell>
          <cell r="AH175">
            <v>1423716</v>
          </cell>
          <cell r="AI175">
            <v>2184678</v>
          </cell>
          <cell r="AJ175">
            <v>3269940</v>
          </cell>
          <cell r="AK175">
            <v>4032732</v>
          </cell>
          <cell r="AL175">
            <v>4798129</v>
          </cell>
          <cell r="AM175">
            <v>5547827</v>
          </cell>
          <cell r="AN175">
            <v>6296888.6899999995</v>
          </cell>
        </row>
        <row r="176">
          <cell r="G176">
            <v>10412</v>
          </cell>
          <cell r="H176" t="str">
            <v>YTD Total Personnel</v>
          </cell>
          <cell r="I176">
            <v>2224017</v>
          </cell>
          <cell r="J176">
            <v>4647232</v>
          </cell>
          <cell r="K176">
            <v>7059135</v>
          </cell>
          <cell r="L176">
            <v>9426674</v>
          </cell>
          <cell r="M176">
            <v>12803986</v>
          </cell>
          <cell r="N176">
            <v>15193648</v>
          </cell>
          <cell r="O176">
            <v>17590027</v>
          </cell>
          <cell r="P176">
            <v>19991381</v>
          </cell>
          <cell r="Q176">
            <v>22345726</v>
          </cell>
          <cell r="R176">
            <v>24665751</v>
          </cell>
          <cell r="S176">
            <v>27999757</v>
          </cell>
          <cell r="T176">
            <v>30348691</v>
          </cell>
          <cell r="U176">
            <v>2312183</v>
          </cell>
          <cell r="V176">
            <v>4593958</v>
          </cell>
          <cell r="W176">
            <v>6962885</v>
          </cell>
          <cell r="X176">
            <v>10273075</v>
          </cell>
          <cell r="Y176">
            <v>12624874</v>
          </cell>
          <cell r="Z176">
            <v>15115649</v>
          </cell>
          <cell r="AA176">
            <v>17466634</v>
          </cell>
          <cell r="AB176">
            <v>13865748.02</v>
          </cell>
          <cell r="AC176">
            <v>22219172</v>
          </cell>
          <cell r="AD176">
            <v>24549062</v>
          </cell>
          <cell r="AE176">
            <v>27894227</v>
          </cell>
          <cell r="AF176">
            <v>30272170</v>
          </cell>
          <cell r="AG176">
            <v>2349367</v>
          </cell>
          <cell r="AH176">
            <v>4721492</v>
          </cell>
          <cell r="AI176">
            <v>7150293</v>
          </cell>
          <cell r="AJ176">
            <v>10585554</v>
          </cell>
          <cell r="AK176">
            <v>13015132</v>
          </cell>
          <cell r="AL176">
            <v>15453121</v>
          </cell>
          <cell r="AM176">
            <v>17820025</v>
          </cell>
          <cell r="AN176">
            <v>20213487.310000002</v>
          </cell>
        </row>
        <row r="177">
          <cell r="G177">
            <v>10413</v>
          </cell>
          <cell r="H177" t="str">
            <v>YTD Target Empl_Benefits</v>
          </cell>
          <cell r="I177">
            <v>719179</v>
          </cell>
          <cell r="J177">
            <v>1446396</v>
          </cell>
          <cell r="K177">
            <v>2185676</v>
          </cell>
          <cell r="L177">
            <v>2924737</v>
          </cell>
          <cell r="M177">
            <v>3979399</v>
          </cell>
          <cell r="N177">
            <v>4725344</v>
          </cell>
          <cell r="O177">
            <v>5470720</v>
          </cell>
          <cell r="P177">
            <v>6214381</v>
          </cell>
          <cell r="Q177">
            <v>6957175</v>
          </cell>
          <cell r="R177">
            <v>7702976</v>
          </cell>
          <cell r="S177">
            <v>8758812</v>
          </cell>
          <cell r="T177">
            <v>9500471</v>
          </cell>
          <cell r="U177">
            <v>683374</v>
          </cell>
          <cell r="V177">
            <v>1862480</v>
          </cell>
          <cell r="W177">
            <v>2077096</v>
          </cell>
          <cell r="X177">
            <v>3101950</v>
          </cell>
          <cell r="Y177">
            <v>3838827</v>
          </cell>
          <cell r="Z177">
            <v>4572959</v>
          </cell>
          <cell r="AA177">
            <v>5305915</v>
          </cell>
          <cell r="AB177">
            <v>6037270</v>
          </cell>
          <cell r="AC177">
            <v>6767527</v>
          </cell>
          <cell r="AD177">
            <v>7497192</v>
          </cell>
          <cell r="AE177">
            <v>8528933</v>
          </cell>
          <cell r="AF177">
            <v>9265245</v>
          </cell>
          <cell r="AG177">
            <v>678446</v>
          </cell>
          <cell r="AH177">
            <v>1361678</v>
          </cell>
          <cell r="AI177">
            <v>2110178</v>
          </cell>
          <cell r="AJ177">
            <v>3167214</v>
          </cell>
          <cell r="AK177">
            <v>3912940</v>
          </cell>
          <cell r="AL177">
            <v>4659002</v>
          </cell>
          <cell r="AM177">
            <v>5404293</v>
          </cell>
          <cell r="AN177">
            <v>6151538.4000000004</v>
          </cell>
        </row>
        <row r="178">
          <cell r="G178">
            <v>10414</v>
          </cell>
          <cell r="H178" t="str">
            <v>YTD Target Total Personnel</v>
          </cell>
          <cell r="I178">
            <v>2379591</v>
          </cell>
          <cell r="J178">
            <v>4820106</v>
          </cell>
          <cell r="K178">
            <v>7309827</v>
          </cell>
          <cell r="L178">
            <v>9776413</v>
          </cell>
          <cell r="M178">
            <v>13253646</v>
          </cell>
          <cell r="N178">
            <v>15734174</v>
          </cell>
          <cell r="O178">
            <v>18218230</v>
          </cell>
          <cell r="P178">
            <v>74262541</v>
          </cell>
          <cell r="Q178">
            <v>23155887</v>
          </cell>
          <cell r="R178">
            <v>25633564</v>
          </cell>
          <cell r="S178">
            <v>29104110</v>
          </cell>
          <cell r="T178">
            <v>31566614</v>
          </cell>
          <cell r="U178">
            <v>2310746</v>
          </cell>
          <cell r="V178">
            <v>5130256</v>
          </cell>
          <cell r="W178">
            <v>6984703</v>
          </cell>
          <cell r="X178">
            <v>10312978</v>
          </cell>
          <cell r="Y178">
            <v>12759124</v>
          </cell>
          <cell r="Z178">
            <v>15203057</v>
          </cell>
          <cell r="AA178">
            <v>17625664</v>
          </cell>
          <cell r="AB178">
            <v>20032917</v>
          </cell>
          <cell r="AC178">
            <v>22432118</v>
          </cell>
          <cell r="AD178">
            <v>24824348</v>
          </cell>
          <cell r="AE178">
            <v>28157332</v>
          </cell>
          <cell r="AF178">
            <v>30587884</v>
          </cell>
          <cell r="AG178">
            <v>2247696</v>
          </cell>
          <cell r="AH178">
            <v>4507939</v>
          </cell>
          <cell r="AI178">
            <v>6898187</v>
          </cell>
          <cell r="AJ178">
            <v>10195212</v>
          </cell>
          <cell r="AK178">
            <v>12563319</v>
          </cell>
          <cell r="AL178">
            <v>14928135</v>
          </cell>
          <cell r="AM178">
            <v>17294630</v>
          </cell>
          <cell r="AN178">
            <v>19673988.359999999</v>
          </cell>
        </row>
        <row r="179">
          <cell r="G179">
            <v>7024</v>
          </cell>
          <cell r="H179" t="str">
            <v>Actual</v>
          </cell>
          <cell r="I179">
            <v>0</v>
          </cell>
          <cell r="J179">
            <v>0</v>
          </cell>
          <cell r="K179">
            <v>0</v>
          </cell>
          <cell r="L179">
            <v>0</v>
          </cell>
          <cell r="M179">
            <v>0</v>
          </cell>
          <cell r="N179">
            <v>11763</v>
          </cell>
          <cell r="O179">
            <v>46913</v>
          </cell>
          <cell r="P179">
            <v>89960</v>
          </cell>
          <cell r="Q179">
            <v>43190</v>
          </cell>
          <cell r="R179">
            <v>0</v>
          </cell>
          <cell r="S179">
            <v>0</v>
          </cell>
          <cell r="T179">
            <v>0</v>
          </cell>
          <cell r="U179">
            <v>33468</v>
          </cell>
          <cell r="V179">
            <v>33081</v>
          </cell>
          <cell r="W179">
            <v>60243</v>
          </cell>
          <cell r="X179">
            <v>75516</v>
          </cell>
          <cell r="Y179">
            <v>52668</v>
          </cell>
          <cell r="Z179">
            <v>55313</v>
          </cell>
          <cell r="AA179">
            <v>52967</v>
          </cell>
          <cell r="AB179">
            <v>62864.12</v>
          </cell>
          <cell r="AC179">
            <v>75388</v>
          </cell>
          <cell r="AD179">
            <v>23743</v>
          </cell>
          <cell r="AE179">
            <v>70898</v>
          </cell>
          <cell r="AF179">
            <v>36943</v>
          </cell>
          <cell r="AG179">
            <v>30753</v>
          </cell>
          <cell r="AH179">
            <v>28298</v>
          </cell>
          <cell r="AI179">
            <v>42079</v>
          </cell>
          <cell r="AJ179">
            <v>62772</v>
          </cell>
          <cell r="AK179">
            <v>39976</v>
          </cell>
          <cell r="AL179">
            <v>38558</v>
          </cell>
          <cell r="AM179">
            <v>26256</v>
          </cell>
          <cell r="AN179">
            <v>38127</v>
          </cell>
        </row>
        <row r="180">
          <cell r="G180">
            <v>7025</v>
          </cell>
          <cell r="H180" t="str">
            <v>Target (Budget)</v>
          </cell>
          <cell r="I180">
            <v>0</v>
          </cell>
          <cell r="J180">
            <v>0</v>
          </cell>
          <cell r="K180">
            <v>0</v>
          </cell>
          <cell r="L180">
            <v>0</v>
          </cell>
          <cell r="M180">
            <v>0</v>
          </cell>
          <cell r="N180">
            <v>15118</v>
          </cell>
          <cell r="O180">
            <v>47471</v>
          </cell>
          <cell r="P180">
            <v>38095</v>
          </cell>
          <cell r="Q180">
            <v>27959</v>
          </cell>
          <cell r="R180">
            <v>0</v>
          </cell>
          <cell r="S180">
            <v>0</v>
          </cell>
          <cell r="T180">
            <v>0</v>
          </cell>
          <cell r="U180">
            <v>25988</v>
          </cell>
          <cell r="V180">
            <v>40283</v>
          </cell>
          <cell r="W180">
            <v>49004</v>
          </cell>
          <cell r="X180">
            <v>41199</v>
          </cell>
          <cell r="Y180">
            <v>65446</v>
          </cell>
          <cell r="Z180">
            <v>47390</v>
          </cell>
          <cell r="AA180">
            <v>29880</v>
          </cell>
          <cell r="AB180">
            <v>31835</v>
          </cell>
          <cell r="AC180">
            <v>25035</v>
          </cell>
          <cell r="AD180">
            <v>21420</v>
          </cell>
          <cell r="AE180">
            <v>18885</v>
          </cell>
          <cell r="AF180">
            <v>29294</v>
          </cell>
          <cell r="AG180">
            <v>30321</v>
          </cell>
          <cell r="AH180">
            <v>41855</v>
          </cell>
          <cell r="AI180">
            <v>49821</v>
          </cell>
          <cell r="AJ180">
            <v>49384</v>
          </cell>
          <cell r="AK180">
            <v>52470</v>
          </cell>
          <cell r="AL180">
            <v>43895</v>
          </cell>
          <cell r="AM180">
            <v>51294</v>
          </cell>
          <cell r="AN180">
            <v>62202.729999999996</v>
          </cell>
        </row>
        <row r="181">
          <cell r="G181">
            <v>7028</v>
          </cell>
          <cell r="H181" t="str">
            <v>YTD Actual</v>
          </cell>
          <cell r="I181">
            <v>0</v>
          </cell>
          <cell r="J181">
            <v>0</v>
          </cell>
          <cell r="K181">
            <v>0</v>
          </cell>
          <cell r="L181">
            <v>0</v>
          </cell>
          <cell r="M181">
            <v>0</v>
          </cell>
          <cell r="N181">
            <v>119602</v>
          </cell>
          <cell r="O181">
            <v>331893</v>
          </cell>
          <cell r="P181">
            <v>421852</v>
          </cell>
          <cell r="Q181">
            <v>465042</v>
          </cell>
          <cell r="R181">
            <v>0</v>
          </cell>
          <cell r="S181">
            <v>0</v>
          </cell>
          <cell r="T181">
            <v>0</v>
          </cell>
          <cell r="U181">
            <v>33468</v>
          </cell>
          <cell r="V181">
            <v>66551</v>
          </cell>
          <cell r="W181">
            <v>126794</v>
          </cell>
          <cell r="X181">
            <v>202309</v>
          </cell>
          <cell r="Y181">
            <v>254977</v>
          </cell>
          <cell r="Z181">
            <v>310291</v>
          </cell>
          <cell r="AA181">
            <v>363256</v>
          </cell>
          <cell r="AB181">
            <v>426489.98</v>
          </cell>
          <cell r="AC181">
            <v>501680</v>
          </cell>
          <cell r="AD181">
            <v>525423</v>
          </cell>
          <cell r="AE181">
            <v>596321</v>
          </cell>
          <cell r="AF181">
            <v>633265</v>
          </cell>
          <cell r="AG181">
            <v>30753</v>
          </cell>
          <cell r="AH181">
            <v>59517</v>
          </cell>
          <cell r="AI181">
            <v>101596</v>
          </cell>
          <cell r="AJ181">
            <v>164368</v>
          </cell>
          <cell r="AK181">
            <v>204343</v>
          </cell>
          <cell r="AL181">
            <v>242900</v>
          </cell>
          <cell r="AM181">
            <v>269156</v>
          </cell>
          <cell r="AN181">
            <v>307283</v>
          </cell>
        </row>
        <row r="182">
          <cell r="G182">
            <v>7029</v>
          </cell>
          <cell r="H182" t="str">
            <v>YTD Target (Budget)</v>
          </cell>
          <cell r="I182">
            <v>0</v>
          </cell>
          <cell r="J182">
            <v>0</v>
          </cell>
          <cell r="K182">
            <v>0</v>
          </cell>
          <cell r="L182">
            <v>0</v>
          </cell>
          <cell r="M182">
            <v>0</v>
          </cell>
          <cell r="N182">
            <v>111698</v>
          </cell>
          <cell r="O182">
            <v>280610</v>
          </cell>
          <cell r="P182">
            <v>318705</v>
          </cell>
          <cell r="Q182">
            <v>346664</v>
          </cell>
          <cell r="R182">
            <v>0</v>
          </cell>
          <cell r="S182">
            <v>0</v>
          </cell>
          <cell r="T182">
            <v>0</v>
          </cell>
          <cell r="U182">
            <v>25988</v>
          </cell>
          <cell r="V182">
            <v>69271</v>
          </cell>
          <cell r="W182">
            <v>115275</v>
          </cell>
          <cell r="X182">
            <v>156472</v>
          </cell>
          <cell r="Y182">
            <v>221918</v>
          </cell>
          <cell r="Z182">
            <v>269308</v>
          </cell>
          <cell r="AA182">
            <v>299189</v>
          </cell>
          <cell r="AB182">
            <v>331024</v>
          </cell>
          <cell r="AC182">
            <v>356059</v>
          </cell>
          <cell r="AD182">
            <v>377479</v>
          </cell>
          <cell r="AE182">
            <v>396364</v>
          </cell>
          <cell r="AF182">
            <v>425658</v>
          </cell>
          <cell r="AG182">
            <v>30321</v>
          </cell>
          <cell r="AH182">
            <v>72176</v>
          </cell>
          <cell r="AI182">
            <v>121997</v>
          </cell>
          <cell r="AJ182">
            <v>171381</v>
          </cell>
          <cell r="AK182">
            <v>223851</v>
          </cell>
          <cell r="AL182">
            <v>267746</v>
          </cell>
          <cell r="AM182">
            <v>319040</v>
          </cell>
          <cell r="AN182">
            <v>381242.66</v>
          </cell>
        </row>
        <row r="183">
          <cell r="G183">
            <v>7036</v>
          </cell>
          <cell r="H183" t="str">
            <v>Actual</v>
          </cell>
          <cell r="I183">
            <v>-60057</v>
          </cell>
          <cell r="J183">
            <v>2043610</v>
          </cell>
          <cell r="K183">
            <v>1292477</v>
          </cell>
          <cell r="L183">
            <v>-4425244</v>
          </cell>
          <cell r="M183">
            <v>-4173766</v>
          </cell>
          <cell r="N183">
            <v>-4209838</v>
          </cell>
          <cell r="O183">
            <v>-3862140</v>
          </cell>
          <cell r="P183">
            <v>220416</v>
          </cell>
          <cell r="Q183">
            <v>35384381</v>
          </cell>
          <cell r="R183">
            <v>-4358364</v>
          </cell>
          <cell r="S183">
            <v>-4947638</v>
          </cell>
          <cell r="T183">
            <v>2329938</v>
          </cell>
          <cell r="U183">
            <v>4341238</v>
          </cell>
          <cell r="V183">
            <v>41294449</v>
          </cell>
          <cell r="W183">
            <v>-3718861</v>
          </cell>
          <cell r="X183">
            <v>-5000558</v>
          </cell>
          <cell r="Y183">
            <v>-4341660</v>
          </cell>
          <cell r="Z183">
            <v>1273910</v>
          </cell>
          <cell r="AA183">
            <v>-4350301</v>
          </cell>
          <cell r="AB183">
            <v>-3788353.6</v>
          </cell>
          <cell r="AC183">
            <v>-3561877</v>
          </cell>
          <cell r="AD183">
            <v>-4354989</v>
          </cell>
          <cell r="AE183">
            <v>-2841830</v>
          </cell>
          <cell r="AF183">
            <v>-3014320</v>
          </cell>
          <cell r="AG183">
            <v>-1834204</v>
          </cell>
          <cell r="AH183">
            <v>39487334</v>
          </cell>
          <cell r="AI183">
            <v>-4158096</v>
          </cell>
          <cell r="AJ183">
            <v>-5367659</v>
          </cell>
          <cell r="AK183">
            <v>-3749456</v>
          </cell>
          <cell r="AL183">
            <v>117684</v>
          </cell>
          <cell r="AM183">
            <v>-4215632</v>
          </cell>
          <cell r="AN183">
            <v>-3052107.42</v>
          </cell>
        </row>
        <row r="184">
          <cell r="G184">
            <v>7037</v>
          </cell>
          <cell r="H184" t="str">
            <v>Target (Budget)</v>
          </cell>
          <cell r="I184">
            <v>-160403</v>
          </cell>
          <cell r="J184">
            <v>2481912</v>
          </cell>
          <cell r="K184">
            <v>794379</v>
          </cell>
          <cell r="L184">
            <v>-4228204</v>
          </cell>
          <cell r="M184">
            <v>-5853453</v>
          </cell>
          <cell r="N184">
            <v>-4239425</v>
          </cell>
          <cell r="O184">
            <v>-4757778</v>
          </cell>
          <cell r="P184">
            <v>-148123</v>
          </cell>
          <cell r="Q184">
            <v>35014837</v>
          </cell>
          <cell r="R184">
            <v>-4377162</v>
          </cell>
          <cell r="S184">
            <v>-5244596</v>
          </cell>
          <cell r="T184">
            <v>2361165</v>
          </cell>
          <cell r="U184">
            <v>3957193</v>
          </cell>
          <cell r="V184">
            <v>40948101</v>
          </cell>
          <cell r="W184">
            <v>-3839720</v>
          </cell>
          <cell r="X184">
            <v>-5460400</v>
          </cell>
          <cell r="Y184">
            <v>-4221458</v>
          </cell>
          <cell r="Z184">
            <v>750843</v>
          </cell>
          <cell r="AA184">
            <v>-4360520</v>
          </cell>
          <cell r="AB184">
            <v>-4475562</v>
          </cell>
          <cell r="AC184">
            <v>-3490956</v>
          </cell>
          <cell r="AD184">
            <v>-4396007</v>
          </cell>
          <cell r="AE184">
            <v>-3321902</v>
          </cell>
          <cell r="AF184">
            <v>-3770863</v>
          </cell>
          <cell r="AG184">
            <v>-2309771</v>
          </cell>
          <cell r="AH184">
            <v>39726604</v>
          </cell>
          <cell r="AI184">
            <v>-4413232</v>
          </cell>
          <cell r="AJ184">
            <v>-4942239</v>
          </cell>
          <cell r="AK184">
            <v>-3972133</v>
          </cell>
          <cell r="AL184">
            <v>110356</v>
          </cell>
          <cell r="AM184">
            <v>-4003634</v>
          </cell>
          <cell r="AN184">
            <v>-3158353.2499999995</v>
          </cell>
        </row>
        <row r="185">
          <cell r="G185">
            <v>7040</v>
          </cell>
          <cell r="H185" t="str">
            <v>YTD Actual</v>
          </cell>
          <cell r="I185">
            <v>-60057</v>
          </cell>
          <cell r="J185">
            <v>2135798</v>
          </cell>
          <cell r="K185">
            <v>3428277</v>
          </cell>
          <cell r="L185">
            <v>-996967</v>
          </cell>
          <cell r="M185">
            <v>8754211</v>
          </cell>
          <cell r="N185">
            <v>-10494531</v>
          </cell>
          <cell r="O185">
            <v>-14356670</v>
          </cell>
          <cell r="P185">
            <v>-14136256</v>
          </cell>
          <cell r="Q185">
            <v>21248128</v>
          </cell>
          <cell r="R185">
            <v>16889763</v>
          </cell>
          <cell r="S185">
            <v>11942125</v>
          </cell>
          <cell r="T185">
            <v>21666380</v>
          </cell>
          <cell r="U185">
            <v>4341238</v>
          </cell>
          <cell r="V185">
            <v>45635687</v>
          </cell>
          <cell r="W185">
            <v>41916837</v>
          </cell>
          <cell r="X185">
            <v>36916317</v>
          </cell>
          <cell r="Y185">
            <v>32574654</v>
          </cell>
          <cell r="Z185">
            <v>33848178</v>
          </cell>
          <cell r="AA185">
            <v>29497876</v>
          </cell>
          <cell r="AB185">
            <v>25705018.859999999</v>
          </cell>
          <cell r="AC185">
            <v>22143148</v>
          </cell>
          <cell r="AD185">
            <v>17788158</v>
          </cell>
          <cell r="AE185">
            <v>12554970</v>
          </cell>
          <cell r="AF185">
            <v>9540638.0099999998</v>
          </cell>
          <cell r="AG185">
            <v>-1834204</v>
          </cell>
          <cell r="AH185">
            <v>37611125</v>
          </cell>
          <cell r="AI185">
            <v>33453029</v>
          </cell>
          <cell r="AJ185">
            <v>28085369</v>
          </cell>
          <cell r="AK185">
            <v>24335913</v>
          </cell>
          <cell r="AL185">
            <v>24453597</v>
          </cell>
          <cell r="AM185">
            <v>20237966</v>
          </cell>
          <cell r="AN185">
            <v>17185858.470000006</v>
          </cell>
        </row>
        <row r="186">
          <cell r="G186">
            <v>7041</v>
          </cell>
          <cell r="H186" t="str">
            <v>YTD Target (Budget)</v>
          </cell>
          <cell r="I186">
            <v>-160403</v>
          </cell>
          <cell r="J186">
            <v>2558545</v>
          </cell>
          <cell r="K186">
            <v>3329921</v>
          </cell>
          <cell r="L186">
            <v>-656196</v>
          </cell>
          <cell r="M186">
            <v>7738010</v>
          </cell>
          <cell r="N186">
            <v>-11949593</v>
          </cell>
          <cell r="O186">
            <v>-16707372</v>
          </cell>
          <cell r="P186">
            <v>-16855495</v>
          </cell>
          <cell r="Q186">
            <v>18159342</v>
          </cell>
          <cell r="R186">
            <v>13782180</v>
          </cell>
          <cell r="S186">
            <v>8500085</v>
          </cell>
          <cell r="T186">
            <v>19872397</v>
          </cell>
          <cell r="U186">
            <v>3957193</v>
          </cell>
          <cell r="V186">
            <v>44641280</v>
          </cell>
          <cell r="W186">
            <v>41357268</v>
          </cell>
          <cell r="X186">
            <v>35896870</v>
          </cell>
          <cell r="Y186">
            <v>31678255</v>
          </cell>
          <cell r="Z186">
            <v>32174937</v>
          </cell>
          <cell r="AA186">
            <v>27814418</v>
          </cell>
          <cell r="AB186">
            <v>23338817</v>
          </cell>
          <cell r="AC186">
            <v>19847871</v>
          </cell>
          <cell r="AD186">
            <v>15451865</v>
          </cell>
          <cell r="AE186">
            <v>10094572</v>
          </cell>
          <cell r="AF186">
            <v>6323710</v>
          </cell>
          <cell r="AG186">
            <v>-2309771</v>
          </cell>
          <cell r="AH186">
            <v>37339248</v>
          </cell>
          <cell r="AI186">
            <v>32999303</v>
          </cell>
          <cell r="AJ186">
            <v>28214901</v>
          </cell>
          <cell r="AK186">
            <v>24196995</v>
          </cell>
          <cell r="AL186">
            <v>24307351</v>
          </cell>
          <cell r="AM186">
            <v>20303717</v>
          </cell>
          <cell r="AN186">
            <v>17145364.090000004</v>
          </cell>
        </row>
        <row r="187">
          <cell r="G187">
            <v>7048</v>
          </cell>
          <cell r="H187" t="str">
            <v>Actual</v>
          </cell>
          <cell r="I187">
            <v>-98540</v>
          </cell>
          <cell r="J187">
            <v>2184002</v>
          </cell>
          <cell r="K187">
            <v>1151625</v>
          </cell>
          <cell r="L187">
            <v>-4432745</v>
          </cell>
          <cell r="M187">
            <v>-4210483</v>
          </cell>
          <cell r="N187">
            <v>-4124542</v>
          </cell>
          <cell r="O187">
            <v>-3714159</v>
          </cell>
          <cell r="P187">
            <v>179828</v>
          </cell>
          <cell r="Q187">
            <v>35439879</v>
          </cell>
          <cell r="R187">
            <v>-4297017</v>
          </cell>
          <cell r="S187">
            <v>-5170648</v>
          </cell>
          <cell r="T187">
            <v>685190</v>
          </cell>
          <cell r="U187">
            <v>4409542</v>
          </cell>
          <cell r="V187">
            <v>41365527</v>
          </cell>
          <cell r="W187">
            <v>-4177288</v>
          </cell>
          <cell r="X187">
            <v>-5824154</v>
          </cell>
          <cell r="Y187">
            <v>-4422972</v>
          </cell>
          <cell r="Z187">
            <v>-1125310</v>
          </cell>
          <cell r="AA187">
            <v>-5400275</v>
          </cell>
          <cell r="AB187">
            <v>-3717870.37</v>
          </cell>
          <cell r="AC187">
            <v>-3659302</v>
          </cell>
          <cell r="AD187">
            <v>-4893970</v>
          </cell>
          <cell r="AE187">
            <v>439930</v>
          </cell>
          <cell r="AF187">
            <v>-5408677</v>
          </cell>
          <cell r="AG187">
            <v>-1614108</v>
          </cell>
          <cell r="AH187">
            <v>39671379</v>
          </cell>
          <cell r="AI187">
            <v>4308011</v>
          </cell>
          <cell r="AJ187">
            <v>-5178357</v>
          </cell>
          <cell r="AK187">
            <v>-3584468</v>
          </cell>
          <cell r="AL187">
            <v>53161</v>
          </cell>
          <cell r="AM187">
            <v>-4328381</v>
          </cell>
          <cell r="AN187">
            <v>-2688059.89</v>
          </cell>
        </row>
        <row r="188">
          <cell r="G188">
            <v>7049</v>
          </cell>
          <cell r="H188" t="str">
            <v>Target (Budget)</v>
          </cell>
          <cell r="I188">
            <v>-66565</v>
          </cell>
          <cell r="J188">
            <v>2604506</v>
          </cell>
          <cell r="K188">
            <v>139675</v>
          </cell>
          <cell r="L188">
            <v>-4298355</v>
          </cell>
          <cell r="M188">
            <v>-5724381</v>
          </cell>
          <cell r="N188">
            <v>-5015558</v>
          </cell>
          <cell r="O188">
            <v>-4708011</v>
          </cell>
          <cell r="P188">
            <v>-13051</v>
          </cell>
          <cell r="Q188">
            <v>34237804</v>
          </cell>
          <cell r="R188">
            <v>-4250390</v>
          </cell>
          <cell r="S188">
            <v>-5119324</v>
          </cell>
          <cell r="T188">
            <v>-344482</v>
          </cell>
          <cell r="U188">
            <v>3952820</v>
          </cell>
          <cell r="V188">
            <v>40669951</v>
          </cell>
          <cell r="W188">
            <v>-3863371</v>
          </cell>
          <cell r="X188">
            <v>-5295803</v>
          </cell>
          <cell r="Y188">
            <v>-4289409</v>
          </cell>
          <cell r="Z188">
            <v>-1592887</v>
          </cell>
          <cell r="AA188">
            <v>-4400286</v>
          </cell>
          <cell r="AB188">
            <v>-4564353</v>
          </cell>
          <cell r="AC188">
            <v>-3513896</v>
          </cell>
          <cell r="AD188">
            <v>-4481378</v>
          </cell>
          <cell r="AE188">
            <v>115855</v>
          </cell>
          <cell r="AF188">
            <v>-3846924</v>
          </cell>
          <cell r="AG188">
            <v>-2075131</v>
          </cell>
          <cell r="AH188">
            <v>39891657</v>
          </cell>
          <cell r="AI188">
            <v>-4400534</v>
          </cell>
          <cell r="AJ188">
            <v>-4738343</v>
          </cell>
          <cell r="AK188">
            <v>-3798037</v>
          </cell>
          <cell r="AL188">
            <v>-217148</v>
          </cell>
          <cell r="AM188">
            <v>-3829138</v>
          </cell>
          <cell r="AN188">
            <v>-2989207.5999999996</v>
          </cell>
        </row>
        <row r="189">
          <cell r="G189">
            <v>7052</v>
          </cell>
          <cell r="H189" t="str">
            <v>YTD Actual</v>
          </cell>
          <cell r="I189">
            <v>-98540</v>
          </cell>
          <cell r="J189">
            <v>2152985</v>
          </cell>
          <cell r="K189">
            <v>9207166</v>
          </cell>
          <cell r="L189">
            <v>-1128134</v>
          </cell>
          <cell r="M189">
            <v>6880604</v>
          </cell>
          <cell r="N189">
            <v>-10577119</v>
          </cell>
          <cell r="O189">
            <v>-14290278</v>
          </cell>
          <cell r="P189">
            <v>-14111453</v>
          </cell>
          <cell r="Q189">
            <v>21328426</v>
          </cell>
          <cell r="R189">
            <v>17031412</v>
          </cell>
          <cell r="S189">
            <v>11860764</v>
          </cell>
          <cell r="T189">
            <v>9314367</v>
          </cell>
          <cell r="U189">
            <v>4409542</v>
          </cell>
          <cell r="V189">
            <v>45775070</v>
          </cell>
          <cell r="W189">
            <v>41597782</v>
          </cell>
          <cell r="X189">
            <v>36180323</v>
          </cell>
          <cell r="Y189">
            <v>31757347</v>
          </cell>
          <cell r="Z189">
            <v>30631641</v>
          </cell>
          <cell r="AA189">
            <v>25231368</v>
          </cell>
          <cell r="AB189">
            <v>21508992.489999998</v>
          </cell>
          <cell r="AC189">
            <v>17849695</v>
          </cell>
          <cell r="AD189">
            <v>12955726</v>
          </cell>
          <cell r="AE189">
            <v>7186595</v>
          </cell>
          <cell r="AF189">
            <v>1777908.03</v>
          </cell>
          <cell r="AG189">
            <v>-1614108</v>
          </cell>
          <cell r="AH189">
            <v>38015266</v>
          </cell>
          <cell r="AI189">
            <v>33707254</v>
          </cell>
          <cell r="AJ189">
            <v>28528897</v>
          </cell>
          <cell r="AK189">
            <v>24944429</v>
          </cell>
          <cell r="AL189">
            <v>25185920</v>
          </cell>
          <cell r="AM189">
            <v>20857538</v>
          </cell>
          <cell r="AN189">
            <v>18169478.090000004</v>
          </cell>
        </row>
        <row r="190">
          <cell r="G190">
            <v>7053</v>
          </cell>
          <cell r="H190" t="str">
            <v>YTD Target (Budget)</v>
          </cell>
          <cell r="I190">
            <v>-66565</v>
          </cell>
          <cell r="J190">
            <v>2690771</v>
          </cell>
          <cell r="K190">
            <v>9081687</v>
          </cell>
          <cell r="L190">
            <v>-1088123</v>
          </cell>
          <cell r="M190">
            <v>5700759</v>
          </cell>
          <cell r="N190">
            <v>-13028581</v>
          </cell>
          <cell r="O190">
            <v>-17736593</v>
          </cell>
          <cell r="P190">
            <v>-17749644</v>
          </cell>
          <cell r="Q190">
            <v>16488160</v>
          </cell>
          <cell r="R190">
            <v>12237770</v>
          </cell>
          <cell r="S190">
            <v>7118447</v>
          </cell>
          <cell r="T190">
            <v>3934323</v>
          </cell>
          <cell r="U190">
            <v>3952820</v>
          </cell>
          <cell r="V190">
            <v>44358474</v>
          </cell>
          <cell r="W190">
            <v>41050810</v>
          </cell>
          <cell r="X190">
            <v>35755008</v>
          </cell>
          <cell r="Y190">
            <v>31468461</v>
          </cell>
          <cell r="Z190">
            <v>29704812</v>
          </cell>
          <cell r="AA190">
            <v>25304527</v>
          </cell>
          <cell r="AB190">
            <v>20740176</v>
          </cell>
          <cell r="AC190">
            <v>17226279</v>
          </cell>
          <cell r="AD190">
            <v>12744902</v>
          </cell>
          <cell r="AE190">
            <v>7298266</v>
          </cell>
          <cell r="AF190">
            <v>3451342</v>
          </cell>
          <cell r="AG190">
            <v>-2075131</v>
          </cell>
          <cell r="AH190">
            <v>37738942</v>
          </cell>
          <cell r="AI190">
            <v>33439188</v>
          </cell>
          <cell r="AJ190">
            <v>28858681</v>
          </cell>
          <cell r="AK190">
            <v>25014872</v>
          </cell>
          <cell r="AL190">
            <v>24797723</v>
          </cell>
          <cell r="AM190">
            <v>20968585</v>
          </cell>
          <cell r="AN190">
            <v>17979376.910000004</v>
          </cell>
        </row>
        <row r="191">
          <cell r="G191">
            <v>1</v>
          </cell>
          <cell r="H191" t="str">
            <v>Actual</v>
          </cell>
          <cell r="I191">
            <v>193820</v>
          </cell>
          <cell r="J191">
            <v>209648</v>
          </cell>
          <cell r="K191">
            <v>208798</v>
          </cell>
          <cell r="L191">
            <v>211046</v>
          </cell>
          <cell r="M191">
            <v>209063</v>
          </cell>
          <cell r="N191">
            <v>200835</v>
          </cell>
          <cell r="O191">
            <v>200045</v>
          </cell>
          <cell r="P191">
            <v>201675</v>
          </cell>
          <cell r="Q191">
            <v>98806</v>
          </cell>
          <cell r="R191">
            <v>197259</v>
          </cell>
          <cell r="S191">
            <v>200324</v>
          </cell>
          <cell r="T191">
            <v>195209</v>
          </cell>
          <cell r="U191">
            <v>186340</v>
          </cell>
          <cell r="V191">
            <v>195882</v>
          </cell>
          <cell r="W191">
            <v>193362</v>
          </cell>
          <cell r="X191">
            <v>204923</v>
          </cell>
          <cell r="Y191">
            <v>200383</v>
          </cell>
          <cell r="Z191">
            <v>187678</v>
          </cell>
          <cell r="AA191">
            <v>187078</v>
          </cell>
          <cell r="AB191">
            <v>186142.04</v>
          </cell>
          <cell r="AC191">
            <v>190124</v>
          </cell>
          <cell r="AD191">
            <v>157208</v>
          </cell>
          <cell r="AE191">
            <v>184553</v>
          </cell>
          <cell r="AF191">
            <v>196393</v>
          </cell>
          <cell r="AG191">
            <v>186573</v>
          </cell>
          <cell r="AH191">
            <v>158146</v>
          </cell>
          <cell r="AI191">
            <v>180588</v>
          </cell>
          <cell r="AJ191">
            <v>183795</v>
          </cell>
          <cell r="AK191">
            <v>180274</v>
          </cell>
          <cell r="AL191">
            <v>162982</v>
          </cell>
          <cell r="AM191">
            <v>189227</v>
          </cell>
          <cell r="AN191">
            <v>173581.25999999998</v>
          </cell>
        </row>
        <row r="192">
          <cell r="G192">
            <v>2</v>
          </cell>
          <cell r="H192" t="str">
            <v>Target (Budget)</v>
          </cell>
          <cell r="I192">
            <v>239797</v>
          </cell>
          <cell r="J192">
            <v>237185</v>
          </cell>
          <cell r="K192">
            <v>238369</v>
          </cell>
          <cell r="L192">
            <v>262286</v>
          </cell>
          <cell r="M192">
            <v>231103</v>
          </cell>
          <cell r="N192">
            <v>228721</v>
          </cell>
          <cell r="O192">
            <v>187125</v>
          </cell>
          <cell r="P192">
            <v>202853</v>
          </cell>
          <cell r="Q192">
            <v>222572</v>
          </cell>
          <cell r="R192">
            <v>196104</v>
          </cell>
          <cell r="S192">
            <v>218620</v>
          </cell>
          <cell r="T192">
            <v>233129</v>
          </cell>
          <cell r="U192">
            <v>204415</v>
          </cell>
          <cell r="V192">
            <v>193629</v>
          </cell>
          <cell r="W192">
            <v>222008</v>
          </cell>
          <cell r="X192">
            <v>202751</v>
          </cell>
          <cell r="Y192">
            <v>199549</v>
          </cell>
          <cell r="Z192">
            <v>203792</v>
          </cell>
          <cell r="AA192">
            <v>198500</v>
          </cell>
          <cell r="AB192">
            <v>198825</v>
          </cell>
          <cell r="AC192">
            <v>196408</v>
          </cell>
          <cell r="AD192">
            <v>196375</v>
          </cell>
          <cell r="AE192">
            <v>202401</v>
          </cell>
          <cell r="AF192">
            <v>204114</v>
          </cell>
          <cell r="AG192">
            <v>191163</v>
          </cell>
          <cell r="AH192">
            <v>180163</v>
          </cell>
          <cell r="AI192">
            <v>183907</v>
          </cell>
          <cell r="AJ192">
            <v>173591</v>
          </cell>
          <cell r="AK192">
            <v>167792</v>
          </cell>
          <cell r="AL192">
            <v>172503</v>
          </cell>
          <cell r="AM192">
            <v>194921</v>
          </cell>
          <cell r="AN192">
            <v>170176.88</v>
          </cell>
        </row>
        <row r="193">
          <cell r="G193">
            <v>5</v>
          </cell>
          <cell r="H193" t="str">
            <v>YTD Actual</v>
          </cell>
          <cell r="I193">
            <v>193820</v>
          </cell>
          <cell r="J193">
            <v>403467</v>
          </cell>
          <cell r="K193">
            <v>612265</v>
          </cell>
          <cell r="L193">
            <v>823311</v>
          </cell>
          <cell r="M193">
            <v>1032375</v>
          </cell>
          <cell r="N193">
            <v>1233210</v>
          </cell>
          <cell r="O193">
            <v>1433255</v>
          </cell>
          <cell r="P193">
            <v>1634929</v>
          </cell>
          <cell r="Q193">
            <v>1733735</v>
          </cell>
          <cell r="R193">
            <v>1930994</v>
          </cell>
          <cell r="S193">
            <v>2131318</v>
          </cell>
          <cell r="T193">
            <v>2326527</v>
          </cell>
          <cell r="U193">
            <v>186340</v>
          </cell>
          <cell r="V193">
            <v>382222</v>
          </cell>
          <cell r="W193">
            <v>575583</v>
          </cell>
          <cell r="X193">
            <v>780506</v>
          </cell>
          <cell r="Y193">
            <v>980889</v>
          </cell>
          <cell r="Z193">
            <v>1168567</v>
          </cell>
          <cell r="AA193">
            <v>1355645</v>
          </cell>
          <cell r="AB193">
            <v>1541787</v>
          </cell>
          <cell r="AC193">
            <v>1731911</v>
          </cell>
          <cell r="AD193">
            <v>1889119</v>
          </cell>
          <cell r="AE193">
            <v>2073672</v>
          </cell>
          <cell r="AF193">
            <v>2270064</v>
          </cell>
          <cell r="AG193">
            <v>186573</v>
          </cell>
          <cell r="AH193">
            <v>344719</v>
          </cell>
          <cell r="AI193">
            <v>525308</v>
          </cell>
          <cell r="AJ193">
            <v>709103</v>
          </cell>
          <cell r="AK193">
            <v>889377</v>
          </cell>
          <cell r="AL193">
            <v>1052360</v>
          </cell>
          <cell r="AM193">
            <v>1241857</v>
          </cell>
          <cell r="AN193">
            <v>1415167.8499999999</v>
          </cell>
        </row>
        <row r="194">
          <cell r="G194">
            <v>6</v>
          </cell>
          <cell r="H194" t="str">
            <v>YTD Target (Budget)</v>
          </cell>
          <cell r="I194">
            <v>239797</v>
          </cell>
          <cell r="J194">
            <v>476982</v>
          </cell>
          <cell r="K194">
            <v>715351</v>
          </cell>
          <cell r="L194">
            <v>977637</v>
          </cell>
          <cell r="M194">
            <v>1208740</v>
          </cell>
          <cell r="N194">
            <v>1437461</v>
          </cell>
          <cell r="O194">
            <v>1624586</v>
          </cell>
          <cell r="P194">
            <v>1827439</v>
          </cell>
          <cell r="Q194">
            <v>2050011</v>
          </cell>
          <cell r="R194">
            <v>2246115</v>
          </cell>
          <cell r="S194">
            <v>2464735</v>
          </cell>
          <cell r="T194">
            <v>2697864</v>
          </cell>
          <cell r="U194">
            <v>204415</v>
          </cell>
          <cell r="V194">
            <v>398045</v>
          </cell>
          <cell r="W194">
            <v>620053</v>
          </cell>
          <cell r="X194">
            <v>822804</v>
          </cell>
          <cell r="Y194">
            <v>1022353</v>
          </cell>
          <cell r="Z194">
            <v>1226145</v>
          </cell>
          <cell r="AA194">
            <v>1424645</v>
          </cell>
          <cell r="AB194">
            <v>1623469</v>
          </cell>
          <cell r="AC194">
            <v>1819877</v>
          </cell>
          <cell r="AD194">
            <v>2016252</v>
          </cell>
          <cell r="AE194">
            <v>2218653</v>
          </cell>
          <cell r="AF194">
            <v>2422767</v>
          </cell>
          <cell r="AG194">
            <v>191163</v>
          </cell>
          <cell r="AH194">
            <v>371326</v>
          </cell>
          <cell r="AI194">
            <v>545861</v>
          </cell>
          <cell r="AJ194">
            <v>711287</v>
          </cell>
          <cell r="AK194">
            <v>879079</v>
          </cell>
          <cell r="AL194">
            <v>1051582</v>
          </cell>
          <cell r="AM194">
            <v>1246503</v>
          </cell>
          <cell r="AN194">
            <v>1416679.6</v>
          </cell>
        </row>
        <row r="195">
          <cell r="G195">
            <v>10415</v>
          </cell>
          <cell r="H195" t="str">
            <v>Empl_Benefits</v>
          </cell>
          <cell r="I195">
            <v>44393</v>
          </cell>
          <cell r="J195">
            <v>50995</v>
          </cell>
          <cell r="K195">
            <v>48602</v>
          </cell>
          <cell r="L195">
            <v>49375</v>
          </cell>
          <cell r="M195">
            <v>51361</v>
          </cell>
          <cell r="N195">
            <v>49378</v>
          </cell>
          <cell r="O195">
            <v>49377</v>
          </cell>
          <cell r="P195">
            <v>49025</v>
          </cell>
          <cell r="Q195">
            <v>29418</v>
          </cell>
          <cell r="R195">
            <v>47421</v>
          </cell>
          <cell r="S195">
            <v>48805</v>
          </cell>
          <cell r="T195">
            <v>47726</v>
          </cell>
          <cell r="U195">
            <v>45992</v>
          </cell>
          <cell r="V195">
            <v>46114</v>
          </cell>
          <cell r="W195">
            <v>47254</v>
          </cell>
          <cell r="X195">
            <v>49831</v>
          </cell>
          <cell r="Y195">
            <v>47547</v>
          </cell>
          <cell r="Z195">
            <v>47667</v>
          </cell>
          <cell r="AA195">
            <v>47544</v>
          </cell>
          <cell r="AB195">
            <v>47670.2</v>
          </cell>
          <cell r="AC195">
            <v>46570</v>
          </cell>
          <cell r="AD195">
            <v>37392</v>
          </cell>
          <cell r="AE195">
            <v>44985</v>
          </cell>
          <cell r="AF195">
            <v>42745</v>
          </cell>
          <cell r="AG195">
            <v>43320</v>
          </cell>
          <cell r="AH195">
            <v>43420</v>
          </cell>
          <cell r="AI195">
            <v>44272</v>
          </cell>
          <cell r="AJ195">
            <v>47061</v>
          </cell>
          <cell r="AK195">
            <v>43430</v>
          </cell>
          <cell r="AL195">
            <v>43001</v>
          </cell>
          <cell r="AM195">
            <v>42987</v>
          </cell>
          <cell r="AN195">
            <v>44952.04</v>
          </cell>
        </row>
        <row r="196">
          <cell r="G196">
            <v>10416</v>
          </cell>
          <cell r="H196" t="str">
            <v>Actual Total Personnel</v>
          </cell>
          <cell r="I196">
            <v>182934</v>
          </cell>
          <cell r="J196">
            <v>199444</v>
          </cell>
          <cell r="K196">
            <v>193964</v>
          </cell>
          <cell r="L196">
            <v>191164</v>
          </cell>
          <cell r="M196">
            <v>199457</v>
          </cell>
          <cell r="N196">
            <v>191577</v>
          </cell>
          <cell r="O196">
            <v>191503</v>
          </cell>
          <cell r="P196">
            <v>190582</v>
          </cell>
          <cell r="Q196">
            <v>81875</v>
          </cell>
          <cell r="R196">
            <v>186721</v>
          </cell>
          <cell r="S196">
            <v>189642</v>
          </cell>
          <cell r="T196">
            <v>183899</v>
          </cell>
          <cell r="U196">
            <v>176937</v>
          </cell>
          <cell r="V196">
            <v>177824</v>
          </cell>
          <cell r="W196">
            <v>186938</v>
          </cell>
          <cell r="X196">
            <v>188396</v>
          </cell>
          <cell r="Y196">
            <v>179763</v>
          </cell>
          <cell r="Z196">
            <v>179711</v>
          </cell>
          <cell r="AA196">
            <v>179416</v>
          </cell>
          <cell r="AB196">
            <v>132424.88</v>
          </cell>
          <cell r="AC196">
            <v>176212</v>
          </cell>
          <cell r="AD196">
            <v>140596</v>
          </cell>
          <cell r="AE196">
            <v>170036</v>
          </cell>
          <cell r="AF196">
            <v>160759</v>
          </cell>
          <cell r="AG196">
            <v>164290</v>
          </cell>
          <cell r="AH196">
            <v>165345</v>
          </cell>
          <cell r="AI196">
            <v>168685</v>
          </cell>
          <cell r="AJ196">
            <v>174195</v>
          </cell>
          <cell r="AK196">
            <v>163421</v>
          </cell>
          <cell r="AL196">
            <v>158947</v>
          </cell>
          <cell r="AM196">
            <v>157206</v>
          </cell>
          <cell r="AN196">
            <v>165937.78999999998</v>
          </cell>
        </row>
        <row r="197">
          <cell r="G197">
            <v>10417</v>
          </cell>
          <cell r="H197" t="str">
            <v>Target Empl_Benefits</v>
          </cell>
          <cell r="I197">
            <v>51619</v>
          </cell>
          <cell r="J197">
            <v>51521</v>
          </cell>
          <cell r="K197">
            <v>54381</v>
          </cell>
          <cell r="L197">
            <v>56874</v>
          </cell>
          <cell r="M197">
            <v>51892</v>
          </cell>
          <cell r="N197">
            <v>23507</v>
          </cell>
          <cell r="O197">
            <v>46082</v>
          </cell>
          <cell r="P197">
            <v>47625</v>
          </cell>
          <cell r="Q197">
            <v>52090</v>
          </cell>
          <cell r="R197">
            <v>47622</v>
          </cell>
          <cell r="S197">
            <v>53903</v>
          </cell>
          <cell r="T197">
            <v>51212</v>
          </cell>
          <cell r="U197">
            <v>47233</v>
          </cell>
          <cell r="V197">
            <v>47248</v>
          </cell>
          <cell r="W197">
            <v>49345</v>
          </cell>
          <cell r="X197">
            <v>51495</v>
          </cell>
          <cell r="Y197">
            <v>49345</v>
          </cell>
          <cell r="Z197">
            <v>49345</v>
          </cell>
          <cell r="AA197">
            <v>49363</v>
          </cell>
          <cell r="AB197">
            <v>49345</v>
          </cell>
          <cell r="AC197">
            <v>49345</v>
          </cell>
          <cell r="AD197">
            <v>49345</v>
          </cell>
          <cell r="AE197">
            <v>51495</v>
          </cell>
          <cell r="AF197">
            <v>49345</v>
          </cell>
          <cell r="AG197">
            <v>43764</v>
          </cell>
          <cell r="AH197">
            <v>43764</v>
          </cell>
          <cell r="AI197">
            <v>43764</v>
          </cell>
          <cell r="AJ197">
            <v>43764</v>
          </cell>
          <cell r="AK197">
            <v>43764</v>
          </cell>
          <cell r="AL197">
            <v>43764</v>
          </cell>
          <cell r="AM197">
            <v>43764</v>
          </cell>
          <cell r="AN197">
            <v>43764.44</v>
          </cell>
        </row>
        <row r="198">
          <cell r="G198">
            <v>10418</v>
          </cell>
          <cell r="H198" t="str">
            <v>Target Total Personnel</v>
          </cell>
          <cell r="I198">
            <v>205491</v>
          </cell>
          <cell r="J198">
            <v>204581</v>
          </cell>
          <cell r="K198">
            <v>213714</v>
          </cell>
          <cell r="L198">
            <v>221846</v>
          </cell>
          <cell r="M198">
            <v>204129</v>
          </cell>
          <cell r="N198">
            <v>89790</v>
          </cell>
          <cell r="O198">
            <v>179544</v>
          </cell>
          <cell r="P198">
            <v>184991</v>
          </cell>
          <cell r="Q198">
            <v>201425</v>
          </cell>
          <cell r="R198">
            <v>184593</v>
          </cell>
          <cell r="S198">
            <v>207285</v>
          </cell>
          <cell r="T198">
            <v>195929</v>
          </cell>
          <cell r="U198">
            <v>183380</v>
          </cell>
          <cell r="V198">
            <v>185511</v>
          </cell>
          <cell r="W198">
            <v>198206</v>
          </cell>
          <cell r="X198">
            <v>194882</v>
          </cell>
          <cell r="Y198">
            <v>188206</v>
          </cell>
          <cell r="Z198">
            <v>188206</v>
          </cell>
          <cell r="AA198">
            <v>190381</v>
          </cell>
          <cell r="AB198">
            <v>188206</v>
          </cell>
          <cell r="AC198">
            <v>188206</v>
          </cell>
          <cell r="AD198">
            <v>188206</v>
          </cell>
          <cell r="AE198">
            <v>194882</v>
          </cell>
          <cell r="AF198">
            <v>188206</v>
          </cell>
          <cell r="AG198">
            <v>165817</v>
          </cell>
          <cell r="AH198">
            <v>165817</v>
          </cell>
          <cell r="AI198">
            <v>165983</v>
          </cell>
          <cell r="AJ198">
            <v>164983</v>
          </cell>
          <cell r="AK198">
            <v>164983</v>
          </cell>
          <cell r="AL198">
            <v>165983</v>
          </cell>
          <cell r="AM198">
            <v>164233</v>
          </cell>
          <cell r="AN198">
            <v>164233.29</v>
          </cell>
        </row>
        <row r="199">
          <cell r="G199">
            <v>10419</v>
          </cell>
          <cell r="H199" t="str">
            <v>YTD Empl_Benefits</v>
          </cell>
          <cell r="I199">
            <v>44393</v>
          </cell>
          <cell r="J199">
            <v>95388</v>
          </cell>
          <cell r="K199">
            <v>143989</v>
          </cell>
          <cell r="L199">
            <v>193364</v>
          </cell>
          <cell r="M199">
            <v>244725</v>
          </cell>
          <cell r="N199">
            <v>294103</v>
          </cell>
          <cell r="O199">
            <v>343481</v>
          </cell>
          <cell r="P199">
            <v>392506</v>
          </cell>
          <cell r="Q199">
            <v>421924</v>
          </cell>
          <cell r="R199">
            <v>469345</v>
          </cell>
          <cell r="S199">
            <v>518150</v>
          </cell>
          <cell r="T199">
            <v>565876</v>
          </cell>
          <cell r="U199">
            <v>45992</v>
          </cell>
          <cell r="V199">
            <v>92106</v>
          </cell>
          <cell r="W199">
            <v>139360</v>
          </cell>
          <cell r="X199">
            <v>189191</v>
          </cell>
          <cell r="Y199">
            <v>236738</v>
          </cell>
          <cell r="Z199">
            <v>284405</v>
          </cell>
          <cell r="AA199">
            <v>331950</v>
          </cell>
          <cell r="AB199">
            <v>379619.84000000003</v>
          </cell>
          <cell r="AC199">
            <v>426190</v>
          </cell>
          <cell r="AD199">
            <v>463582</v>
          </cell>
          <cell r="AE199">
            <v>508566</v>
          </cell>
          <cell r="AF199">
            <v>551311</v>
          </cell>
          <cell r="AG199">
            <v>43320</v>
          </cell>
          <cell r="AH199">
            <v>86740</v>
          </cell>
          <cell r="AI199">
            <v>131012</v>
          </cell>
          <cell r="AJ199">
            <v>178073</v>
          </cell>
          <cell r="AK199">
            <v>221503</v>
          </cell>
          <cell r="AL199">
            <v>264504</v>
          </cell>
          <cell r="AM199">
            <v>307491</v>
          </cell>
          <cell r="AN199">
            <v>352443.42</v>
          </cell>
        </row>
        <row r="200">
          <cell r="G200">
            <v>10420</v>
          </cell>
          <cell r="H200" t="str">
            <v>YTD Actual Total Personnel</v>
          </cell>
          <cell r="I200">
            <v>182934</v>
          </cell>
          <cell r="J200">
            <v>382378</v>
          </cell>
          <cell r="K200">
            <v>576342</v>
          </cell>
          <cell r="L200">
            <v>767506</v>
          </cell>
          <cell r="M200">
            <v>966963</v>
          </cell>
          <cell r="N200">
            <v>1158539</v>
          </cell>
          <cell r="O200">
            <v>1350043</v>
          </cell>
          <cell r="P200">
            <v>1540624</v>
          </cell>
          <cell r="Q200">
            <v>1622499</v>
          </cell>
          <cell r="R200">
            <v>1809220</v>
          </cell>
          <cell r="S200">
            <v>1998862</v>
          </cell>
          <cell r="T200">
            <v>2182761</v>
          </cell>
          <cell r="U200">
            <v>176937</v>
          </cell>
          <cell r="V200">
            <v>354761</v>
          </cell>
          <cell r="W200">
            <v>541699</v>
          </cell>
          <cell r="X200">
            <v>730095</v>
          </cell>
          <cell r="Y200">
            <v>909858</v>
          </cell>
          <cell r="Z200">
            <v>1089570</v>
          </cell>
          <cell r="AA200">
            <v>1268986</v>
          </cell>
          <cell r="AB200">
            <v>1069460.8700000001</v>
          </cell>
          <cell r="AC200">
            <v>1625293</v>
          </cell>
          <cell r="AD200">
            <v>1765889</v>
          </cell>
          <cell r="AE200">
            <v>1935924</v>
          </cell>
          <cell r="AF200">
            <v>2096684</v>
          </cell>
          <cell r="AG200">
            <v>164290</v>
          </cell>
          <cell r="AH200">
            <v>329634</v>
          </cell>
          <cell r="AI200">
            <v>498319</v>
          </cell>
          <cell r="AJ200">
            <v>672514</v>
          </cell>
          <cell r="AK200">
            <v>835935</v>
          </cell>
          <cell r="AL200">
            <v>994882</v>
          </cell>
          <cell r="AM200">
            <v>1152089</v>
          </cell>
          <cell r="AN200">
            <v>1318026.3499999999</v>
          </cell>
        </row>
        <row r="201">
          <cell r="G201">
            <v>10421</v>
          </cell>
          <cell r="H201" t="str">
            <v>YTD Target Empl_Benefits</v>
          </cell>
          <cell r="I201">
            <v>51619</v>
          </cell>
          <cell r="J201">
            <v>103140</v>
          </cell>
          <cell r="K201">
            <v>157521</v>
          </cell>
          <cell r="L201">
            <v>214395</v>
          </cell>
          <cell r="M201">
            <v>266287</v>
          </cell>
          <cell r="N201">
            <v>289794</v>
          </cell>
          <cell r="O201">
            <v>335876</v>
          </cell>
          <cell r="P201">
            <v>383501</v>
          </cell>
          <cell r="Q201">
            <v>435591</v>
          </cell>
          <cell r="R201">
            <v>483213</v>
          </cell>
          <cell r="S201">
            <v>537116</v>
          </cell>
          <cell r="T201">
            <v>588328</v>
          </cell>
          <cell r="U201">
            <v>47233</v>
          </cell>
          <cell r="V201">
            <v>94480</v>
          </cell>
          <cell r="W201">
            <v>143826</v>
          </cell>
          <cell r="X201">
            <v>195321</v>
          </cell>
          <cell r="Y201">
            <v>244666</v>
          </cell>
          <cell r="Z201">
            <v>294012</v>
          </cell>
          <cell r="AA201">
            <v>343374</v>
          </cell>
          <cell r="AB201">
            <v>392719</v>
          </cell>
          <cell r="AC201">
            <v>442065</v>
          </cell>
          <cell r="AD201">
            <v>491410</v>
          </cell>
          <cell r="AE201">
            <v>542905</v>
          </cell>
          <cell r="AF201">
            <v>592251</v>
          </cell>
          <cell r="AG201">
            <v>43764</v>
          </cell>
          <cell r="AH201">
            <v>87529</v>
          </cell>
          <cell r="AI201">
            <v>131293</v>
          </cell>
          <cell r="AJ201">
            <v>175058</v>
          </cell>
          <cell r="AK201">
            <v>218822</v>
          </cell>
          <cell r="AL201">
            <v>262587</v>
          </cell>
          <cell r="AM201">
            <v>306351</v>
          </cell>
          <cell r="AN201">
            <v>350115.52</v>
          </cell>
        </row>
        <row r="202">
          <cell r="G202">
            <v>10422</v>
          </cell>
          <cell r="H202" t="str">
            <v>YTD Target Total Personnel</v>
          </cell>
          <cell r="I202">
            <v>205491</v>
          </cell>
          <cell r="J202">
            <v>410072</v>
          </cell>
          <cell r="K202">
            <v>623786</v>
          </cell>
          <cell r="L202">
            <v>845632</v>
          </cell>
          <cell r="M202">
            <v>1049761</v>
          </cell>
          <cell r="N202">
            <v>1139551</v>
          </cell>
          <cell r="O202">
            <v>1319095</v>
          </cell>
          <cell r="P202">
            <v>1504086</v>
          </cell>
          <cell r="Q202">
            <v>1705511</v>
          </cell>
          <cell r="R202">
            <v>1890104</v>
          </cell>
          <cell r="S202">
            <v>2097389</v>
          </cell>
          <cell r="T202">
            <v>2293318</v>
          </cell>
          <cell r="U202">
            <v>183380</v>
          </cell>
          <cell r="V202">
            <v>368891</v>
          </cell>
          <cell r="W202">
            <v>567096</v>
          </cell>
          <cell r="X202">
            <v>761979</v>
          </cell>
          <cell r="Y202">
            <v>950184</v>
          </cell>
          <cell r="Z202">
            <v>1138390</v>
          </cell>
          <cell r="AA202">
            <v>1328772</v>
          </cell>
          <cell r="AB202">
            <v>1516977</v>
          </cell>
          <cell r="AC202">
            <v>1705183</v>
          </cell>
          <cell r="AD202">
            <v>1893389</v>
          </cell>
          <cell r="AE202">
            <v>2088271</v>
          </cell>
          <cell r="AF202">
            <v>2276477</v>
          </cell>
          <cell r="AG202">
            <v>165817</v>
          </cell>
          <cell r="AH202">
            <v>331633</v>
          </cell>
          <cell r="AI202">
            <v>494450</v>
          </cell>
          <cell r="AJ202">
            <v>659433</v>
          </cell>
          <cell r="AK202">
            <v>824416</v>
          </cell>
          <cell r="AL202">
            <v>990400</v>
          </cell>
          <cell r="AM202">
            <v>1154633</v>
          </cell>
          <cell r="AN202">
            <v>1318866.32</v>
          </cell>
        </row>
        <row r="203">
          <cell r="G203">
            <v>33</v>
          </cell>
          <cell r="H203" t="str">
            <v>Actual</v>
          </cell>
          <cell r="I203">
            <v>51868</v>
          </cell>
          <cell r="J203">
            <v>2238182</v>
          </cell>
          <cell r="K203">
            <v>-208798</v>
          </cell>
          <cell r="L203">
            <v>-211046</v>
          </cell>
          <cell r="M203">
            <v>-209063</v>
          </cell>
          <cell r="N203">
            <v>-200835</v>
          </cell>
          <cell r="O203">
            <v>-200045</v>
          </cell>
          <cell r="P203">
            <v>-201675</v>
          </cell>
          <cell r="Q203">
            <v>-98806</v>
          </cell>
          <cell r="R203">
            <v>-197259</v>
          </cell>
          <cell r="S203">
            <v>-200324</v>
          </cell>
          <cell r="T203">
            <v>-195209</v>
          </cell>
          <cell r="U203">
            <v>180787</v>
          </cell>
          <cell r="V203">
            <v>2265111</v>
          </cell>
          <cell r="W203">
            <v>-193362</v>
          </cell>
          <cell r="X203">
            <v>-204923</v>
          </cell>
          <cell r="Y203">
            <v>-200383</v>
          </cell>
          <cell r="Z203">
            <v>-200746</v>
          </cell>
          <cell r="AA203">
            <v>-187078</v>
          </cell>
          <cell r="AB203">
            <v>-186142.04</v>
          </cell>
          <cell r="AC203">
            <v>-190124</v>
          </cell>
          <cell r="AD203">
            <v>-249665</v>
          </cell>
          <cell r="AE203">
            <v>-184553</v>
          </cell>
          <cell r="AF203">
            <v>-196393</v>
          </cell>
          <cell r="AG203">
            <v>262106</v>
          </cell>
          <cell r="AH203">
            <v>1878347</v>
          </cell>
          <cell r="AI203">
            <v>-180588</v>
          </cell>
          <cell r="AJ203">
            <v>-183795</v>
          </cell>
          <cell r="AK203">
            <v>-180274</v>
          </cell>
          <cell r="AL203">
            <v>-162982</v>
          </cell>
          <cell r="AM203">
            <v>-189227</v>
          </cell>
          <cell r="AN203">
            <v>-134941.15999999997</v>
          </cell>
        </row>
        <row r="204">
          <cell r="G204">
            <v>34</v>
          </cell>
          <cell r="H204" t="str">
            <v>Target (Budget)</v>
          </cell>
          <cell r="I204">
            <v>5891</v>
          </cell>
          <cell r="J204">
            <v>2210645</v>
          </cell>
          <cell r="K204">
            <v>-238369</v>
          </cell>
          <cell r="L204">
            <v>-262286</v>
          </cell>
          <cell r="M204">
            <v>-231103</v>
          </cell>
          <cell r="N204">
            <v>-228721</v>
          </cell>
          <cell r="O204">
            <v>-187125</v>
          </cell>
          <cell r="P204">
            <v>-202853</v>
          </cell>
          <cell r="Q204">
            <v>-222572</v>
          </cell>
          <cell r="R204">
            <v>-196104</v>
          </cell>
          <cell r="S204">
            <v>-218620</v>
          </cell>
          <cell r="T204">
            <v>-233129</v>
          </cell>
          <cell r="U204">
            <v>162711</v>
          </cell>
          <cell r="V204">
            <v>2267363</v>
          </cell>
          <cell r="W204">
            <v>-222008</v>
          </cell>
          <cell r="X204">
            <v>-202751</v>
          </cell>
          <cell r="Y204">
            <v>-199549</v>
          </cell>
          <cell r="Z204">
            <v>-216860</v>
          </cell>
          <cell r="AA204">
            <v>-198500</v>
          </cell>
          <cell r="AB204">
            <v>-198825</v>
          </cell>
          <cell r="AC204">
            <v>-196408</v>
          </cell>
          <cell r="AD204">
            <v>-288832</v>
          </cell>
          <cell r="AE204">
            <v>-202401</v>
          </cell>
          <cell r="AF204">
            <v>-204114</v>
          </cell>
          <cell r="AG204">
            <v>257517</v>
          </cell>
          <cell r="AH204">
            <v>1856330</v>
          </cell>
          <cell r="AI204">
            <v>-183907</v>
          </cell>
          <cell r="AJ204">
            <v>-173591</v>
          </cell>
          <cell r="AK204">
            <v>-167792</v>
          </cell>
          <cell r="AL204">
            <v>-172503</v>
          </cell>
          <cell r="AM204">
            <v>-194921</v>
          </cell>
          <cell r="AN204">
            <v>-131536.78</v>
          </cell>
        </row>
        <row r="205">
          <cell r="G205">
            <v>37</v>
          </cell>
          <cell r="H205" t="str">
            <v>YTD Actual</v>
          </cell>
          <cell r="I205">
            <v>51868</v>
          </cell>
          <cell r="J205">
            <v>2290051</v>
          </cell>
          <cell r="K205">
            <v>2081253</v>
          </cell>
          <cell r="L205">
            <v>1870207</v>
          </cell>
          <cell r="M205">
            <v>1661143</v>
          </cell>
          <cell r="N205">
            <v>1460308</v>
          </cell>
          <cell r="O205">
            <v>1260263</v>
          </cell>
          <cell r="P205">
            <v>1058589</v>
          </cell>
          <cell r="Q205">
            <v>959783</v>
          </cell>
          <cell r="R205">
            <v>762524</v>
          </cell>
          <cell r="S205">
            <v>562200</v>
          </cell>
          <cell r="T205">
            <v>366991</v>
          </cell>
          <cell r="U205">
            <v>180787</v>
          </cell>
          <cell r="V205">
            <v>2445897</v>
          </cell>
          <cell r="W205">
            <v>2252536</v>
          </cell>
          <cell r="X205">
            <v>2047613</v>
          </cell>
          <cell r="Y205">
            <v>1847230</v>
          </cell>
          <cell r="Z205">
            <v>1646484</v>
          </cell>
          <cell r="AA205">
            <v>1459406</v>
          </cell>
          <cell r="AB205">
            <v>1273264.04</v>
          </cell>
          <cell r="AC205">
            <v>1083140</v>
          </cell>
          <cell r="AD205">
            <v>833475</v>
          </cell>
          <cell r="AE205">
            <v>648922</v>
          </cell>
          <cell r="AF205">
            <v>452530</v>
          </cell>
          <cell r="AG205">
            <v>262106</v>
          </cell>
          <cell r="AH205">
            <v>2140453</v>
          </cell>
          <cell r="AI205">
            <v>1959865</v>
          </cell>
          <cell r="AJ205">
            <v>1776069</v>
          </cell>
          <cell r="AK205">
            <v>1595795</v>
          </cell>
          <cell r="AL205">
            <v>1432813</v>
          </cell>
          <cell r="AM205">
            <v>1243586</v>
          </cell>
          <cell r="AN205">
            <v>1108644.82</v>
          </cell>
        </row>
        <row r="206">
          <cell r="G206">
            <v>38</v>
          </cell>
          <cell r="H206" t="str">
            <v>YTD Target (Budget)</v>
          </cell>
          <cell r="I206">
            <v>5891</v>
          </cell>
          <cell r="J206">
            <v>2216536</v>
          </cell>
          <cell r="K206">
            <v>1978167</v>
          </cell>
          <cell r="L206">
            <v>1715881</v>
          </cell>
          <cell r="M206">
            <v>1484778</v>
          </cell>
          <cell r="N206">
            <v>1256057</v>
          </cell>
          <cell r="O206">
            <v>1068932</v>
          </cell>
          <cell r="P206">
            <v>866079</v>
          </cell>
          <cell r="Q206">
            <v>643507</v>
          </cell>
          <cell r="R206">
            <v>447403</v>
          </cell>
          <cell r="S206">
            <v>228783</v>
          </cell>
          <cell r="T206">
            <v>-4346</v>
          </cell>
          <cell r="U206">
            <v>162711</v>
          </cell>
          <cell r="V206">
            <v>2430074</v>
          </cell>
          <cell r="W206">
            <v>2208067</v>
          </cell>
          <cell r="X206">
            <v>2005316</v>
          </cell>
          <cell r="Y206">
            <v>1805767</v>
          </cell>
          <cell r="Z206">
            <v>1588906</v>
          </cell>
          <cell r="AA206">
            <v>1390406</v>
          </cell>
          <cell r="AB206">
            <v>1191582</v>
          </cell>
          <cell r="AC206">
            <v>995174</v>
          </cell>
          <cell r="AD206">
            <v>706342</v>
          </cell>
          <cell r="AE206">
            <v>503941</v>
          </cell>
          <cell r="AF206">
            <v>299827</v>
          </cell>
          <cell r="AG206">
            <v>257517</v>
          </cell>
          <cell r="AH206">
            <v>2113847</v>
          </cell>
          <cell r="AI206">
            <v>1939312</v>
          </cell>
          <cell r="AJ206">
            <v>1773886</v>
          </cell>
          <cell r="AK206">
            <v>1606094</v>
          </cell>
          <cell r="AL206">
            <v>1433591</v>
          </cell>
          <cell r="AM206">
            <v>1238670</v>
          </cell>
          <cell r="AN206">
            <v>1107133.0699999998</v>
          </cell>
        </row>
        <row r="207">
          <cell r="G207">
            <v>45</v>
          </cell>
          <cell r="H207" t="str">
            <v>Actual</v>
          </cell>
          <cell r="I207">
            <v>51868</v>
          </cell>
          <cell r="J207">
            <v>2238182</v>
          </cell>
          <cell r="K207">
            <v>-208798</v>
          </cell>
          <cell r="L207">
            <v>-211046</v>
          </cell>
          <cell r="M207">
            <v>-209063</v>
          </cell>
          <cell r="N207">
            <v>-200835</v>
          </cell>
          <cell r="O207">
            <v>-200045</v>
          </cell>
          <cell r="P207">
            <v>-201675</v>
          </cell>
          <cell r="Q207">
            <v>-98806</v>
          </cell>
          <cell r="R207">
            <v>-197259</v>
          </cell>
          <cell r="S207">
            <v>-200324</v>
          </cell>
          <cell r="T207">
            <v>-195209</v>
          </cell>
          <cell r="U207">
            <v>180787</v>
          </cell>
          <cell r="V207">
            <v>2265111</v>
          </cell>
          <cell r="W207">
            <v>-193362</v>
          </cell>
          <cell r="X207">
            <v>-204923</v>
          </cell>
          <cell r="Y207">
            <v>-200383</v>
          </cell>
          <cell r="Z207">
            <v>-200746</v>
          </cell>
          <cell r="AA207">
            <v>-187078</v>
          </cell>
          <cell r="AB207">
            <v>-186142.04</v>
          </cell>
          <cell r="AC207">
            <v>-190124</v>
          </cell>
          <cell r="AD207">
            <v>-249665</v>
          </cell>
          <cell r="AE207">
            <v>-184553</v>
          </cell>
          <cell r="AF207">
            <v>-200243</v>
          </cell>
          <cell r="AG207">
            <v>262106</v>
          </cell>
          <cell r="AH207">
            <v>1878347</v>
          </cell>
          <cell r="AI207">
            <v>-180588</v>
          </cell>
          <cell r="AJ207">
            <v>-183795</v>
          </cell>
          <cell r="AK207">
            <v>-180274</v>
          </cell>
          <cell r="AL207">
            <v>-162982</v>
          </cell>
          <cell r="AM207">
            <v>-189227</v>
          </cell>
          <cell r="AN207">
            <v>-134941.15999999997</v>
          </cell>
        </row>
        <row r="208">
          <cell r="G208">
            <v>46</v>
          </cell>
          <cell r="H208" t="str">
            <v>Target (Budget)</v>
          </cell>
          <cell r="I208">
            <v>5891</v>
          </cell>
          <cell r="J208">
            <v>2210645</v>
          </cell>
          <cell r="K208">
            <v>-238369</v>
          </cell>
          <cell r="L208">
            <v>-262286</v>
          </cell>
          <cell r="M208">
            <v>-231103</v>
          </cell>
          <cell r="N208">
            <v>-228721</v>
          </cell>
          <cell r="O208">
            <v>-187125</v>
          </cell>
          <cell r="P208">
            <v>-202853</v>
          </cell>
          <cell r="Q208">
            <v>-222572</v>
          </cell>
          <cell r="R208">
            <v>-196104</v>
          </cell>
          <cell r="S208">
            <v>-218620</v>
          </cell>
          <cell r="T208">
            <v>-233129</v>
          </cell>
          <cell r="U208">
            <v>162711</v>
          </cell>
          <cell r="V208">
            <v>2267363</v>
          </cell>
          <cell r="W208">
            <v>-222008</v>
          </cell>
          <cell r="X208">
            <v>-202751</v>
          </cell>
          <cell r="Y208">
            <v>-199549</v>
          </cell>
          <cell r="Z208">
            <v>-216860</v>
          </cell>
          <cell r="AA208">
            <v>-198500</v>
          </cell>
          <cell r="AB208">
            <v>-198825</v>
          </cell>
          <cell r="AC208">
            <v>-196408</v>
          </cell>
          <cell r="AD208">
            <v>-288832</v>
          </cell>
          <cell r="AE208">
            <v>-202401</v>
          </cell>
          <cell r="AF208">
            <v>-204114</v>
          </cell>
          <cell r="AG208">
            <v>257517</v>
          </cell>
          <cell r="AH208">
            <v>1856330</v>
          </cell>
          <cell r="AI208">
            <v>-183907</v>
          </cell>
          <cell r="AJ208">
            <v>-173591</v>
          </cell>
          <cell r="AK208">
            <v>-167792</v>
          </cell>
          <cell r="AL208">
            <v>-172503</v>
          </cell>
          <cell r="AM208">
            <v>-194921</v>
          </cell>
          <cell r="AN208">
            <v>-131536.78</v>
          </cell>
        </row>
        <row r="209">
          <cell r="G209">
            <v>49</v>
          </cell>
          <cell r="H209" t="str">
            <v>YTD Actual</v>
          </cell>
          <cell r="I209">
            <v>51868</v>
          </cell>
          <cell r="J209">
            <v>2290186</v>
          </cell>
          <cell r="K209">
            <v>2081389</v>
          </cell>
          <cell r="L209">
            <v>1870342</v>
          </cell>
          <cell r="M209">
            <v>1661279</v>
          </cell>
          <cell r="N209">
            <v>1460444</v>
          </cell>
          <cell r="O209">
            <v>1260399</v>
          </cell>
          <cell r="P209">
            <v>1058724</v>
          </cell>
          <cell r="Q209">
            <v>959919</v>
          </cell>
          <cell r="R209">
            <v>762660</v>
          </cell>
          <cell r="S209">
            <v>562335</v>
          </cell>
          <cell r="T209">
            <v>367127</v>
          </cell>
          <cell r="U209">
            <v>180787</v>
          </cell>
          <cell r="V209">
            <v>2445897</v>
          </cell>
          <cell r="W209">
            <v>2252536</v>
          </cell>
          <cell r="X209">
            <v>2047613</v>
          </cell>
          <cell r="Y209">
            <v>1847230</v>
          </cell>
          <cell r="Z209">
            <v>1646484</v>
          </cell>
          <cell r="AA209">
            <v>1459406</v>
          </cell>
          <cell r="AB209">
            <v>1273264.04</v>
          </cell>
          <cell r="AC209">
            <v>1083140</v>
          </cell>
          <cell r="AD209">
            <v>833475</v>
          </cell>
          <cell r="AE209">
            <v>648922</v>
          </cell>
          <cell r="AF209">
            <v>448680</v>
          </cell>
          <cell r="AG209">
            <v>262106</v>
          </cell>
          <cell r="AH209">
            <v>2140453</v>
          </cell>
          <cell r="AI209">
            <v>1959865</v>
          </cell>
          <cell r="AJ209">
            <v>1776069</v>
          </cell>
          <cell r="AK209">
            <v>1595795</v>
          </cell>
          <cell r="AL209">
            <v>1432813</v>
          </cell>
          <cell r="AM209">
            <v>1243586</v>
          </cell>
          <cell r="AN209">
            <v>1108644.82</v>
          </cell>
        </row>
        <row r="210">
          <cell r="G210">
            <v>50</v>
          </cell>
          <cell r="H210" t="str">
            <v>YTD Target (Budget)</v>
          </cell>
          <cell r="I210">
            <v>5891</v>
          </cell>
          <cell r="J210">
            <v>2216536</v>
          </cell>
          <cell r="K210">
            <v>1978167</v>
          </cell>
          <cell r="L210">
            <v>1715881</v>
          </cell>
          <cell r="M210">
            <v>1484778</v>
          </cell>
          <cell r="N210">
            <v>1256057</v>
          </cell>
          <cell r="O210">
            <v>1068932</v>
          </cell>
          <cell r="P210">
            <v>866079</v>
          </cell>
          <cell r="Q210">
            <v>643507</v>
          </cell>
          <cell r="R210">
            <v>447403</v>
          </cell>
          <cell r="S210">
            <v>228783</v>
          </cell>
          <cell r="T210">
            <v>-4346</v>
          </cell>
          <cell r="U210">
            <v>162711</v>
          </cell>
          <cell r="V210">
            <v>2430074</v>
          </cell>
          <cell r="W210">
            <v>2208067</v>
          </cell>
          <cell r="X210">
            <v>2005316</v>
          </cell>
          <cell r="Y210">
            <v>1805767</v>
          </cell>
          <cell r="Z210">
            <v>1588906</v>
          </cell>
          <cell r="AA210">
            <v>1390406</v>
          </cell>
          <cell r="AB210">
            <v>1191582</v>
          </cell>
          <cell r="AC210">
            <v>995174</v>
          </cell>
          <cell r="AD210">
            <v>706342</v>
          </cell>
          <cell r="AE210">
            <v>503941</v>
          </cell>
          <cell r="AF210">
            <v>299827</v>
          </cell>
          <cell r="AG210">
            <v>257517</v>
          </cell>
          <cell r="AH210">
            <v>2113847</v>
          </cell>
          <cell r="AI210">
            <v>1939312</v>
          </cell>
          <cell r="AJ210">
            <v>1773886</v>
          </cell>
          <cell r="AK210">
            <v>1606094</v>
          </cell>
          <cell r="AL210">
            <v>1433591</v>
          </cell>
          <cell r="AM210">
            <v>1238670</v>
          </cell>
          <cell r="AN210">
            <v>1107133.0699999998</v>
          </cell>
        </row>
        <row r="211">
          <cell r="G211">
            <v>291</v>
          </cell>
          <cell r="H211" t="str">
            <v>Actual</v>
          </cell>
          <cell r="I211">
            <v>-20163</v>
          </cell>
          <cell r="J211">
            <v>-105510</v>
          </cell>
          <cell r="K211">
            <v>2737471</v>
          </cell>
          <cell r="L211">
            <v>169750</v>
          </cell>
          <cell r="M211">
            <v>17862</v>
          </cell>
          <cell r="N211">
            <v>1812670</v>
          </cell>
          <cell r="O211">
            <v>-580</v>
          </cell>
          <cell r="P211">
            <v>2931</v>
          </cell>
          <cell r="Q211">
            <v>1357813</v>
          </cell>
          <cell r="R211">
            <v>-6150</v>
          </cell>
          <cell r="S211">
            <v>-11744</v>
          </cell>
          <cell r="T211">
            <v>1441791</v>
          </cell>
          <cell r="U211">
            <v>103789</v>
          </cell>
          <cell r="V211">
            <v>20783</v>
          </cell>
          <cell r="W211">
            <v>3133202</v>
          </cell>
          <cell r="X211">
            <v>-72829</v>
          </cell>
          <cell r="Y211">
            <v>4126</v>
          </cell>
          <cell r="Z211">
            <v>1349359</v>
          </cell>
          <cell r="AA211">
            <v>-772</v>
          </cell>
          <cell r="AB211">
            <v>5449.02</v>
          </cell>
          <cell r="AC211">
            <v>1334138</v>
          </cell>
          <cell r="AD211">
            <v>-11731</v>
          </cell>
          <cell r="AE211">
            <v>-65146</v>
          </cell>
          <cell r="AF211">
            <v>1467036</v>
          </cell>
          <cell r="AG211">
            <v>3026</v>
          </cell>
          <cell r="AH211">
            <v>24593</v>
          </cell>
          <cell r="AI211">
            <v>1352903</v>
          </cell>
          <cell r="AJ211">
            <v>82303</v>
          </cell>
          <cell r="AK211">
            <v>750</v>
          </cell>
          <cell r="AL211">
            <v>1073332</v>
          </cell>
          <cell r="AM211">
            <v>-14561</v>
          </cell>
          <cell r="AN211">
            <v>26030.75</v>
          </cell>
        </row>
        <row r="212">
          <cell r="G212">
            <v>292</v>
          </cell>
          <cell r="H212" t="str">
            <v>Target (Budget)</v>
          </cell>
          <cell r="I212">
            <v>4606</v>
          </cell>
          <cell r="J212">
            <v>0</v>
          </cell>
          <cell r="K212">
            <v>1842931</v>
          </cell>
          <cell r="L212">
            <v>0</v>
          </cell>
          <cell r="M212">
            <v>0</v>
          </cell>
          <cell r="N212">
            <v>1695496</v>
          </cell>
          <cell r="O212">
            <v>0.01</v>
          </cell>
          <cell r="P212">
            <v>0.01</v>
          </cell>
          <cell r="Q212">
            <v>1326910</v>
          </cell>
          <cell r="R212">
            <v>0.01</v>
          </cell>
          <cell r="S212">
            <v>0.01</v>
          </cell>
          <cell r="T212">
            <v>2137799</v>
          </cell>
          <cell r="U212">
            <v>402725</v>
          </cell>
          <cell r="V212">
            <v>8986</v>
          </cell>
          <cell r="W212">
            <v>2621057</v>
          </cell>
          <cell r="X212">
            <v>8844</v>
          </cell>
          <cell r="Y212">
            <v>8844</v>
          </cell>
          <cell r="Z212">
            <v>1315266</v>
          </cell>
          <cell r="AA212">
            <v>0.01</v>
          </cell>
          <cell r="AB212">
            <v>8844</v>
          </cell>
          <cell r="AC212">
            <v>1315409</v>
          </cell>
          <cell r="AD212">
            <v>8844</v>
          </cell>
          <cell r="AE212">
            <v>8844</v>
          </cell>
          <cell r="AF212">
            <v>1315452</v>
          </cell>
          <cell r="AG212">
            <v>425</v>
          </cell>
          <cell r="AH212">
            <v>425</v>
          </cell>
          <cell r="AI212">
            <v>1520610</v>
          </cell>
          <cell r="AJ212">
            <v>385</v>
          </cell>
          <cell r="AK212">
            <v>385</v>
          </cell>
          <cell r="AL212">
            <v>1521043</v>
          </cell>
          <cell r="AM212">
            <v>385</v>
          </cell>
          <cell r="AN212">
            <v>385</v>
          </cell>
        </row>
        <row r="213">
          <cell r="G213">
            <v>295</v>
          </cell>
          <cell r="H213" t="str">
            <v>YTD Actual</v>
          </cell>
          <cell r="I213">
            <v>-20163</v>
          </cell>
          <cell r="J213">
            <v>-125672</v>
          </cell>
          <cell r="K213">
            <v>2611799</v>
          </cell>
          <cell r="L213">
            <v>2781549</v>
          </cell>
          <cell r="M213">
            <v>2799411</v>
          </cell>
          <cell r="N213">
            <v>4612081</v>
          </cell>
          <cell r="O213">
            <v>4611501</v>
          </cell>
          <cell r="P213">
            <v>4614432</v>
          </cell>
          <cell r="Q213">
            <v>5972245</v>
          </cell>
          <cell r="R213">
            <v>5966096</v>
          </cell>
          <cell r="S213">
            <v>5954351</v>
          </cell>
          <cell r="T213">
            <v>7396112</v>
          </cell>
          <cell r="U213">
            <v>103789</v>
          </cell>
          <cell r="V213">
            <v>124573</v>
          </cell>
          <cell r="W213">
            <v>3257773</v>
          </cell>
          <cell r="X213">
            <v>3184944</v>
          </cell>
          <cell r="Y213">
            <v>3189070</v>
          </cell>
          <cell r="Z213">
            <v>4538430</v>
          </cell>
          <cell r="AA213">
            <v>4537658</v>
          </cell>
          <cell r="AB213">
            <v>4543106.7</v>
          </cell>
          <cell r="AC213">
            <v>5877244</v>
          </cell>
          <cell r="AD213">
            <v>5865514</v>
          </cell>
          <cell r="AE213">
            <v>5800368</v>
          </cell>
          <cell r="AF213">
            <v>7267404</v>
          </cell>
          <cell r="AG213">
            <v>3026</v>
          </cell>
          <cell r="AH213">
            <v>27620</v>
          </cell>
          <cell r="AI213">
            <v>1380522</v>
          </cell>
          <cell r="AJ213">
            <v>1462826</v>
          </cell>
          <cell r="AK213">
            <v>1463575</v>
          </cell>
          <cell r="AL213">
            <v>2536907</v>
          </cell>
          <cell r="AM213">
            <v>2522347</v>
          </cell>
          <cell r="AN213">
            <v>2548377.4500000002</v>
          </cell>
        </row>
        <row r="214">
          <cell r="G214">
            <v>296</v>
          </cell>
          <cell r="H214" t="str">
            <v>YTD Target (Budget)</v>
          </cell>
          <cell r="I214">
            <v>4606</v>
          </cell>
          <cell r="J214">
            <v>4606</v>
          </cell>
          <cell r="K214">
            <v>1847537</v>
          </cell>
          <cell r="L214">
            <v>1847537</v>
          </cell>
          <cell r="M214">
            <v>2216123</v>
          </cell>
          <cell r="N214">
            <v>3911619</v>
          </cell>
          <cell r="O214">
            <v>3911619</v>
          </cell>
          <cell r="P214">
            <v>3911619</v>
          </cell>
          <cell r="Q214">
            <v>5238529</v>
          </cell>
          <cell r="R214">
            <v>5238529</v>
          </cell>
          <cell r="S214">
            <v>5238529</v>
          </cell>
          <cell r="T214">
            <v>7376328</v>
          </cell>
          <cell r="U214">
            <v>402725</v>
          </cell>
          <cell r="V214">
            <v>17972</v>
          </cell>
          <cell r="W214">
            <v>2639029</v>
          </cell>
          <cell r="X214">
            <v>2647873</v>
          </cell>
          <cell r="Y214">
            <v>2656717</v>
          </cell>
          <cell r="Z214">
            <v>3971983</v>
          </cell>
          <cell r="AA214">
            <v>44805</v>
          </cell>
          <cell r="AB214">
            <v>3989528</v>
          </cell>
          <cell r="AC214">
            <v>5304937</v>
          </cell>
          <cell r="AD214">
            <v>5313781</v>
          </cell>
          <cell r="AE214">
            <v>5322625</v>
          </cell>
          <cell r="AF214">
            <v>6638077</v>
          </cell>
          <cell r="AG214">
            <v>425</v>
          </cell>
          <cell r="AH214">
            <v>850</v>
          </cell>
          <cell r="AI214">
            <v>1521813</v>
          </cell>
          <cell r="AJ214">
            <v>1522198</v>
          </cell>
          <cell r="AK214">
            <v>1522583</v>
          </cell>
          <cell r="AL214">
            <v>3043626</v>
          </cell>
          <cell r="AM214">
            <v>3044011</v>
          </cell>
          <cell r="AN214">
            <v>3044396</v>
          </cell>
        </row>
        <row r="215">
          <cell r="G215">
            <v>303</v>
          </cell>
          <cell r="H215" t="str">
            <v>Actual</v>
          </cell>
          <cell r="I215">
            <v>413807</v>
          </cell>
          <cell r="J215">
            <v>370969</v>
          </cell>
          <cell r="K215">
            <v>423052</v>
          </cell>
          <cell r="L215">
            <v>434217</v>
          </cell>
          <cell r="M215">
            <v>393859</v>
          </cell>
          <cell r="N215">
            <v>393299</v>
          </cell>
          <cell r="O215">
            <v>396965</v>
          </cell>
          <cell r="P215">
            <v>396774</v>
          </cell>
          <cell r="Q215">
            <v>500057</v>
          </cell>
          <cell r="R215">
            <v>468637</v>
          </cell>
          <cell r="S215">
            <v>6560</v>
          </cell>
          <cell r="T215">
            <v>424867</v>
          </cell>
          <cell r="U215">
            <v>454910</v>
          </cell>
          <cell r="V215">
            <v>444667</v>
          </cell>
          <cell r="W215">
            <v>458119</v>
          </cell>
          <cell r="X215">
            <v>468332</v>
          </cell>
          <cell r="Y215">
            <v>465324</v>
          </cell>
          <cell r="Z215">
            <v>463394</v>
          </cell>
          <cell r="AA215">
            <v>4994</v>
          </cell>
          <cell r="AB215">
            <v>5449.02</v>
          </cell>
          <cell r="AC215">
            <v>437763</v>
          </cell>
          <cell r="AD215">
            <v>439371</v>
          </cell>
          <cell r="AE215">
            <v>424495</v>
          </cell>
          <cell r="AF215">
            <v>504740</v>
          </cell>
          <cell r="AG215">
            <v>410032</v>
          </cell>
          <cell r="AH215">
            <v>424607</v>
          </cell>
          <cell r="AI215">
            <v>417078</v>
          </cell>
          <cell r="AJ215">
            <v>432691</v>
          </cell>
          <cell r="AK215">
            <v>433578</v>
          </cell>
          <cell r="AL215">
            <v>426838</v>
          </cell>
          <cell r="AM215">
            <v>489341</v>
          </cell>
          <cell r="AN215">
            <v>420409.35</v>
          </cell>
        </row>
        <row r="216">
          <cell r="G216">
            <v>304</v>
          </cell>
          <cell r="H216" t="str">
            <v>Target (Budget)</v>
          </cell>
          <cell r="I216">
            <v>466522</v>
          </cell>
          <cell r="J216">
            <v>450208</v>
          </cell>
          <cell r="K216">
            <v>525781</v>
          </cell>
          <cell r="L216">
            <v>450205</v>
          </cell>
          <cell r="M216">
            <v>442205</v>
          </cell>
          <cell r="N216">
            <v>516781</v>
          </cell>
          <cell r="O216">
            <v>492205</v>
          </cell>
          <cell r="P216">
            <v>492205</v>
          </cell>
          <cell r="Q216">
            <v>516781</v>
          </cell>
          <cell r="R216">
            <v>442205</v>
          </cell>
          <cell r="S216">
            <v>43389</v>
          </cell>
          <cell r="T216">
            <v>516778</v>
          </cell>
          <cell r="U216">
            <v>371276</v>
          </cell>
          <cell r="V216">
            <v>433309</v>
          </cell>
          <cell r="W216">
            <v>536285</v>
          </cell>
          <cell r="X216">
            <v>458423</v>
          </cell>
          <cell r="Y216">
            <v>458611</v>
          </cell>
          <cell r="Z216">
            <v>514774</v>
          </cell>
          <cell r="AA216">
            <v>12289</v>
          </cell>
          <cell r="AB216">
            <v>567003</v>
          </cell>
          <cell r="AC216">
            <v>615048</v>
          </cell>
          <cell r="AD216">
            <v>557447</v>
          </cell>
          <cell r="AE216">
            <v>550423</v>
          </cell>
          <cell r="AF216">
            <v>617835</v>
          </cell>
          <cell r="AG216">
            <v>431110</v>
          </cell>
          <cell r="AH216">
            <v>431110</v>
          </cell>
          <cell r="AI216">
            <v>499752</v>
          </cell>
          <cell r="AJ216">
            <v>428427</v>
          </cell>
          <cell r="AK216">
            <v>444776</v>
          </cell>
          <cell r="AL216">
            <v>548153</v>
          </cell>
          <cell r="AM216">
            <v>455675</v>
          </cell>
          <cell r="AN216">
            <v>461124</v>
          </cell>
        </row>
        <row r="217">
          <cell r="G217">
            <v>307</v>
          </cell>
          <cell r="H217" t="str">
            <v>YTD Actual</v>
          </cell>
          <cell r="I217">
            <v>413807</v>
          </cell>
          <cell r="J217">
            <v>784776</v>
          </cell>
          <cell r="K217">
            <v>1207828</v>
          </cell>
          <cell r="L217">
            <v>1633485</v>
          </cell>
          <cell r="M217">
            <v>2027345</v>
          </cell>
          <cell r="N217">
            <v>2420625</v>
          </cell>
          <cell r="O217">
            <v>1793911</v>
          </cell>
          <cell r="P217">
            <v>3214364</v>
          </cell>
          <cell r="Q217">
            <v>3714421</v>
          </cell>
          <cell r="R217">
            <v>4183058</v>
          </cell>
          <cell r="S217">
            <v>4567226</v>
          </cell>
          <cell r="T217">
            <v>4992093</v>
          </cell>
          <cell r="U217">
            <v>454910</v>
          </cell>
          <cell r="V217">
            <v>899577</v>
          </cell>
          <cell r="W217">
            <v>1900076</v>
          </cell>
          <cell r="X217">
            <v>1826029</v>
          </cell>
          <cell r="Y217">
            <v>2291353</v>
          </cell>
          <cell r="Z217">
            <v>2754748</v>
          </cell>
          <cell r="AA217">
            <v>65861</v>
          </cell>
          <cell r="AB217">
            <v>4543106.7</v>
          </cell>
          <cell r="AC217">
            <v>4106264</v>
          </cell>
          <cell r="AD217">
            <v>4545634</v>
          </cell>
          <cell r="AE217">
            <v>4970129</v>
          </cell>
          <cell r="AF217">
            <v>5474869</v>
          </cell>
          <cell r="AG217">
            <v>410032</v>
          </cell>
          <cell r="AH217">
            <v>834638</v>
          </cell>
          <cell r="AI217">
            <v>1251717</v>
          </cell>
          <cell r="AJ217">
            <v>1684408</v>
          </cell>
          <cell r="AK217">
            <v>2117986</v>
          </cell>
          <cell r="AL217">
            <v>2544824</v>
          </cell>
          <cell r="AM217">
            <v>3034165</v>
          </cell>
          <cell r="AN217">
            <v>3454574.08</v>
          </cell>
        </row>
        <row r="218">
          <cell r="G218">
            <v>308</v>
          </cell>
          <cell r="H218" t="str">
            <v>YTD Target (Budget)</v>
          </cell>
          <cell r="I218">
            <v>466522</v>
          </cell>
          <cell r="J218">
            <v>916730</v>
          </cell>
          <cell r="K218">
            <v>1442511</v>
          </cell>
          <cell r="L218">
            <v>1892716</v>
          </cell>
          <cell r="M218">
            <v>2301921</v>
          </cell>
          <cell r="N218">
            <v>2818702</v>
          </cell>
          <cell r="O218">
            <v>600712</v>
          </cell>
          <cell r="P218">
            <v>3803112</v>
          </cell>
          <cell r="Q218">
            <v>4319893</v>
          </cell>
          <cell r="R218">
            <v>4762098</v>
          </cell>
          <cell r="S218">
            <v>5204303</v>
          </cell>
          <cell r="T218">
            <v>5721081</v>
          </cell>
          <cell r="U218">
            <v>371276</v>
          </cell>
          <cell r="V218">
            <v>866912</v>
          </cell>
          <cell r="W218">
            <v>1235832</v>
          </cell>
          <cell r="X218">
            <v>1861620</v>
          </cell>
          <cell r="Y218">
            <v>2320231</v>
          </cell>
          <cell r="Z218">
            <v>2835005</v>
          </cell>
          <cell r="AA218">
            <v>62791</v>
          </cell>
          <cell r="AB218">
            <v>3959455</v>
          </cell>
          <cell r="AC218">
            <v>4574503</v>
          </cell>
          <cell r="AD218">
            <v>5131950</v>
          </cell>
          <cell r="AE218">
            <v>5682373</v>
          </cell>
          <cell r="AF218">
            <v>6300208</v>
          </cell>
          <cell r="AG218">
            <v>431110</v>
          </cell>
          <cell r="AH218">
            <v>862220</v>
          </cell>
          <cell r="AI218">
            <v>1364016</v>
          </cell>
          <cell r="AJ218">
            <v>1792443</v>
          </cell>
          <cell r="AK218">
            <v>2237219</v>
          </cell>
          <cell r="AL218">
            <v>2785372</v>
          </cell>
          <cell r="AM218">
            <v>3241047</v>
          </cell>
          <cell r="AN218">
            <v>3702171</v>
          </cell>
        </row>
        <row r="219">
          <cell r="G219">
            <v>327</v>
          </cell>
          <cell r="H219" t="str">
            <v>Empl_Benefits</v>
          </cell>
          <cell r="I219">
            <v>101025</v>
          </cell>
          <cell r="J219">
            <v>94217</v>
          </cell>
          <cell r="K219">
            <v>99444</v>
          </cell>
          <cell r="L219">
            <v>105781</v>
          </cell>
          <cell r="M219">
            <v>99672</v>
          </cell>
          <cell r="N219">
            <v>99241</v>
          </cell>
          <cell r="O219">
            <v>99241</v>
          </cell>
          <cell r="P219">
            <v>97181</v>
          </cell>
          <cell r="Q219">
            <v>119437</v>
          </cell>
          <cell r="R219">
            <v>99083</v>
          </cell>
          <cell r="S219">
            <v>97298</v>
          </cell>
          <cell r="T219">
            <v>98076</v>
          </cell>
          <cell r="U219">
            <v>112197</v>
          </cell>
          <cell r="V219">
            <v>112198</v>
          </cell>
          <cell r="W219">
            <v>116970</v>
          </cell>
          <cell r="X219">
            <v>116933</v>
          </cell>
          <cell r="Y219">
            <v>116925</v>
          </cell>
          <cell r="Z219">
            <v>118499</v>
          </cell>
          <cell r="AA219">
            <v>1269</v>
          </cell>
          <cell r="AB219">
            <v>112697.04</v>
          </cell>
          <cell r="AC219">
            <v>111124</v>
          </cell>
          <cell r="AD219">
            <v>110794</v>
          </cell>
          <cell r="AE219">
            <v>109770</v>
          </cell>
          <cell r="AF219">
            <v>111222</v>
          </cell>
          <cell r="AG219">
            <v>107547</v>
          </cell>
          <cell r="AH219">
            <v>109584</v>
          </cell>
          <cell r="AI219">
            <v>114031</v>
          </cell>
          <cell r="AJ219">
            <v>114104</v>
          </cell>
          <cell r="AK219">
            <v>112992</v>
          </cell>
          <cell r="AL219">
            <v>113026</v>
          </cell>
          <cell r="AM219">
            <v>110721</v>
          </cell>
          <cell r="AN219">
            <v>109798.59999999999</v>
          </cell>
        </row>
        <row r="220">
          <cell r="G220">
            <v>328</v>
          </cell>
          <cell r="H220" t="str">
            <v>Actual Total Personnel</v>
          </cell>
          <cell r="I220">
            <v>407598</v>
          </cell>
          <cell r="J220">
            <v>367497</v>
          </cell>
          <cell r="K220">
            <v>395052</v>
          </cell>
          <cell r="L220">
            <v>419060</v>
          </cell>
          <cell r="M220">
            <v>387486</v>
          </cell>
          <cell r="N220">
            <v>384579</v>
          </cell>
          <cell r="O220">
            <v>384579</v>
          </cell>
          <cell r="P220">
            <v>383688</v>
          </cell>
          <cell r="Q220">
            <v>496178</v>
          </cell>
          <cell r="R220">
            <v>397921</v>
          </cell>
          <cell r="S220">
            <v>377607</v>
          </cell>
          <cell r="T220">
            <v>383214</v>
          </cell>
          <cell r="U220">
            <v>434857</v>
          </cell>
          <cell r="V220">
            <v>434968</v>
          </cell>
          <cell r="W220">
            <v>451793</v>
          </cell>
          <cell r="X220">
            <v>447116</v>
          </cell>
          <cell r="Y220">
            <v>446088</v>
          </cell>
          <cell r="Z220">
            <v>457324</v>
          </cell>
          <cell r="AA220">
            <v>4793</v>
          </cell>
          <cell r="AB220">
            <v>320113.64</v>
          </cell>
          <cell r="AC220">
            <v>433042</v>
          </cell>
          <cell r="AD220">
            <v>425522</v>
          </cell>
          <cell r="AE220">
            <v>417166</v>
          </cell>
          <cell r="AF220">
            <v>429304</v>
          </cell>
          <cell r="AG220">
            <v>401466</v>
          </cell>
          <cell r="AH220">
            <v>416223</v>
          </cell>
          <cell r="AI220">
            <v>434923</v>
          </cell>
          <cell r="AJ220">
            <v>427755</v>
          </cell>
          <cell r="AK220">
            <v>420836</v>
          </cell>
          <cell r="AL220">
            <v>420785</v>
          </cell>
          <cell r="AM220">
            <v>419933</v>
          </cell>
          <cell r="AN220">
            <v>410789.32999999996</v>
          </cell>
        </row>
        <row r="221">
          <cell r="G221">
            <v>329</v>
          </cell>
          <cell r="H221" t="str">
            <v>Target Empl_Benefits</v>
          </cell>
          <cell r="I221">
            <v>105257</v>
          </cell>
          <cell r="J221">
            <v>102257</v>
          </cell>
          <cell r="K221">
            <v>11535</v>
          </cell>
          <cell r="L221">
            <v>102254</v>
          </cell>
          <cell r="M221">
            <v>102254</v>
          </cell>
          <cell r="N221">
            <v>115035</v>
          </cell>
          <cell r="O221">
            <v>102254</v>
          </cell>
          <cell r="P221">
            <v>102254</v>
          </cell>
          <cell r="Q221">
            <v>115035</v>
          </cell>
          <cell r="R221">
            <v>102254</v>
          </cell>
          <cell r="S221">
            <v>102254</v>
          </cell>
          <cell r="T221">
            <v>115038</v>
          </cell>
          <cell r="U221">
            <v>94462</v>
          </cell>
          <cell r="V221">
            <v>110917</v>
          </cell>
          <cell r="W221">
            <v>124826</v>
          </cell>
          <cell r="X221">
            <v>110917</v>
          </cell>
          <cell r="Y221">
            <v>110917</v>
          </cell>
          <cell r="Z221">
            <v>124781</v>
          </cell>
          <cell r="AA221">
            <v>1191</v>
          </cell>
          <cell r="AB221">
            <v>110917</v>
          </cell>
          <cell r="AC221">
            <v>124781</v>
          </cell>
          <cell r="AD221">
            <v>110917</v>
          </cell>
          <cell r="AE221">
            <v>110917</v>
          </cell>
          <cell r="AF221">
            <v>124779</v>
          </cell>
          <cell r="AG221">
            <v>111967</v>
          </cell>
          <cell r="AH221">
            <v>111967</v>
          </cell>
          <cell r="AI221">
            <v>127114</v>
          </cell>
          <cell r="AJ221">
            <v>112989</v>
          </cell>
          <cell r="AK221">
            <v>112989</v>
          </cell>
          <cell r="AL221">
            <v>127114</v>
          </cell>
          <cell r="AM221">
            <v>112989</v>
          </cell>
          <cell r="AN221">
            <v>112989</v>
          </cell>
        </row>
        <row r="222">
          <cell r="G222">
            <v>330</v>
          </cell>
          <cell r="H222" t="str">
            <v>Target Total Personnel</v>
          </cell>
          <cell r="I222">
            <v>410033</v>
          </cell>
          <cell r="J222">
            <v>398819</v>
          </cell>
          <cell r="K222">
            <v>448668</v>
          </cell>
          <cell r="L222">
            <v>398816</v>
          </cell>
          <cell r="M222">
            <v>398816</v>
          </cell>
          <cell r="N222">
            <v>448668</v>
          </cell>
          <cell r="O222">
            <v>398816</v>
          </cell>
          <cell r="P222">
            <v>398816</v>
          </cell>
          <cell r="Q222">
            <v>448668</v>
          </cell>
          <cell r="R222">
            <v>398816</v>
          </cell>
          <cell r="S222">
            <v>398816</v>
          </cell>
          <cell r="T222">
            <v>448674</v>
          </cell>
          <cell r="U222">
            <v>363683</v>
          </cell>
          <cell r="V222">
            <v>426010</v>
          </cell>
          <cell r="W222">
            <v>487624</v>
          </cell>
          <cell r="X222">
            <v>426010</v>
          </cell>
          <cell r="Y222">
            <v>426010</v>
          </cell>
          <cell r="Z222">
            <v>479033</v>
          </cell>
          <cell r="AA222">
            <v>4564</v>
          </cell>
          <cell r="AB222">
            <v>426010</v>
          </cell>
          <cell r="AC222">
            <v>479033</v>
          </cell>
          <cell r="AD222">
            <v>426010</v>
          </cell>
          <cell r="AE222">
            <v>426010</v>
          </cell>
          <cell r="AF222">
            <v>479035</v>
          </cell>
          <cell r="AG222">
            <v>421608</v>
          </cell>
          <cell r="AH222">
            <v>421608</v>
          </cell>
          <cell r="AI222">
            <v>475460</v>
          </cell>
          <cell r="AJ222">
            <v>422630</v>
          </cell>
          <cell r="AK222">
            <v>422630</v>
          </cell>
          <cell r="AL222">
            <v>475460</v>
          </cell>
          <cell r="AM222">
            <v>422630</v>
          </cell>
          <cell r="AN222">
            <v>422630</v>
          </cell>
        </row>
        <row r="223">
          <cell r="G223">
            <v>331</v>
          </cell>
          <cell r="H223" t="str">
            <v>YTD Empl_Benefits</v>
          </cell>
          <cell r="I223">
            <v>101025</v>
          </cell>
          <cell r="J223">
            <v>195242</v>
          </cell>
          <cell r="K223">
            <v>294687</v>
          </cell>
          <cell r="L223">
            <v>400408</v>
          </cell>
          <cell r="M223">
            <v>500080</v>
          </cell>
          <cell r="N223">
            <v>599304</v>
          </cell>
          <cell r="O223">
            <v>698545</v>
          </cell>
          <cell r="P223">
            <v>795726</v>
          </cell>
          <cell r="Q223">
            <v>915163</v>
          </cell>
          <cell r="R223">
            <v>1014247</v>
          </cell>
          <cell r="S223">
            <v>1111545</v>
          </cell>
          <cell r="T223">
            <v>1209620</v>
          </cell>
          <cell r="U223">
            <v>112197</v>
          </cell>
          <cell r="V223">
            <v>224395</v>
          </cell>
          <cell r="W223">
            <v>341365</v>
          </cell>
          <cell r="X223">
            <v>458298</v>
          </cell>
          <cell r="Y223">
            <v>575223</v>
          </cell>
          <cell r="Z223">
            <v>693722</v>
          </cell>
          <cell r="AA223">
            <v>8779</v>
          </cell>
          <cell r="AB223">
            <v>918939.56</v>
          </cell>
          <cell r="AC223">
            <v>1030063</v>
          </cell>
          <cell r="AD223">
            <v>1140857</v>
          </cell>
          <cell r="AE223">
            <v>1250627</v>
          </cell>
          <cell r="AF223">
            <v>1361849</v>
          </cell>
          <cell r="AG223">
            <v>107547</v>
          </cell>
          <cell r="AH223">
            <v>217131</v>
          </cell>
          <cell r="AI223">
            <v>331162</v>
          </cell>
          <cell r="AJ223">
            <v>445266</v>
          </cell>
          <cell r="AK223">
            <v>558258</v>
          </cell>
          <cell r="AL223">
            <v>671284</v>
          </cell>
          <cell r="AM223">
            <v>782005</v>
          </cell>
          <cell r="AN223">
            <v>891803.22</v>
          </cell>
        </row>
        <row r="224">
          <cell r="G224">
            <v>332</v>
          </cell>
          <cell r="H224" t="str">
            <v>YTD Actual Total Personnel</v>
          </cell>
          <cell r="I224">
            <v>407598</v>
          </cell>
          <cell r="J224">
            <v>775095</v>
          </cell>
          <cell r="K224">
            <v>1170147</v>
          </cell>
          <cell r="L224">
            <v>1580648</v>
          </cell>
          <cell r="M224">
            <v>1968134</v>
          </cell>
          <cell r="N224">
            <v>2352695</v>
          </cell>
          <cell r="O224">
            <v>2737274</v>
          </cell>
          <cell r="P224">
            <v>3120962</v>
          </cell>
          <cell r="Q224">
            <v>3617140</v>
          </cell>
          <cell r="R224">
            <v>4015060</v>
          </cell>
          <cell r="S224">
            <v>4392667</v>
          </cell>
          <cell r="T224">
            <v>4775882</v>
          </cell>
          <cell r="U224">
            <v>434857</v>
          </cell>
          <cell r="V224">
            <v>869825</v>
          </cell>
          <cell r="W224">
            <v>1321618</v>
          </cell>
          <cell r="X224">
            <v>1768734</v>
          </cell>
          <cell r="Y224">
            <v>2214822</v>
          </cell>
          <cell r="Z224">
            <v>2672146</v>
          </cell>
          <cell r="AA224">
            <v>33318</v>
          </cell>
          <cell r="AB224">
            <v>2615646.39</v>
          </cell>
          <cell r="AC224">
            <v>3967628</v>
          </cell>
          <cell r="AD224">
            <v>4393150</v>
          </cell>
          <cell r="AE224">
            <v>4810316</v>
          </cell>
          <cell r="AF224">
            <v>5239620</v>
          </cell>
          <cell r="AG224">
            <v>401466</v>
          </cell>
          <cell r="AH224">
            <v>817689</v>
          </cell>
          <cell r="AI224">
            <v>1252612</v>
          </cell>
          <cell r="AJ224">
            <v>1680367</v>
          </cell>
          <cell r="AK224">
            <v>2101202</v>
          </cell>
          <cell r="AL224">
            <v>2521987</v>
          </cell>
          <cell r="AM224">
            <v>2941920</v>
          </cell>
          <cell r="AN224">
            <v>3352709.7800000003</v>
          </cell>
        </row>
        <row r="225">
          <cell r="G225">
            <v>333</v>
          </cell>
          <cell r="H225" t="str">
            <v>YTD Target Empl_Benefits</v>
          </cell>
          <cell r="I225">
            <v>102257</v>
          </cell>
          <cell r="J225">
            <v>204514</v>
          </cell>
          <cell r="K225">
            <v>319549</v>
          </cell>
          <cell r="L225">
            <v>421803</v>
          </cell>
          <cell r="M225">
            <v>524057</v>
          </cell>
          <cell r="N225">
            <v>639092</v>
          </cell>
          <cell r="O225">
            <v>741346</v>
          </cell>
          <cell r="P225">
            <v>843600</v>
          </cell>
          <cell r="Q225">
            <v>958635</v>
          </cell>
          <cell r="R225">
            <v>1060889</v>
          </cell>
          <cell r="S225">
            <v>1163143</v>
          </cell>
          <cell r="T225">
            <v>1278181</v>
          </cell>
          <cell r="U225">
            <v>94462</v>
          </cell>
          <cell r="V225">
            <v>221834</v>
          </cell>
          <cell r="W225">
            <v>346660</v>
          </cell>
          <cell r="X225">
            <v>457577</v>
          </cell>
          <cell r="Y225">
            <v>568494</v>
          </cell>
          <cell r="Z225">
            <v>693275</v>
          </cell>
          <cell r="AA225">
            <v>8663</v>
          </cell>
          <cell r="AB225">
            <v>915109</v>
          </cell>
          <cell r="AC225">
            <v>1039890</v>
          </cell>
          <cell r="AD225">
            <v>1150807</v>
          </cell>
          <cell r="AE225">
            <v>1261724</v>
          </cell>
          <cell r="AF225">
            <v>1386503</v>
          </cell>
          <cell r="AG225">
            <v>111967</v>
          </cell>
          <cell r="AH225">
            <v>223934</v>
          </cell>
          <cell r="AI225">
            <v>353092</v>
          </cell>
          <cell r="AJ225">
            <v>466081</v>
          </cell>
          <cell r="AK225">
            <v>579070</v>
          </cell>
          <cell r="AL225">
            <v>706184</v>
          </cell>
          <cell r="AM225">
            <v>819173</v>
          </cell>
          <cell r="AN225">
            <v>932162</v>
          </cell>
        </row>
        <row r="226">
          <cell r="G226">
            <v>334</v>
          </cell>
          <cell r="H226" t="str">
            <v>YTD Target Total Personnel</v>
          </cell>
          <cell r="I226">
            <v>410033</v>
          </cell>
          <cell r="J226">
            <v>808852</v>
          </cell>
          <cell r="K226">
            <v>1257520</v>
          </cell>
          <cell r="L226">
            <v>1656336</v>
          </cell>
          <cell r="M226">
            <v>2055152</v>
          </cell>
          <cell r="N226">
            <v>2503820</v>
          </cell>
          <cell r="O226">
            <v>2902636</v>
          </cell>
          <cell r="P226">
            <v>3301452</v>
          </cell>
          <cell r="Q226">
            <v>3750120</v>
          </cell>
          <cell r="R226">
            <v>4148936</v>
          </cell>
          <cell r="S226">
            <v>4547752</v>
          </cell>
          <cell r="T226">
            <v>4996426</v>
          </cell>
          <cell r="U226">
            <v>363683</v>
          </cell>
          <cell r="V226">
            <v>852020</v>
          </cell>
          <cell r="W226">
            <v>1339644</v>
          </cell>
          <cell r="X226">
            <v>1765654</v>
          </cell>
          <cell r="Y226">
            <v>2191664</v>
          </cell>
          <cell r="Z226">
            <v>2670697</v>
          </cell>
          <cell r="AA226">
            <v>33088</v>
          </cell>
          <cell r="AB226">
            <v>3522717</v>
          </cell>
          <cell r="AC226">
            <v>4001750</v>
          </cell>
          <cell r="AD226">
            <v>4427760</v>
          </cell>
          <cell r="AE226">
            <v>4853770</v>
          </cell>
          <cell r="AF226">
            <v>5332805</v>
          </cell>
          <cell r="AG226">
            <v>421608</v>
          </cell>
          <cell r="AH226">
            <v>843216</v>
          </cell>
          <cell r="AI226">
            <v>1320720</v>
          </cell>
          <cell r="AJ226">
            <v>1743350</v>
          </cell>
          <cell r="AK226">
            <v>2165980</v>
          </cell>
          <cell r="AL226">
            <v>2641440</v>
          </cell>
          <cell r="AM226">
            <v>3064070</v>
          </cell>
          <cell r="AN226">
            <v>3486700</v>
          </cell>
        </row>
        <row r="227">
          <cell r="G227">
            <v>335</v>
          </cell>
          <cell r="H227" t="str">
            <v>Actual</v>
          </cell>
          <cell r="I227">
            <v>-433970</v>
          </cell>
          <cell r="J227">
            <v>-476479</v>
          </cell>
          <cell r="K227">
            <v>2314420</v>
          </cell>
          <cell r="L227">
            <v>-264467</v>
          </cell>
          <cell r="M227">
            <v>-375997</v>
          </cell>
          <cell r="N227">
            <v>1419371</v>
          </cell>
          <cell r="O227">
            <v>-397545</v>
          </cell>
          <cell r="P227">
            <v>-393843</v>
          </cell>
          <cell r="Q227">
            <v>857756</v>
          </cell>
          <cell r="R227">
            <v>-474787</v>
          </cell>
          <cell r="S227">
            <v>-395912</v>
          </cell>
          <cell r="T227">
            <v>1016894</v>
          </cell>
          <cell r="U227">
            <v>-351122</v>
          </cell>
          <cell r="V227">
            <v>-423884</v>
          </cell>
          <cell r="W227">
            <v>2675082</v>
          </cell>
          <cell r="X227">
            <v>-541161</v>
          </cell>
          <cell r="Y227">
            <v>-461198</v>
          </cell>
          <cell r="Z227">
            <v>885965</v>
          </cell>
          <cell r="AA227">
            <v>-4994</v>
          </cell>
          <cell r="AB227">
            <v>5449.02</v>
          </cell>
          <cell r="AC227">
            <v>896375</v>
          </cell>
          <cell r="AD227">
            <v>-451101</v>
          </cell>
          <cell r="AE227">
            <v>-489641</v>
          </cell>
          <cell r="AF227">
            <v>962296</v>
          </cell>
          <cell r="AG227">
            <v>-407005</v>
          </cell>
          <cell r="AH227">
            <v>-400013</v>
          </cell>
          <cell r="AI227">
            <v>935824</v>
          </cell>
          <cell r="AJ227">
            <v>-350387</v>
          </cell>
          <cell r="AK227">
            <v>-432828</v>
          </cell>
          <cell r="AL227">
            <v>646494</v>
          </cell>
          <cell r="AM227">
            <v>-503901</v>
          </cell>
          <cell r="AN227">
            <v>-394378.6</v>
          </cell>
        </row>
        <row r="228">
          <cell r="G228">
            <v>336</v>
          </cell>
          <cell r="H228" t="str">
            <v>Target (Budget)</v>
          </cell>
          <cell r="I228">
            <v>-461916</v>
          </cell>
          <cell r="J228">
            <v>-450208</v>
          </cell>
          <cell r="K228">
            <v>1317150</v>
          </cell>
          <cell r="L228">
            <v>-450205</v>
          </cell>
          <cell r="M228">
            <v>-442205</v>
          </cell>
          <cell r="N228">
            <v>1178715</v>
          </cell>
          <cell r="O228">
            <v>-492205</v>
          </cell>
          <cell r="P228">
            <v>-492205</v>
          </cell>
          <cell r="Q228">
            <v>810129</v>
          </cell>
          <cell r="R228">
            <v>-442205</v>
          </cell>
          <cell r="S228">
            <v>-442205</v>
          </cell>
          <cell r="T228">
            <v>1621021</v>
          </cell>
          <cell r="U228">
            <v>31449</v>
          </cell>
          <cell r="V228">
            <v>-424323</v>
          </cell>
          <cell r="W228">
            <v>2084772</v>
          </cell>
          <cell r="X228">
            <v>-449579</v>
          </cell>
          <cell r="Y228">
            <v>-449767</v>
          </cell>
          <cell r="Z228">
            <v>800492</v>
          </cell>
          <cell r="AA228">
            <v>-12289</v>
          </cell>
          <cell r="AB228">
            <v>-558159</v>
          </cell>
          <cell r="AC228">
            <v>700361</v>
          </cell>
          <cell r="AD228">
            <v>-548603</v>
          </cell>
          <cell r="AE228">
            <v>-541579</v>
          </cell>
          <cell r="AF228">
            <v>697617</v>
          </cell>
          <cell r="AG228">
            <v>-430685</v>
          </cell>
          <cell r="AH228">
            <v>-430685</v>
          </cell>
          <cell r="AI228">
            <v>1021291</v>
          </cell>
          <cell r="AJ228">
            <v>-428042</v>
          </cell>
          <cell r="AK228">
            <v>-444391</v>
          </cell>
          <cell r="AL228">
            <v>972890</v>
          </cell>
          <cell r="AM228">
            <v>-455290</v>
          </cell>
          <cell r="AN228">
            <v>-460739</v>
          </cell>
        </row>
        <row r="229">
          <cell r="G229">
            <v>339</v>
          </cell>
          <cell r="H229" t="str">
            <v>YTD Actual</v>
          </cell>
          <cell r="I229">
            <v>-433970</v>
          </cell>
          <cell r="J229">
            <v>-910449</v>
          </cell>
          <cell r="K229">
            <v>1403971</v>
          </cell>
          <cell r="L229">
            <v>1148064</v>
          </cell>
          <cell r="M229">
            <v>772067</v>
          </cell>
          <cell r="N229">
            <v>2191456</v>
          </cell>
          <cell r="O229">
            <v>1793911</v>
          </cell>
          <cell r="P229">
            <v>1400068</v>
          </cell>
          <cell r="Q229">
            <v>2257824</v>
          </cell>
          <cell r="R229">
            <v>1783037</v>
          </cell>
          <cell r="S229">
            <v>1387126</v>
          </cell>
          <cell r="T229">
            <v>2404019</v>
          </cell>
          <cell r="U229">
            <v>-351122</v>
          </cell>
          <cell r="V229">
            <v>-775006</v>
          </cell>
          <cell r="W229">
            <v>1900076</v>
          </cell>
          <cell r="X229">
            <v>1358915</v>
          </cell>
          <cell r="Y229">
            <v>897717</v>
          </cell>
          <cell r="Z229">
            <v>1783682</v>
          </cell>
          <cell r="AA229">
            <v>1747</v>
          </cell>
          <cell r="AB229">
            <v>4543106.7</v>
          </cell>
          <cell r="AC229">
            <v>1770981</v>
          </cell>
          <cell r="AD229">
            <v>1319879</v>
          </cell>
          <cell r="AE229">
            <v>830239</v>
          </cell>
          <cell r="AF229">
            <v>1792534</v>
          </cell>
          <cell r="AG229">
            <v>-407005</v>
          </cell>
          <cell r="AH229">
            <v>-807019</v>
          </cell>
          <cell r="AI229">
            <v>128805</v>
          </cell>
          <cell r="AJ229">
            <v>-221582</v>
          </cell>
          <cell r="AK229">
            <v>-654410</v>
          </cell>
          <cell r="AL229">
            <v>-7917</v>
          </cell>
          <cell r="AM229">
            <v>-511818</v>
          </cell>
          <cell r="AN229">
            <v>-906196.62999999989</v>
          </cell>
        </row>
        <row r="230">
          <cell r="G230">
            <v>340</v>
          </cell>
          <cell r="H230" t="str">
            <v>YTD Target (Budget)</v>
          </cell>
          <cell r="I230">
            <v>-461916</v>
          </cell>
          <cell r="J230">
            <v>-912124</v>
          </cell>
          <cell r="K230">
            <v>405026</v>
          </cell>
          <cell r="L230">
            <v>-45179</v>
          </cell>
          <cell r="M230">
            <v>-85798</v>
          </cell>
          <cell r="N230">
            <v>1092917</v>
          </cell>
          <cell r="O230">
            <v>600712</v>
          </cell>
          <cell r="P230">
            <v>108507</v>
          </cell>
          <cell r="Q230">
            <v>918636</v>
          </cell>
          <cell r="R230">
            <v>476431</v>
          </cell>
          <cell r="S230">
            <v>24226</v>
          </cell>
          <cell r="T230">
            <v>1655247</v>
          </cell>
          <cell r="U230">
            <v>31449</v>
          </cell>
          <cell r="V230">
            <v>-848940</v>
          </cell>
          <cell r="W230">
            <v>1235832</v>
          </cell>
          <cell r="X230">
            <v>786253</v>
          </cell>
          <cell r="Y230">
            <v>336489</v>
          </cell>
          <cell r="Z230">
            <v>1136978</v>
          </cell>
          <cell r="AA230">
            <v>-17986</v>
          </cell>
          <cell r="AB230">
            <v>30073</v>
          </cell>
          <cell r="AC230">
            <v>730434</v>
          </cell>
          <cell r="AD230">
            <v>181831</v>
          </cell>
          <cell r="AE230">
            <v>-359748</v>
          </cell>
          <cell r="AF230">
            <v>337869</v>
          </cell>
          <cell r="AG230">
            <v>-430685</v>
          </cell>
          <cell r="AH230">
            <v>-861370</v>
          </cell>
          <cell r="AI230">
            <v>157797</v>
          </cell>
          <cell r="AJ230">
            <v>-270245</v>
          </cell>
          <cell r="AK230">
            <v>-714636</v>
          </cell>
          <cell r="AL230">
            <v>258254</v>
          </cell>
          <cell r="AM230">
            <v>-197036</v>
          </cell>
          <cell r="AN230">
            <v>-657775</v>
          </cell>
        </row>
        <row r="231">
          <cell r="G231">
            <v>347</v>
          </cell>
          <cell r="H231" t="str">
            <v>Actual</v>
          </cell>
          <cell r="I231">
            <v>-538317</v>
          </cell>
          <cell r="J231">
            <v>-601148</v>
          </cell>
          <cell r="K231">
            <v>2120819</v>
          </cell>
          <cell r="L231">
            <v>-304572</v>
          </cell>
          <cell r="M231">
            <v>-407499</v>
          </cell>
          <cell r="N231">
            <v>1278913</v>
          </cell>
          <cell r="O231">
            <v>-403409</v>
          </cell>
          <cell r="P231">
            <v>-394548</v>
          </cell>
          <cell r="Q231">
            <v>746841</v>
          </cell>
          <cell r="R231">
            <v>-499303</v>
          </cell>
          <cell r="S231">
            <v>-425678</v>
          </cell>
          <cell r="T231">
            <v>-656917</v>
          </cell>
          <cell r="U231">
            <v>398405</v>
          </cell>
          <cell r="V231">
            <v>-526227</v>
          </cell>
          <cell r="W231">
            <v>2519899</v>
          </cell>
          <cell r="X231">
            <v>-505775</v>
          </cell>
          <cell r="Y231">
            <v>-430102</v>
          </cell>
          <cell r="Z231">
            <v>657635</v>
          </cell>
          <cell r="AA231">
            <v>-4994</v>
          </cell>
          <cell r="AB231">
            <v>-434320.36</v>
          </cell>
          <cell r="AC231">
            <v>845130</v>
          </cell>
          <cell r="AD231">
            <v>-419603</v>
          </cell>
          <cell r="AE231">
            <v>-450650</v>
          </cell>
          <cell r="AF231">
            <v>-1197664</v>
          </cell>
          <cell r="AG231">
            <v>-441166</v>
          </cell>
          <cell r="AH231">
            <v>-308259</v>
          </cell>
          <cell r="AI231">
            <v>842141</v>
          </cell>
          <cell r="AJ231">
            <v>-321117</v>
          </cell>
          <cell r="AK231">
            <v>-403275</v>
          </cell>
          <cell r="AL231">
            <v>531615</v>
          </cell>
          <cell r="AM231">
            <v>-475213</v>
          </cell>
          <cell r="AN231">
            <v>-367117.22</v>
          </cell>
        </row>
        <row r="232">
          <cell r="G232">
            <v>348</v>
          </cell>
          <cell r="H232" t="str">
            <v>Target (Budget)</v>
          </cell>
          <cell r="I232">
            <v>-494956</v>
          </cell>
          <cell r="J232">
            <v>-583248</v>
          </cell>
          <cell r="K232">
            <v>1167858</v>
          </cell>
          <cell r="L232">
            <v>-333245</v>
          </cell>
          <cell r="M232">
            <v>-475245</v>
          </cell>
          <cell r="N232">
            <v>1029423</v>
          </cell>
          <cell r="O232">
            <v>-525245</v>
          </cell>
          <cell r="P232">
            <v>-525245</v>
          </cell>
          <cell r="Q232">
            <v>660837</v>
          </cell>
          <cell r="R232">
            <v>-475245</v>
          </cell>
          <cell r="S232">
            <v>-475245</v>
          </cell>
          <cell r="T232">
            <v>971731</v>
          </cell>
          <cell r="U232">
            <v>401442</v>
          </cell>
          <cell r="V232">
            <v>-494799</v>
          </cell>
          <cell r="W232">
            <v>1984267</v>
          </cell>
          <cell r="X232">
            <v>-420055</v>
          </cell>
          <cell r="Y232">
            <v>-420243</v>
          </cell>
          <cell r="Z232">
            <v>534187</v>
          </cell>
          <cell r="AA232">
            <v>-12289</v>
          </cell>
          <cell r="AB232">
            <v>-528635</v>
          </cell>
          <cell r="AC232">
            <v>654856</v>
          </cell>
          <cell r="AD232">
            <v>-519079</v>
          </cell>
          <cell r="AE232">
            <v>-512055</v>
          </cell>
          <cell r="AF232">
            <v>-1447893</v>
          </cell>
          <cell r="AG232">
            <v>-388323</v>
          </cell>
          <cell r="AH232">
            <v>-441123</v>
          </cell>
          <cell r="AI232">
            <v>913109</v>
          </cell>
          <cell r="AJ232">
            <v>-399390</v>
          </cell>
          <cell r="AK232">
            <v>-415739</v>
          </cell>
          <cell r="AL232">
            <v>864708</v>
          </cell>
          <cell r="AM232">
            <v>-426638</v>
          </cell>
          <cell r="AN232">
            <v>-432087</v>
          </cell>
        </row>
        <row r="233">
          <cell r="G233">
            <v>351</v>
          </cell>
          <cell r="H233" t="str">
            <v>YTD Actual</v>
          </cell>
          <cell r="I233">
            <v>-538317</v>
          </cell>
          <cell r="J233">
            <v>-1139465</v>
          </cell>
          <cell r="K233">
            <v>981354</v>
          </cell>
          <cell r="L233">
            <v>685341</v>
          </cell>
          <cell r="M233">
            <v>277843</v>
          </cell>
          <cell r="N233">
            <v>1556773</v>
          </cell>
          <cell r="O233">
            <v>1153364</v>
          </cell>
          <cell r="P233">
            <v>758816</v>
          </cell>
          <cell r="Q233">
            <v>1505657</v>
          </cell>
          <cell r="R233">
            <v>1006354</v>
          </cell>
          <cell r="S233">
            <v>580676</v>
          </cell>
          <cell r="T233">
            <v>76242</v>
          </cell>
          <cell r="U233">
            <v>398405</v>
          </cell>
          <cell r="V233">
            <v>-820844</v>
          </cell>
          <cell r="W233">
            <v>1699056</v>
          </cell>
          <cell r="X233">
            <v>1193280</v>
          </cell>
          <cell r="Y233">
            <v>763179</v>
          </cell>
          <cell r="Z233">
            <v>1420813</v>
          </cell>
          <cell r="AA233">
            <v>-2106</v>
          </cell>
          <cell r="AB233">
            <v>494867.34</v>
          </cell>
          <cell r="AC233">
            <v>1339997</v>
          </cell>
          <cell r="AD233">
            <v>920395</v>
          </cell>
          <cell r="AE233">
            <v>469745</v>
          </cell>
          <cell r="AF233">
            <v>-727920</v>
          </cell>
          <cell r="AG233">
            <v>-441166</v>
          </cell>
          <cell r="AH233">
            <v>-749426</v>
          </cell>
          <cell r="AI233">
            <v>92715</v>
          </cell>
          <cell r="AJ233">
            <v>-228402</v>
          </cell>
          <cell r="AK233">
            <v>-631677</v>
          </cell>
          <cell r="AL233">
            <v>-100062</v>
          </cell>
          <cell r="AM233">
            <v>-575276</v>
          </cell>
          <cell r="AN233">
            <v>-942392.81999999983</v>
          </cell>
        </row>
        <row r="234">
          <cell r="G234">
            <v>352</v>
          </cell>
          <cell r="H234" t="str">
            <v>YTD Target (Budget)</v>
          </cell>
          <cell r="I234">
            <v>-494956</v>
          </cell>
          <cell r="J234">
            <v>-1078204</v>
          </cell>
          <cell r="K234">
            <v>89654</v>
          </cell>
          <cell r="L234">
            <v>-243591</v>
          </cell>
          <cell r="M234">
            <v>-317250</v>
          </cell>
          <cell r="N234">
            <v>712173</v>
          </cell>
          <cell r="O234">
            <v>186928</v>
          </cell>
          <cell r="P234">
            <v>-338317</v>
          </cell>
          <cell r="Q234">
            <v>322520</v>
          </cell>
          <cell r="R234">
            <v>-152725</v>
          </cell>
          <cell r="S234">
            <v>-627970</v>
          </cell>
          <cell r="T234">
            <v>343761</v>
          </cell>
          <cell r="U234">
            <v>401442</v>
          </cell>
          <cell r="V234">
            <v>-889892</v>
          </cell>
          <cell r="W234">
            <v>1094375</v>
          </cell>
          <cell r="X234">
            <v>674320</v>
          </cell>
          <cell r="Y234">
            <v>254077</v>
          </cell>
          <cell r="Z234">
            <v>844064</v>
          </cell>
          <cell r="AA234">
            <v>-20658</v>
          </cell>
          <cell r="AB234">
            <v>-203793</v>
          </cell>
          <cell r="AC234">
            <v>451063</v>
          </cell>
          <cell r="AD234">
            <v>-68016</v>
          </cell>
          <cell r="AE234">
            <v>-580071</v>
          </cell>
          <cell r="AF234">
            <v>-2027964</v>
          </cell>
          <cell r="AG234">
            <v>-388323</v>
          </cell>
          <cell r="AH234">
            <v>-882246</v>
          </cell>
          <cell r="AI234">
            <v>106919</v>
          </cell>
          <cell r="AJ234">
            <v>-292471</v>
          </cell>
          <cell r="AK234">
            <v>-708210</v>
          </cell>
          <cell r="AL234">
            <v>156498</v>
          </cell>
          <cell r="AM234">
            <v>-270140</v>
          </cell>
          <cell r="AN234">
            <v>-702227</v>
          </cell>
        </row>
        <row r="235">
          <cell r="G235">
            <v>9000</v>
          </cell>
          <cell r="H235" t="str">
            <v>Actual</v>
          </cell>
          <cell r="I235">
            <v>260356</v>
          </cell>
          <cell r="J235">
            <v>233424</v>
          </cell>
          <cell r="K235">
            <v>238198</v>
          </cell>
          <cell r="L235">
            <v>241877</v>
          </cell>
          <cell r="M235">
            <v>278866</v>
          </cell>
          <cell r="N235">
            <v>245188</v>
          </cell>
          <cell r="O235">
            <v>238771</v>
          </cell>
          <cell r="P235">
            <v>250173</v>
          </cell>
          <cell r="Q235">
            <v>277164</v>
          </cell>
          <cell r="R235">
            <v>259934</v>
          </cell>
          <cell r="S235">
            <v>264655</v>
          </cell>
          <cell r="T235">
            <v>245437</v>
          </cell>
          <cell r="U235">
            <v>248978</v>
          </cell>
          <cell r="V235">
            <v>256897</v>
          </cell>
          <cell r="W235">
            <v>267898</v>
          </cell>
          <cell r="X235">
            <v>309480</v>
          </cell>
          <cell r="Y235">
            <v>262541</v>
          </cell>
          <cell r="Z235">
            <v>240151</v>
          </cell>
          <cell r="AA235">
            <v>262665</v>
          </cell>
          <cell r="AB235">
            <v>238947</v>
          </cell>
          <cell r="AC235">
            <v>232555</v>
          </cell>
          <cell r="AD235">
            <v>236412</v>
          </cell>
          <cell r="AE235">
            <v>254433</v>
          </cell>
          <cell r="AF235">
            <v>251399</v>
          </cell>
          <cell r="AG235">
            <v>282858</v>
          </cell>
          <cell r="AH235">
            <v>240858</v>
          </cell>
          <cell r="AI235">
            <v>258366</v>
          </cell>
          <cell r="AJ235">
            <v>306451</v>
          </cell>
          <cell r="AK235">
            <v>347629</v>
          </cell>
          <cell r="AL235">
            <v>307013</v>
          </cell>
          <cell r="AM235">
            <v>285537</v>
          </cell>
          <cell r="AN235">
            <v>252360.22</v>
          </cell>
        </row>
        <row r="236">
          <cell r="G236">
            <v>9001</v>
          </cell>
          <cell r="H236" t="str">
            <v>Target (Budget)</v>
          </cell>
          <cell r="I236">
            <v>246040</v>
          </cell>
          <cell r="J236">
            <v>254283</v>
          </cell>
          <cell r="K236">
            <v>386684</v>
          </cell>
          <cell r="L236">
            <v>257152</v>
          </cell>
          <cell r="M236">
            <v>256397</v>
          </cell>
          <cell r="N236">
            <v>319470</v>
          </cell>
          <cell r="O236">
            <v>259315</v>
          </cell>
          <cell r="P236">
            <v>270659</v>
          </cell>
          <cell r="Q236">
            <v>318173</v>
          </cell>
          <cell r="R236">
            <v>260369</v>
          </cell>
          <cell r="S236">
            <v>284037</v>
          </cell>
          <cell r="T236">
            <v>288288</v>
          </cell>
          <cell r="U236">
            <v>246148</v>
          </cell>
          <cell r="V236">
            <v>260284</v>
          </cell>
          <cell r="W236">
            <v>276191</v>
          </cell>
          <cell r="X236">
            <v>316832</v>
          </cell>
          <cell r="Y236">
            <v>259466</v>
          </cell>
          <cell r="Z236">
            <v>279494</v>
          </cell>
          <cell r="AA236">
            <v>285364</v>
          </cell>
          <cell r="AB236">
            <v>251779</v>
          </cell>
          <cell r="AC236">
            <v>271846</v>
          </cell>
          <cell r="AD236">
            <v>277997</v>
          </cell>
          <cell r="AE236">
            <v>273427</v>
          </cell>
          <cell r="AF236">
            <v>286317</v>
          </cell>
          <cell r="AG236">
            <v>289628</v>
          </cell>
          <cell r="AH236">
            <v>243239</v>
          </cell>
          <cell r="AI236">
            <v>259684</v>
          </cell>
          <cell r="AJ236">
            <v>265467</v>
          </cell>
          <cell r="AK236">
            <v>254846</v>
          </cell>
          <cell r="AL236">
            <v>275883</v>
          </cell>
          <cell r="AM236">
            <v>253989</v>
          </cell>
          <cell r="AN236">
            <v>283468.7</v>
          </cell>
        </row>
        <row r="237">
          <cell r="G237">
            <v>9004</v>
          </cell>
          <cell r="H237" t="str">
            <v>YTD Actual</v>
          </cell>
          <cell r="I237">
            <v>260356</v>
          </cell>
          <cell r="J237">
            <v>493081</v>
          </cell>
          <cell r="K237">
            <v>731279</v>
          </cell>
          <cell r="L237">
            <v>973156</v>
          </cell>
          <cell r="M237">
            <v>1252022</v>
          </cell>
          <cell r="N237">
            <v>1497210</v>
          </cell>
          <cell r="O237">
            <v>1735980</v>
          </cell>
          <cell r="P237">
            <v>1986153</v>
          </cell>
          <cell r="Q237">
            <v>2263318</v>
          </cell>
          <cell r="R237">
            <v>2523252</v>
          </cell>
          <cell r="S237">
            <v>2787907</v>
          </cell>
          <cell r="T237">
            <v>3033344</v>
          </cell>
          <cell r="U237">
            <v>248978</v>
          </cell>
          <cell r="V237">
            <v>505876</v>
          </cell>
          <cell r="W237">
            <v>773774</v>
          </cell>
          <cell r="X237">
            <v>1083254</v>
          </cell>
          <cell r="Y237">
            <v>1345795</v>
          </cell>
          <cell r="Z237">
            <v>1585946</v>
          </cell>
          <cell r="AA237">
            <v>1848611</v>
          </cell>
          <cell r="AB237">
            <v>2087558.23</v>
          </cell>
          <cell r="AC237">
            <v>2320114</v>
          </cell>
          <cell r="AD237">
            <v>2556525</v>
          </cell>
          <cell r="AE237">
            <v>2810959</v>
          </cell>
          <cell r="AF237">
            <v>3062358</v>
          </cell>
          <cell r="AG237">
            <v>282858</v>
          </cell>
          <cell r="AH237">
            <v>523716</v>
          </cell>
          <cell r="AI237">
            <v>782082</v>
          </cell>
          <cell r="AJ237">
            <v>1088533</v>
          </cell>
          <cell r="AK237">
            <v>1436162</v>
          </cell>
          <cell r="AL237">
            <v>1743175</v>
          </cell>
          <cell r="AM237">
            <v>2028712</v>
          </cell>
          <cell r="AN237">
            <v>2056045.4500000002</v>
          </cell>
        </row>
        <row r="238">
          <cell r="G238">
            <v>9005</v>
          </cell>
          <cell r="H238" t="str">
            <v>YTD Target (Budget)</v>
          </cell>
          <cell r="I238">
            <v>246040</v>
          </cell>
          <cell r="J238">
            <v>483147</v>
          </cell>
          <cell r="K238">
            <v>869831</v>
          </cell>
          <cell r="L238">
            <v>1168299</v>
          </cell>
          <cell r="M238">
            <v>1432035</v>
          </cell>
          <cell r="N238">
            <v>1754876</v>
          </cell>
          <cell r="O238">
            <v>2014191</v>
          </cell>
          <cell r="P238">
            <v>2284850</v>
          </cell>
          <cell r="Q238">
            <v>2603023</v>
          </cell>
          <cell r="R238">
            <v>2863419</v>
          </cell>
          <cell r="S238">
            <v>3147456</v>
          </cell>
          <cell r="T238">
            <v>3435744</v>
          </cell>
          <cell r="U238">
            <v>246148</v>
          </cell>
          <cell r="V238">
            <v>506432</v>
          </cell>
          <cell r="W238">
            <v>782623</v>
          </cell>
          <cell r="X238">
            <v>1099455</v>
          </cell>
          <cell r="Y238">
            <v>1358921</v>
          </cell>
          <cell r="Z238">
            <v>1683415</v>
          </cell>
          <cell r="AA238">
            <v>1923779</v>
          </cell>
          <cell r="AB238">
            <v>2175557</v>
          </cell>
          <cell r="AC238">
            <v>2447403</v>
          </cell>
          <cell r="AD238">
            <v>2725400</v>
          </cell>
          <cell r="AE238">
            <v>2998827</v>
          </cell>
          <cell r="AF238">
            <v>3285144</v>
          </cell>
          <cell r="AG238">
            <v>289628</v>
          </cell>
          <cell r="AH238">
            <v>532867</v>
          </cell>
          <cell r="AI238">
            <v>792551</v>
          </cell>
          <cell r="AJ238">
            <v>1047416</v>
          </cell>
          <cell r="AK238">
            <v>1302262</v>
          </cell>
          <cell r="AL238">
            <v>1631775</v>
          </cell>
          <cell r="AM238">
            <v>1885764</v>
          </cell>
          <cell r="AN238">
            <v>2169232.41</v>
          </cell>
        </row>
        <row r="239">
          <cell r="G239">
            <v>9024</v>
          </cell>
          <cell r="H239" t="str">
            <v>Empl_Benefits</v>
          </cell>
          <cell r="I239">
            <v>58172</v>
          </cell>
          <cell r="J239">
            <v>56075</v>
          </cell>
          <cell r="K239">
            <v>57674</v>
          </cell>
          <cell r="L239">
            <v>59173</v>
          </cell>
          <cell r="M239">
            <v>63031</v>
          </cell>
          <cell r="N239">
            <v>59400</v>
          </cell>
          <cell r="O239">
            <v>58608</v>
          </cell>
          <cell r="P239">
            <v>58782</v>
          </cell>
          <cell r="Q239">
            <v>58784</v>
          </cell>
          <cell r="R239">
            <v>57873</v>
          </cell>
          <cell r="S239">
            <v>60574</v>
          </cell>
          <cell r="T239">
            <v>58234</v>
          </cell>
          <cell r="U239">
            <v>59550</v>
          </cell>
          <cell r="V239">
            <v>60135</v>
          </cell>
          <cell r="W239">
            <v>62377</v>
          </cell>
          <cell r="X239">
            <v>65051</v>
          </cell>
          <cell r="Y239">
            <v>62220</v>
          </cell>
          <cell r="Z239">
            <v>61804</v>
          </cell>
          <cell r="AA239">
            <v>61295</v>
          </cell>
          <cell r="AB239">
            <v>60005.599999999999</v>
          </cell>
          <cell r="AC239">
            <v>60021</v>
          </cell>
          <cell r="AD239">
            <v>59985</v>
          </cell>
          <cell r="AE239">
            <v>63167</v>
          </cell>
          <cell r="AF239">
            <v>61558</v>
          </cell>
          <cell r="AG239">
            <v>61331</v>
          </cell>
          <cell r="AH239">
            <v>61444</v>
          </cell>
          <cell r="AI239">
            <v>62704</v>
          </cell>
          <cell r="AJ239">
            <v>78553</v>
          </cell>
          <cell r="AK239">
            <v>76543</v>
          </cell>
          <cell r="AL239">
            <v>75583</v>
          </cell>
          <cell r="AM239">
            <v>75485</v>
          </cell>
          <cell r="AN239">
            <v>58984.499999999993</v>
          </cell>
        </row>
        <row r="240">
          <cell r="G240">
            <v>9025</v>
          </cell>
          <cell r="H240" t="str">
            <v>Total Personnel</v>
          </cell>
          <cell r="I240">
            <v>235029</v>
          </cell>
          <cell r="J240">
            <v>217514</v>
          </cell>
          <cell r="K240">
            <v>227963</v>
          </cell>
          <cell r="L240">
            <v>227830</v>
          </cell>
          <cell r="M240">
            <v>242879</v>
          </cell>
          <cell r="N240">
            <v>231607</v>
          </cell>
          <cell r="O240">
            <v>225873</v>
          </cell>
          <cell r="P240">
            <v>226591</v>
          </cell>
          <cell r="Q240">
            <v>226908</v>
          </cell>
          <cell r="R240">
            <v>223502</v>
          </cell>
          <cell r="S240">
            <v>234777</v>
          </cell>
          <cell r="T240">
            <v>225805</v>
          </cell>
          <cell r="U240">
            <v>230709</v>
          </cell>
          <cell r="V240">
            <v>232887</v>
          </cell>
          <cell r="W240">
            <v>243320</v>
          </cell>
          <cell r="X240">
            <v>247624</v>
          </cell>
          <cell r="Y240">
            <v>236371</v>
          </cell>
          <cell r="Z240">
            <v>236441</v>
          </cell>
          <cell r="AA240">
            <v>239008</v>
          </cell>
          <cell r="AB240">
            <v>168430.7</v>
          </cell>
          <cell r="AC240">
            <v>228860</v>
          </cell>
          <cell r="AD240">
            <v>228275</v>
          </cell>
          <cell r="AE240">
            <v>241030</v>
          </cell>
          <cell r="AF240">
            <v>233824</v>
          </cell>
          <cell r="AG240">
            <v>232602</v>
          </cell>
          <cell r="AH240">
            <v>233863</v>
          </cell>
          <cell r="AI240">
            <v>239847</v>
          </cell>
          <cell r="AJ240">
            <v>297168</v>
          </cell>
          <cell r="AK240">
            <v>319027</v>
          </cell>
          <cell r="AL240">
            <v>286731</v>
          </cell>
          <cell r="AM240">
            <v>286455</v>
          </cell>
          <cell r="AN240">
            <v>224733.35</v>
          </cell>
        </row>
        <row r="241">
          <cell r="G241">
            <v>9026</v>
          </cell>
          <cell r="H241" t="str">
            <v>Target Empl_Benefits</v>
          </cell>
          <cell r="I241">
            <v>55461</v>
          </cell>
          <cell r="J241">
            <v>55939</v>
          </cell>
          <cell r="K241">
            <v>60018</v>
          </cell>
          <cell r="L241">
            <v>58780</v>
          </cell>
          <cell r="M241">
            <v>58793</v>
          </cell>
          <cell r="N241">
            <v>66062</v>
          </cell>
          <cell r="O241">
            <v>58726</v>
          </cell>
          <cell r="P241">
            <v>58726</v>
          </cell>
          <cell r="Q241">
            <v>66064</v>
          </cell>
          <cell r="R241">
            <v>58724</v>
          </cell>
          <cell r="S241">
            <v>58724</v>
          </cell>
          <cell r="T241">
            <v>66062</v>
          </cell>
          <cell r="U241">
            <v>60400</v>
          </cell>
          <cell r="V241">
            <v>63028</v>
          </cell>
          <cell r="W241">
            <v>62895</v>
          </cell>
          <cell r="X241">
            <v>62895</v>
          </cell>
          <cell r="Y241">
            <v>62895</v>
          </cell>
          <cell r="Z241">
            <v>62895</v>
          </cell>
          <cell r="AA241">
            <v>65720</v>
          </cell>
          <cell r="AB241">
            <v>62895</v>
          </cell>
          <cell r="AC241">
            <v>62895</v>
          </cell>
          <cell r="AD241">
            <v>62895</v>
          </cell>
          <cell r="AE241">
            <v>62895</v>
          </cell>
          <cell r="AF241">
            <v>62895</v>
          </cell>
          <cell r="AG241">
            <v>61555</v>
          </cell>
          <cell r="AH241">
            <v>61659</v>
          </cell>
          <cell r="AI241">
            <v>62325</v>
          </cell>
          <cell r="AJ241">
            <v>62241</v>
          </cell>
          <cell r="AK241">
            <v>61961</v>
          </cell>
          <cell r="AL241">
            <v>60838</v>
          </cell>
          <cell r="AM241">
            <v>60837</v>
          </cell>
          <cell r="AN241">
            <v>60837</v>
          </cell>
        </row>
        <row r="242">
          <cell r="G242">
            <v>9027</v>
          </cell>
          <cell r="H242" t="str">
            <v>Target Total Personnel</v>
          </cell>
          <cell r="I242">
            <v>220188</v>
          </cell>
          <cell r="J242">
            <v>219623</v>
          </cell>
          <cell r="K242">
            <v>230098</v>
          </cell>
          <cell r="L242">
            <v>226943</v>
          </cell>
          <cell r="M242">
            <v>228516</v>
          </cell>
          <cell r="N242">
            <v>255947</v>
          </cell>
          <cell r="O242">
            <v>228024</v>
          </cell>
          <cell r="P242">
            <v>228024</v>
          </cell>
          <cell r="Q242">
            <v>256209</v>
          </cell>
          <cell r="R242">
            <v>227815</v>
          </cell>
          <cell r="S242">
            <v>227815</v>
          </cell>
          <cell r="T242">
            <v>256261</v>
          </cell>
          <cell r="U242">
            <v>234674</v>
          </cell>
          <cell r="V242">
            <v>244496</v>
          </cell>
          <cell r="W242">
            <v>247008</v>
          </cell>
          <cell r="X242">
            <v>240008</v>
          </cell>
          <cell r="Y242">
            <v>240008</v>
          </cell>
          <cell r="Z242">
            <v>240008</v>
          </cell>
          <cell r="AA242">
            <v>250682</v>
          </cell>
          <cell r="AB242">
            <v>240008</v>
          </cell>
          <cell r="AC242">
            <v>240008</v>
          </cell>
          <cell r="AD242">
            <v>240008</v>
          </cell>
          <cell r="AE242">
            <v>240008</v>
          </cell>
          <cell r="AF242">
            <v>240008</v>
          </cell>
          <cell r="AG242">
            <v>233471</v>
          </cell>
          <cell r="AH242">
            <v>234896</v>
          </cell>
          <cell r="AI242">
            <v>244260</v>
          </cell>
          <cell r="AJ242">
            <v>232561</v>
          </cell>
          <cell r="AK242">
            <v>231513</v>
          </cell>
          <cell r="AL242">
            <v>257515</v>
          </cell>
          <cell r="AM242">
            <v>227891</v>
          </cell>
          <cell r="AN242">
            <v>227891</v>
          </cell>
        </row>
        <row r="243">
          <cell r="G243">
            <v>9028</v>
          </cell>
          <cell r="H243" t="str">
            <v>YTD Empl_Benefits</v>
          </cell>
          <cell r="I243">
            <v>58172</v>
          </cell>
          <cell r="J243">
            <v>114248</v>
          </cell>
          <cell r="K243">
            <v>171922</v>
          </cell>
          <cell r="L243">
            <v>231095</v>
          </cell>
          <cell r="M243">
            <v>294127</v>
          </cell>
          <cell r="N243">
            <v>353527</v>
          </cell>
          <cell r="O243">
            <v>412135</v>
          </cell>
          <cell r="P243">
            <v>470918</v>
          </cell>
          <cell r="Q243">
            <v>529702</v>
          </cell>
          <cell r="R243">
            <v>587575</v>
          </cell>
          <cell r="S243">
            <v>648149</v>
          </cell>
          <cell r="T243">
            <v>706383</v>
          </cell>
          <cell r="U243">
            <v>59550</v>
          </cell>
          <cell r="V243">
            <v>119685</v>
          </cell>
          <cell r="W243">
            <v>182061</v>
          </cell>
          <cell r="X243">
            <v>247113</v>
          </cell>
          <cell r="Y243">
            <v>309333</v>
          </cell>
          <cell r="Z243">
            <v>371137</v>
          </cell>
          <cell r="AA243">
            <v>432432</v>
          </cell>
          <cell r="AB243">
            <v>492437.57</v>
          </cell>
          <cell r="AC243">
            <v>552459</v>
          </cell>
          <cell r="AD243">
            <v>612444</v>
          </cell>
          <cell r="AE243">
            <v>675611</v>
          </cell>
          <cell r="AF243">
            <v>737169</v>
          </cell>
          <cell r="AG243">
            <v>61331</v>
          </cell>
          <cell r="AH243">
            <v>122775</v>
          </cell>
          <cell r="AI243">
            <v>185480</v>
          </cell>
          <cell r="AJ243">
            <v>264032</v>
          </cell>
          <cell r="AK243">
            <v>340575</v>
          </cell>
          <cell r="AL243">
            <v>416158</v>
          </cell>
          <cell r="AM243">
            <v>491643</v>
          </cell>
          <cell r="AN243">
            <v>487603.63000000012</v>
          </cell>
        </row>
        <row r="244">
          <cell r="G244">
            <v>9029</v>
          </cell>
          <cell r="H244" t="str">
            <v>YTD Total Personnel</v>
          </cell>
          <cell r="I244">
            <v>235029</v>
          </cell>
          <cell r="J244">
            <v>452542</v>
          </cell>
          <cell r="K244">
            <v>680505</v>
          </cell>
          <cell r="L244">
            <v>908336</v>
          </cell>
          <cell r="M244">
            <v>1151214</v>
          </cell>
          <cell r="N244">
            <v>1382821</v>
          </cell>
          <cell r="O244">
            <v>1608694</v>
          </cell>
          <cell r="P244">
            <v>1835285</v>
          </cell>
          <cell r="Q244">
            <v>2062193</v>
          </cell>
          <cell r="R244">
            <v>2285695</v>
          </cell>
          <cell r="S244">
            <v>2520472</v>
          </cell>
          <cell r="T244">
            <v>2746276</v>
          </cell>
          <cell r="U244">
            <v>230709</v>
          </cell>
          <cell r="V244">
            <v>463595</v>
          </cell>
          <cell r="W244">
            <v>706915</v>
          </cell>
          <cell r="X244">
            <v>954539</v>
          </cell>
          <cell r="Y244">
            <v>1190910</v>
          </cell>
          <cell r="Z244">
            <v>1427351</v>
          </cell>
          <cell r="AA244">
            <v>1666359</v>
          </cell>
          <cell r="AB244">
            <v>1402358.2</v>
          </cell>
          <cell r="AC244">
            <v>2123656</v>
          </cell>
          <cell r="AD244">
            <v>2351930</v>
          </cell>
          <cell r="AE244">
            <v>2592960</v>
          </cell>
          <cell r="AF244">
            <v>2826784</v>
          </cell>
          <cell r="AG244">
            <v>232602</v>
          </cell>
          <cell r="AH244">
            <v>466465</v>
          </cell>
          <cell r="AI244">
            <v>706313</v>
          </cell>
          <cell r="AJ244">
            <v>1003481</v>
          </cell>
          <cell r="AK244">
            <v>1322508</v>
          </cell>
          <cell r="AL244">
            <v>1609238</v>
          </cell>
          <cell r="AM244">
            <v>1895693</v>
          </cell>
          <cell r="AN244">
            <v>1885658.3800000001</v>
          </cell>
        </row>
        <row r="245">
          <cell r="G245">
            <v>9030</v>
          </cell>
          <cell r="H245" t="str">
            <v>YTD Target Empl_Benefits</v>
          </cell>
          <cell r="I245">
            <v>55461</v>
          </cell>
          <cell r="J245">
            <v>111400</v>
          </cell>
          <cell r="K245">
            <v>171418</v>
          </cell>
          <cell r="L245">
            <v>242458</v>
          </cell>
          <cell r="M245">
            <v>301310</v>
          </cell>
          <cell r="N245">
            <v>367028</v>
          </cell>
          <cell r="O245">
            <v>425754</v>
          </cell>
          <cell r="P245">
            <v>484480</v>
          </cell>
          <cell r="Q245">
            <v>550544</v>
          </cell>
          <cell r="R245">
            <v>609268</v>
          </cell>
          <cell r="S245">
            <v>667992</v>
          </cell>
          <cell r="T245">
            <v>734054</v>
          </cell>
          <cell r="U245">
            <v>60400</v>
          </cell>
          <cell r="V245">
            <v>123429</v>
          </cell>
          <cell r="W245">
            <v>186324</v>
          </cell>
          <cell r="X245">
            <v>249219</v>
          </cell>
          <cell r="Y245">
            <v>312114</v>
          </cell>
          <cell r="Z245">
            <v>375009</v>
          </cell>
          <cell r="AA245">
            <v>440730</v>
          </cell>
          <cell r="AB245">
            <v>503625</v>
          </cell>
          <cell r="AC245">
            <v>566520</v>
          </cell>
          <cell r="AD245">
            <v>629415</v>
          </cell>
          <cell r="AE245">
            <v>692310</v>
          </cell>
          <cell r="AF245">
            <v>755205</v>
          </cell>
          <cell r="AG245">
            <v>61555</v>
          </cell>
          <cell r="AH245">
            <v>123215</v>
          </cell>
          <cell r="AI245">
            <v>185540</v>
          </cell>
          <cell r="AJ245">
            <v>247781</v>
          </cell>
          <cell r="AK245">
            <v>309742</v>
          </cell>
          <cell r="AL245">
            <v>382349</v>
          </cell>
          <cell r="AM245">
            <v>443186</v>
          </cell>
          <cell r="AN245">
            <v>504023</v>
          </cell>
        </row>
        <row r="246">
          <cell r="G246">
            <v>9031</v>
          </cell>
          <cell r="H246" t="str">
            <v>YTD Target Total Personnel</v>
          </cell>
          <cell r="I246">
            <v>220188</v>
          </cell>
          <cell r="J246">
            <v>439811</v>
          </cell>
          <cell r="K246">
            <v>669909</v>
          </cell>
          <cell r="L246">
            <v>936130</v>
          </cell>
          <cell r="M246">
            <v>1171985</v>
          </cell>
          <cell r="N246">
            <v>1425410</v>
          </cell>
          <cell r="O246">
            <v>1653434</v>
          </cell>
          <cell r="P246">
            <v>1881458</v>
          </cell>
          <cell r="Q246">
            <v>2137667</v>
          </cell>
          <cell r="R246">
            <v>2365482</v>
          </cell>
          <cell r="S246">
            <v>2593297</v>
          </cell>
          <cell r="T246">
            <v>2849558</v>
          </cell>
          <cell r="U246">
            <v>234674</v>
          </cell>
          <cell r="V246">
            <v>479170</v>
          </cell>
          <cell r="W246">
            <v>726178</v>
          </cell>
          <cell r="X246">
            <v>966186</v>
          </cell>
          <cell r="Y246">
            <v>1206194</v>
          </cell>
          <cell r="Z246">
            <v>1446202</v>
          </cell>
          <cell r="AA246">
            <v>1696884</v>
          </cell>
          <cell r="AB246">
            <v>1936892</v>
          </cell>
          <cell r="AC246">
            <v>2176900</v>
          </cell>
          <cell r="AD246">
            <v>2416908</v>
          </cell>
          <cell r="AE246">
            <v>2656916</v>
          </cell>
          <cell r="AF246">
            <v>2896924</v>
          </cell>
          <cell r="AG246">
            <v>233471</v>
          </cell>
          <cell r="AH246">
            <v>468367</v>
          </cell>
          <cell r="AI246">
            <v>712627</v>
          </cell>
          <cell r="AJ246">
            <v>945188</v>
          </cell>
          <cell r="AK246">
            <v>1176701</v>
          </cell>
          <cell r="AL246">
            <v>1470177</v>
          </cell>
          <cell r="AM246">
            <v>1698068</v>
          </cell>
          <cell r="AN246">
            <v>1925959</v>
          </cell>
        </row>
        <row r="247">
          <cell r="G247">
            <v>9032</v>
          </cell>
          <cell r="H247" t="str">
            <v>Actual</v>
          </cell>
          <cell r="I247">
            <v>196691</v>
          </cell>
          <cell r="J247">
            <v>2748694</v>
          </cell>
          <cell r="K247">
            <v>-238198</v>
          </cell>
          <cell r="L247">
            <v>-194557</v>
          </cell>
          <cell r="M247">
            <v>-78866</v>
          </cell>
          <cell r="N247">
            <v>-245188</v>
          </cell>
          <cell r="O247">
            <v>-238771</v>
          </cell>
          <cell r="P247">
            <v>-250173</v>
          </cell>
          <cell r="Q247">
            <v>-277164</v>
          </cell>
          <cell r="R247">
            <v>-259934</v>
          </cell>
          <cell r="S247">
            <v>-264655</v>
          </cell>
          <cell r="T247">
            <v>-245437</v>
          </cell>
          <cell r="U247">
            <v>452715</v>
          </cell>
          <cell r="V247">
            <v>2944586</v>
          </cell>
          <cell r="W247">
            <v>-267898</v>
          </cell>
          <cell r="X247">
            <v>-309480</v>
          </cell>
          <cell r="Y247">
            <v>-262541</v>
          </cell>
          <cell r="Z247">
            <v>-253220</v>
          </cell>
          <cell r="AA247">
            <v>-262665</v>
          </cell>
          <cell r="AB247">
            <v>-238947</v>
          </cell>
          <cell r="AC247">
            <v>-232555</v>
          </cell>
          <cell r="AD247">
            <v>-236412</v>
          </cell>
          <cell r="AE247">
            <v>-254433</v>
          </cell>
          <cell r="AF247">
            <v>-251399</v>
          </cell>
          <cell r="AG247">
            <v>544894</v>
          </cell>
          <cell r="AH247">
            <v>2790898</v>
          </cell>
          <cell r="AI247">
            <v>-258366</v>
          </cell>
          <cell r="AJ247">
            <v>-257899</v>
          </cell>
          <cell r="AK247">
            <v>-347629</v>
          </cell>
          <cell r="AL247">
            <v>-307013</v>
          </cell>
          <cell r="AM247">
            <v>-285537</v>
          </cell>
          <cell r="AN247">
            <v>-194445.16</v>
          </cell>
        </row>
        <row r="248">
          <cell r="G248">
            <v>9033</v>
          </cell>
          <cell r="H248" t="str">
            <v>Target (Budget)</v>
          </cell>
          <cell r="I248">
            <v>211007</v>
          </cell>
          <cell r="J248">
            <v>2727835</v>
          </cell>
          <cell r="K248">
            <v>-386684</v>
          </cell>
          <cell r="L248">
            <v>-209832</v>
          </cell>
          <cell r="M248">
            <v>-56397</v>
          </cell>
          <cell r="N248">
            <v>-319470</v>
          </cell>
          <cell r="O248">
            <v>-259315</v>
          </cell>
          <cell r="P248">
            <v>-270659</v>
          </cell>
          <cell r="Q248">
            <v>-318173</v>
          </cell>
          <cell r="R248">
            <v>-260396</v>
          </cell>
          <cell r="S248">
            <v>-284037</v>
          </cell>
          <cell r="T248">
            <v>-288288</v>
          </cell>
          <cell r="U248">
            <v>455545</v>
          </cell>
          <cell r="V248">
            <v>2941202</v>
          </cell>
          <cell r="W248">
            <v>-276191</v>
          </cell>
          <cell r="X248">
            <v>-316832</v>
          </cell>
          <cell r="Y248">
            <v>-259466</v>
          </cell>
          <cell r="Z248">
            <v>-292562</v>
          </cell>
          <cell r="AA248">
            <v>-285364</v>
          </cell>
          <cell r="AB248">
            <v>-251779</v>
          </cell>
          <cell r="AC248">
            <v>-271846</v>
          </cell>
          <cell r="AD248">
            <v>-277997</v>
          </cell>
          <cell r="AE248">
            <v>-273427</v>
          </cell>
          <cell r="AF248">
            <v>-286317</v>
          </cell>
          <cell r="AG248">
            <v>538124</v>
          </cell>
          <cell r="AH248">
            <v>2788517</v>
          </cell>
          <cell r="AI248">
            <v>-259684</v>
          </cell>
          <cell r="AJ248">
            <v>-216915</v>
          </cell>
          <cell r="AK248">
            <v>-254846</v>
          </cell>
          <cell r="AL248">
            <v>-275883</v>
          </cell>
          <cell r="AM248">
            <v>-253989</v>
          </cell>
          <cell r="AN248">
            <v>-225553.64</v>
          </cell>
        </row>
        <row r="249">
          <cell r="G249">
            <v>9036</v>
          </cell>
          <cell r="H249" t="str">
            <v>YTD Actual</v>
          </cell>
          <cell r="J249">
            <v>2946083</v>
          </cell>
          <cell r="K249">
            <v>2707885</v>
          </cell>
          <cell r="L249">
            <v>2513329</v>
          </cell>
          <cell r="M249">
            <v>2434463</v>
          </cell>
          <cell r="N249">
            <v>2189275</v>
          </cell>
          <cell r="O249">
            <v>1950504</v>
          </cell>
          <cell r="P249">
            <v>1700331</v>
          </cell>
          <cell r="Q249">
            <v>1423167</v>
          </cell>
          <cell r="R249">
            <v>1163233</v>
          </cell>
          <cell r="S249">
            <v>898578</v>
          </cell>
          <cell r="T249">
            <v>653141</v>
          </cell>
          <cell r="U249">
            <v>452715</v>
          </cell>
          <cell r="V249">
            <v>3397303</v>
          </cell>
          <cell r="W249">
            <v>3129405</v>
          </cell>
          <cell r="X249">
            <v>2819925</v>
          </cell>
          <cell r="Y249">
            <v>2556958</v>
          </cell>
          <cell r="Z249">
            <v>2304164</v>
          </cell>
          <cell r="AA249">
            <v>2041499</v>
          </cell>
          <cell r="AB249">
            <v>1802552.36</v>
          </cell>
          <cell r="AC249">
            <v>1569997</v>
          </cell>
          <cell r="AD249">
            <v>1333585</v>
          </cell>
          <cell r="AE249">
            <v>1079152</v>
          </cell>
          <cell r="AF249">
            <v>827752</v>
          </cell>
          <cell r="AG249">
            <v>544894</v>
          </cell>
          <cell r="AH249">
            <v>3335792</v>
          </cell>
          <cell r="AI249">
            <v>3077427</v>
          </cell>
          <cell r="AJ249">
            <v>2819527</v>
          </cell>
          <cell r="AK249">
            <v>2471898</v>
          </cell>
          <cell r="AL249">
            <v>2164885</v>
          </cell>
          <cell r="AM249">
            <v>1879349</v>
          </cell>
          <cell r="AN249">
            <v>1909930</v>
          </cell>
        </row>
        <row r="250">
          <cell r="G250">
            <v>9037</v>
          </cell>
          <cell r="H250" t="str">
            <v>YTD Target (Budget)</v>
          </cell>
          <cell r="J250">
            <v>2956018</v>
          </cell>
          <cell r="K250">
            <v>2569334</v>
          </cell>
          <cell r="L250">
            <v>2318186</v>
          </cell>
          <cell r="M250">
            <v>2254450</v>
          </cell>
          <cell r="N250">
            <v>1931609</v>
          </cell>
          <cell r="O250">
            <v>1672294</v>
          </cell>
          <cell r="P250">
            <v>1401635</v>
          </cell>
          <cell r="Q250">
            <v>1083462</v>
          </cell>
          <cell r="R250">
            <v>823066</v>
          </cell>
          <cell r="S250">
            <v>539029</v>
          </cell>
          <cell r="T250">
            <v>250741</v>
          </cell>
          <cell r="U250">
            <v>455545</v>
          </cell>
          <cell r="V250">
            <v>3396747</v>
          </cell>
          <cell r="W250">
            <v>3120556</v>
          </cell>
          <cell r="X250">
            <v>2803724</v>
          </cell>
          <cell r="Y250">
            <v>2544258</v>
          </cell>
          <cell r="Z250">
            <v>2251696</v>
          </cell>
          <cell r="AA250">
            <v>1966332</v>
          </cell>
          <cell r="AB250">
            <v>1714553</v>
          </cell>
          <cell r="AC250">
            <v>1442707</v>
          </cell>
          <cell r="AD250">
            <v>1164710</v>
          </cell>
          <cell r="AE250">
            <v>891284</v>
          </cell>
          <cell r="AF250">
            <v>604966</v>
          </cell>
          <cell r="AG250">
            <v>538124</v>
          </cell>
          <cell r="AH250">
            <v>3326642</v>
          </cell>
          <cell r="AI250">
            <v>3066958</v>
          </cell>
          <cell r="AJ250">
            <v>2860644</v>
          </cell>
          <cell r="AK250">
            <v>2605799</v>
          </cell>
          <cell r="AL250">
            <v>2276285</v>
          </cell>
          <cell r="AM250">
            <v>2022297</v>
          </cell>
          <cell r="AN250">
            <v>1796743.04</v>
          </cell>
        </row>
        <row r="251">
          <cell r="G251">
            <v>9044</v>
          </cell>
          <cell r="H251" t="str">
            <v>Actual</v>
          </cell>
          <cell r="J251">
            <v>2748694</v>
          </cell>
          <cell r="K251">
            <v>-238198</v>
          </cell>
          <cell r="L251">
            <v>-194557</v>
          </cell>
          <cell r="M251">
            <v>-78866</v>
          </cell>
          <cell r="N251">
            <v>-244489</v>
          </cell>
          <cell r="O251">
            <v>-238771</v>
          </cell>
          <cell r="P251">
            <v>-250173</v>
          </cell>
          <cell r="Q251">
            <v>-277164</v>
          </cell>
          <cell r="R251">
            <v>-259934</v>
          </cell>
          <cell r="S251">
            <v>-264655</v>
          </cell>
          <cell r="T251">
            <v>-245437</v>
          </cell>
          <cell r="U251">
            <v>452289</v>
          </cell>
          <cell r="V251">
            <v>2944589</v>
          </cell>
          <cell r="W251">
            <v>-267898</v>
          </cell>
          <cell r="X251">
            <v>-309480</v>
          </cell>
          <cell r="Y251">
            <v>-262541</v>
          </cell>
          <cell r="Z251">
            <v>-253220</v>
          </cell>
          <cell r="AA251">
            <v>-263037</v>
          </cell>
          <cell r="AB251">
            <v>-238947</v>
          </cell>
          <cell r="AC251">
            <v>-232555</v>
          </cell>
          <cell r="AD251">
            <v>-236412</v>
          </cell>
          <cell r="AE251">
            <v>-253636</v>
          </cell>
          <cell r="AF251">
            <v>827752</v>
          </cell>
          <cell r="AG251">
            <v>544894</v>
          </cell>
          <cell r="AH251">
            <v>2790251</v>
          </cell>
          <cell r="AI251">
            <v>-291675</v>
          </cell>
          <cell r="AJ251">
            <v>-225175</v>
          </cell>
          <cell r="AK251">
            <v>-230184</v>
          </cell>
          <cell r="AL251">
            <v>-248414</v>
          </cell>
          <cell r="AM251">
            <v>-227393</v>
          </cell>
          <cell r="AN251">
            <v>-194578.72</v>
          </cell>
        </row>
        <row r="252">
          <cell r="G252">
            <v>9045</v>
          </cell>
          <cell r="H252" t="str">
            <v>Target (Budget)</v>
          </cell>
          <cell r="J252">
            <v>2727835</v>
          </cell>
          <cell r="K252">
            <v>-386684</v>
          </cell>
          <cell r="L252">
            <v>-209832</v>
          </cell>
          <cell r="M252">
            <v>-56397</v>
          </cell>
          <cell r="N252">
            <v>-319470</v>
          </cell>
          <cell r="O252">
            <v>-259315</v>
          </cell>
          <cell r="P252">
            <v>-270659</v>
          </cell>
          <cell r="Q252">
            <v>-318173</v>
          </cell>
          <cell r="R252">
            <v>-260396</v>
          </cell>
          <cell r="S252">
            <v>-284037</v>
          </cell>
          <cell r="T252">
            <v>-288288</v>
          </cell>
          <cell r="U252">
            <v>455545</v>
          </cell>
          <cell r="V252">
            <v>2941202</v>
          </cell>
          <cell r="W252">
            <v>-276191</v>
          </cell>
          <cell r="X252">
            <v>-316832</v>
          </cell>
          <cell r="Y252">
            <v>-259466</v>
          </cell>
          <cell r="Z252">
            <v>-292562</v>
          </cell>
          <cell r="AA252">
            <v>-285364</v>
          </cell>
          <cell r="AB252">
            <v>-251779</v>
          </cell>
          <cell r="AC252">
            <v>-271846</v>
          </cell>
          <cell r="AD252">
            <v>-277997</v>
          </cell>
          <cell r="AE252">
            <v>-273427</v>
          </cell>
          <cell r="AF252">
            <v>604966</v>
          </cell>
          <cell r="AG252">
            <v>538124</v>
          </cell>
          <cell r="AH252">
            <v>2788517</v>
          </cell>
          <cell r="AI252">
            <v>-259684</v>
          </cell>
          <cell r="AJ252">
            <v>-216915</v>
          </cell>
          <cell r="AK252">
            <v>-254846</v>
          </cell>
          <cell r="AL252">
            <v>-275883</v>
          </cell>
          <cell r="AM252">
            <v>-253989</v>
          </cell>
          <cell r="AN252">
            <v>-225553.64</v>
          </cell>
        </row>
        <row r="253">
          <cell r="G253">
            <v>9048</v>
          </cell>
          <cell r="H253" t="str">
            <v>YTD Actual</v>
          </cell>
          <cell r="I253">
            <v>196961</v>
          </cell>
          <cell r="J253">
            <v>2945385</v>
          </cell>
          <cell r="K253">
            <v>2707187</v>
          </cell>
          <cell r="L253">
            <v>2512630</v>
          </cell>
          <cell r="M253">
            <v>2434463</v>
          </cell>
          <cell r="N253">
            <v>2189275</v>
          </cell>
          <cell r="O253">
            <v>1950504</v>
          </cell>
          <cell r="P253">
            <v>1700331</v>
          </cell>
          <cell r="Q253">
            <v>1423167</v>
          </cell>
          <cell r="R253">
            <v>1163233</v>
          </cell>
          <cell r="S253">
            <v>898578</v>
          </cell>
          <cell r="T253">
            <v>653141</v>
          </cell>
          <cell r="U253">
            <v>452289</v>
          </cell>
          <cell r="V253">
            <v>3396878</v>
          </cell>
          <cell r="W253">
            <v>3128979</v>
          </cell>
          <cell r="X253">
            <v>2819499</v>
          </cell>
          <cell r="Y253">
            <v>2556958</v>
          </cell>
          <cell r="Z253">
            <v>2303739</v>
          </cell>
          <cell r="AA253">
            <v>2040702</v>
          </cell>
          <cell r="AB253">
            <v>1801754.59</v>
          </cell>
          <cell r="AC253">
            <v>1569199</v>
          </cell>
          <cell r="AD253">
            <v>1332787</v>
          </cell>
          <cell r="AE253">
            <v>1079152</v>
          </cell>
          <cell r="AF253">
            <v>827752</v>
          </cell>
          <cell r="AG253">
            <v>544894</v>
          </cell>
          <cell r="AH253">
            <v>3335145</v>
          </cell>
          <cell r="AI253">
            <v>3043470</v>
          </cell>
          <cell r="AJ253">
            <v>2818295</v>
          </cell>
          <cell r="AK253">
            <v>2588110</v>
          </cell>
          <cell r="AL253">
            <v>2339696</v>
          </cell>
          <cell r="AM253">
            <v>2112303</v>
          </cell>
          <cell r="AN253">
            <v>1907983.16</v>
          </cell>
        </row>
        <row r="254">
          <cell r="G254">
            <v>9049</v>
          </cell>
          <cell r="H254" t="str">
            <v>YTD Target (Budget)</v>
          </cell>
          <cell r="I254">
            <v>211007</v>
          </cell>
          <cell r="J254">
            <v>2956018</v>
          </cell>
          <cell r="K254">
            <v>2569334</v>
          </cell>
          <cell r="L254">
            <v>2318186</v>
          </cell>
          <cell r="M254">
            <v>2254450</v>
          </cell>
          <cell r="N254">
            <v>1931609</v>
          </cell>
          <cell r="O254">
            <v>1672294</v>
          </cell>
          <cell r="P254">
            <v>1401635</v>
          </cell>
          <cell r="Q254">
            <v>1083462</v>
          </cell>
          <cell r="R254">
            <v>823066</v>
          </cell>
          <cell r="S254">
            <v>539029</v>
          </cell>
          <cell r="T254">
            <v>250741</v>
          </cell>
          <cell r="U254">
            <v>455545</v>
          </cell>
          <cell r="V254">
            <v>3396747</v>
          </cell>
          <cell r="W254">
            <v>3120556</v>
          </cell>
          <cell r="X254">
            <v>2803724</v>
          </cell>
          <cell r="Y254">
            <v>2544258</v>
          </cell>
          <cell r="Z254">
            <v>2251696</v>
          </cell>
          <cell r="AA254">
            <v>1966332</v>
          </cell>
          <cell r="AB254">
            <v>1714553</v>
          </cell>
          <cell r="AC254">
            <v>1442707</v>
          </cell>
          <cell r="AD254">
            <v>1164710</v>
          </cell>
          <cell r="AE254">
            <v>891284</v>
          </cell>
          <cell r="AF254">
            <v>604966</v>
          </cell>
          <cell r="AG254">
            <v>538124</v>
          </cell>
          <cell r="AH254">
            <v>3326642</v>
          </cell>
          <cell r="AI254">
            <v>3066958</v>
          </cell>
          <cell r="AJ254">
            <v>2860644</v>
          </cell>
          <cell r="AK254">
            <v>2605799</v>
          </cell>
          <cell r="AL254">
            <v>2276285</v>
          </cell>
          <cell r="AM254">
            <v>2022297</v>
          </cell>
          <cell r="AN254">
            <v>1796743.04</v>
          </cell>
        </row>
        <row r="255">
          <cell r="G255">
            <v>9263</v>
          </cell>
          <cell r="H255" t="str">
            <v>Actual</v>
          </cell>
          <cell r="J255">
            <v>71055</v>
          </cell>
          <cell r="K255">
            <v>70571</v>
          </cell>
          <cell r="L255">
            <v>82320</v>
          </cell>
          <cell r="M255">
            <v>76860</v>
          </cell>
          <cell r="N255">
            <v>95999</v>
          </cell>
          <cell r="O255">
            <v>77421</v>
          </cell>
          <cell r="P255">
            <v>62176</v>
          </cell>
          <cell r="Q255">
            <v>58366</v>
          </cell>
          <cell r="R255">
            <v>65649</v>
          </cell>
          <cell r="S255">
            <v>67963</v>
          </cell>
          <cell r="T255">
            <v>66143</v>
          </cell>
          <cell r="U255">
            <v>63001</v>
          </cell>
          <cell r="V255">
            <v>66018</v>
          </cell>
          <cell r="W255">
            <v>68266</v>
          </cell>
          <cell r="X255">
            <v>82770</v>
          </cell>
          <cell r="Y255">
            <v>64153</v>
          </cell>
          <cell r="Z255">
            <v>67627</v>
          </cell>
          <cell r="AA255">
            <v>63089</v>
          </cell>
          <cell r="AB255">
            <v>64758.26</v>
          </cell>
          <cell r="AC255">
            <v>72767</v>
          </cell>
          <cell r="AD255">
            <v>87250</v>
          </cell>
          <cell r="AE255">
            <v>95304</v>
          </cell>
          <cell r="AF255">
            <v>73495</v>
          </cell>
          <cell r="AG255">
            <v>86479</v>
          </cell>
          <cell r="AH255">
            <v>74112</v>
          </cell>
          <cell r="AI255">
            <v>112245</v>
          </cell>
          <cell r="AJ255">
            <v>77936</v>
          </cell>
          <cell r="AK255">
            <v>74739</v>
          </cell>
          <cell r="AL255">
            <v>62870</v>
          </cell>
          <cell r="AM255">
            <v>132247</v>
          </cell>
          <cell r="AN255">
            <v>71594.240000000005</v>
          </cell>
        </row>
        <row r="256">
          <cell r="G256">
            <v>9264</v>
          </cell>
          <cell r="H256" t="str">
            <v>Target (Budget)</v>
          </cell>
          <cell r="J256">
            <v>74561</v>
          </cell>
          <cell r="K256">
            <v>62826</v>
          </cell>
          <cell r="L256">
            <v>122644</v>
          </cell>
          <cell r="M256">
            <v>86673</v>
          </cell>
          <cell r="N256">
            <v>74112</v>
          </cell>
          <cell r="O256">
            <v>68445</v>
          </cell>
          <cell r="P256">
            <v>69698</v>
          </cell>
          <cell r="Q256">
            <v>67637</v>
          </cell>
          <cell r="R256">
            <v>70658</v>
          </cell>
          <cell r="S256">
            <v>82840</v>
          </cell>
          <cell r="T256">
            <v>70305</v>
          </cell>
          <cell r="U256">
            <v>62025</v>
          </cell>
          <cell r="V256">
            <v>72179</v>
          </cell>
          <cell r="W256">
            <v>73078</v>
          </cell>
          <cell r="X256">
            <v>68140</v>
          </cell>
          <cell r="Y256">
            <v>63858</v>
          </cell>
          <cell r="Z256">
            <v>64943</v>
          </cell>
          <cell r="AA256">
            <v>70230</v>
          </cell>
          <cell r="AB256">
            <v>63541</v>
          </cell>
          <cell r="AC256">
            <v>67565</v>
          </cell>
          <cell r="AD256">
            <v>65683</v>
          </cell>
          <cell r="AE256">
            <v>69955</v>
          </cell>
          <cell r="AF256">
            <v>69957</v>
          </cell>
          <cell r="AG256">
            <v>86316</v>
          </cell>
          <cell r="AH256">
            <v>93121</v>
          </cell>
          <cell r="AI256">
            <v>189921</v>
          </cell>
          <cell r="AJ256">
            <v>66544</v>
          </cell>
          <cell r="AK256">
            <v>61890</v>
          </cell>
          <cell r="AL256">
            <v>185284</v>
          </cell>
          <cell r="AM256">
            <v>62331</v>
          </cell>
          <cell r="AN256">
            <v>62212.630000000005</v>
          </cell>
        </row>
        <row r="257">
          <cell r="G257">
            <v>9267</v>
          </cell>
          <cell r="H257" t="str">
            <v>YTD Actual</v>
          </cell>
          <cell r="J257">
            <v>119933</v>
          </cell>
          <cell r="K257">
            <v>190504</v>
          </cell>
          <cell r="L257">
            <v>272824</v>
          </cell>
          <cell r="M257">
            <v>349683</v>
          </cell>
          <cell r="N257">
            <v>445682</v>
          </cell>
          <cell r="O257">
            <v>523103</v>
          </cell>
          <cell r="P257">
            <v>585282</v>
          </cell>
          <cell r="Q257">
            <v>643648</v>
          </cell>
          <cell r="R257">
            <v>709294</v>
          </cell>
          <cell r="S257">
            <v>777257</v>
          </cell>
          <cell r="T257">
            <v>843400</v>
          </cell>
          <cell r="U257">
            <v>63001</v>
          </cell>
          <cell r="V257">
            <v>129019</v>
          </cell>
          <cell r="W257">
            <v>197285</v>
          </cell>
          <cell r="X257">
            <v>280055</v>
          </cell>
          <cell r="Y257">
            <v>344209</v>
          </cell>
          <cell r="Z257">
            <v>411835</v>
          </cell>
          <cell r="AA257">
            <v>474924</v>
          </cell>
          <cell r="AB257">
            <v>539682.69999999995</v>
          </cell>
          <cell r="AC257">
            <v>612450</v>
          </cell>
          <cell r="AD257">
            <v>699700</v>
          </cell>
          <cell r="AE257">
            <v>795004</v>
          </cell>
          <cell r="AF257">
            <v>868499</v>
          </cell>
          <cell r="AG257">
            <v>86479</v>
          </cell>
          <cell r="AH257">
            <v>160591</v>
          </cell>
          <cell r="AI257">
            <v>272836</v>
          </cell>
          <cell r="AJ257">
            <v>350773</v>
          </cell>
          <cell r="AK257">
            <v>425512</v>
          </cell>
          <cell r="AL257">
            <v>488382</v>
          </cell>
          <cell r="AM257">
            <v>620629</v>
          </cell>
          <cell r="AN257">
            <v>692223.63</v>
          </cell>
        </row>
        <row r="258">
          <cell r="G258">
            <v>9268</v>
          </cell>
          <cell r="H258" t="str">
            <v>YTD Target (Budget)</v>
          </cell>
          <cell r="J258">
            <v>116334</v>
          </cell>
          <cell r="K258">
            <v>179160</v>
          </cell>
          <cell r="L258">
            <v>301804</v>
          </cell>
          <cell r="M258">
            <v>388477</v>
          </cell>
          <cell r="N258">
            <v>462589</v>
          </cell>
          <cell r="O258">
            <v>531034</v>
          </cell>
          <cell r="P258">
            <v>600732</v>
          </cell>
          <cell r="Q258">
            <v>668369</v>
          </cell>
          <cell r="R258">
            <v>739027</v>
          </cell>
          <cell r="S258">
            <v>821867</v>
          </cell>
          <cell r="T258">
            <v>892172</v>
          </cell>
          <cell r="U258">
            <v>62025</v>
          </cell>
          <cell r="V258">
            <v>134204</v>
          </cell>
          <cell r="W258">
            <v>207281</v>
          </cell>
          <cell r="X258">
            <v>275421</v>
          </cell>
          <cell r="Y258">
            <v>336430</v>
          </cell>
          <cell r="Z258">
            <v>401374</v>
          </cell>
          <cell r="AA258">
            <v>471604</v>
          </cell>
          <cell r="AB258">
            <v>535145</v>
          </cell>
          <cell r="AC258">
            <v>602709</v>
          </cell>
          <cell r="AD258">
            <v>668393</v>
          </cell>
          <cell r="AE258">
            <v>738348</v>
          </cell>
          <cell r="AF258">
            <v>808305</v>
          </cell>
          <cell r="AG258">
            <v>86316</v>
          </cell>
          <cell r="AH258">
            <v>179438</v>
          </cell>
          <cell r="AI258">
            <v>369359</v>
          </cell>
          <cell r="AJ258">
            <v>433287</v>
          </cell>
          <cell r="AK258">
            <v>495177</v>
          </cell>
          <cell r="AL258">
            <v>680461</v>
          </cell>
          <cell r="AM258">
            <v>742793</v>
          </cell>
          <cell r="AN258">
            <v>805005.33</v>
          </cell>
        </row>
        <row r="259">
          <cell r="G259">
            <v>9287</v>
          </cell>
          <cell r="H259" t="str">
            <v>Empl_Benefits</v>
          </cell>
          <cell r="J259">
            <v>16459</v>
          </cell>
          <cell r="K259">
            <v>16505</v>
          </cell>
          <cell r="L259">
            <v>16062</v>
          </cell>
          <cell r="M259">
            <v>17215</v>
          </cell>
          <cell r="N259">
            <v>15752</v>
          </cell>
          <cell r="O259">
            <v>14640</v>
          </cell>
          <cell r="P259">
            <v>14328</v>
          </cell>
          <cell r="Q259">
            <v>14355</v>
          </cell>
          <cell r="R259">
            <v>14361</v>
          </cell>
          <cell r="S259">
            <v>15996</v>
          </cell>
          <cell r="T259">
            <v>14674</v>
          </cell>
          <cell r="U259">
            <v>15552</v>
          </cell>
          <cell r="V259">
            <v>16179</v>
          </cell>
          <cell r="W259">
            <v>16434</v>
          </cell>
          <cell r="X259">
            <v>17906</v>
          </cell>
          <cell r="Y259">
            <v>16353</v>
          </cell>
          <cell r="Z259">
            <v>16353</v>
          </cell>
          <cell r="AA259">
            <v>16345</v>
          </cell>
          <cell r="AB259">
            <v>16468.02</v>
          </cell>
          <cell r="AC259">
            <v>16468</v>
          </cell>
          <cell r="AD259">
            <v>16431</v>
          </cell>
          <cell r="AE259">
            <v>18063</v>
          </cell>
          <cell r="AF259">
            <v>17027</v>
          </cell>
          <cell r="AG259">
            <v>15725</v>
          </cell>
          <cell r="AH259">
            <v>16090</v>
          </cell>
          <cell r="AI259">
            <v>16032</v>
          </cell>
          <cell r="AJ259">
            <v>17363</v>
          </cell>
          <cell r="AK259">
            <v>15810</v>
          </cell>
          <cell r="AL259">
            <v>15767</v>
          </cell>
          <cell r="AM259">
            <v>15767</v>
          </cell>
          <cell r="AN259">
            <v>15725.140000000001</v>
          </cell>
        </row>
        <row r="260">
          <cell r="G260">
            <v>9288</v>
          </cell>
          <cell r="H260" t="str">
            <v>Total Personnel</v>
          </cell>
          <cell r="J260">
            <v>65631</v>
          </cell>
          <cell r="K260">
            <v>65897</v>
          </cell>
          <cell r="L260">
            <v>64842</v>
          </cell>
          <cell r="M260">
            <v>68876</v>
          </cell>
          <cell r="N260">
            <v>61751</v>
          </cell>
          <cell r="O260">
            <v>57354</v>
          </cell>
          <cell r="P260">
            <v>56306</v>
          </cell>
          <cell r="Q260">
            <v>56605</v>
          </cell>
          <cell r="R260">
            <v>56629</v>
          </cell>
          <cell r="S260">
            <v>64371</v>
          </cell>
          <cell r="T260">
            <v>57964</v>
          </cell>
          <cell r="U260">
            <v>61557</v>
          </cell>
          <cell r="V260">
            <v>63838</v>
          </cell>
          <cell r="W260">
            <v>65139</v>
          </cell>
          <cell r="X260">
            <v>70986</v>
          </cell>
          <cell r="Y260">
            <v>63356</v>
          </cell>
          <cell r="Z260">
            <v>63403</v>
          </cell>
          <cell r="AA260">
            <v>62373</v>
          </cell>
          <cell r="AB260">
            <v>47596.42</v>
          </cell>
          <cell r="AC260">
            <v>64464</v>
          </cell>
          <cell r="AD260">
            <v>63875</v>
          </cell>
          <cell r="AE260">
            <v>71905</v>
          </cell>
          <cell r="AF260">
            <v>66673</v>
          </cell>
          <cell r="AG260">
            <v>62457</v>
          </cell>
          <cell r="AH260">
            <v>65573</v>
          </cell>
          <cell r="AI260">
            <v>63475</v>
          </cell>
          <cell r="AJ260">
            <v>69347</v>
          </cell>
          <cell r="AK260">
            <v>62020</v>
          </cell>
          <cell r="AL260">
            <v>61193</v>
          </cell>
          <cell r="AM260">
            <v>60540</v>
          </cell>
          <cell r="AN260">
            <v>60344.639999999999</v>
          </cell>
        </row>
        <row r="261">
          <cell r="G261">
            <v>9289</v>
          </cell>
          <cell r="H261" t="str">
            <v>Target Empl_Benefits</v>
          </cell>
          <cell r="J261">
            <v>15022</v>
          </cell>
          <cell r="K261">
            <v>15632</v>
          </cell>
          <cell r="L261">
            <v>17079</v>
          </cell>
          <cell r="M261">
            <v>18637</v>
          </cell>
          <cell r="N261">
            <v>17088</v>
          </cell>
          <cell r="O261">
            <v>17015</v>
          </cell>
          <cell r="P261">
            <v>16964</v>
          </cell>
          <cell r="Q261">
            <v>16955</v>
          </cell>
          <cell r="R261">
            <v>16952</v>
          </cell>
          <cell r="S261">
            <v>18532</v>
          </cell>
          <cell r="T261">
            <v>17061</v>
          </cell>
          <cell r="U261">
            <v>15497</v>
          </cell>
          <cell r="V261">
            <v>17208</v>
          </cell>
          <cell r="W261">
            <v>16438</v>
          </cell>
          <cell r="X261">
            <v>16438</v>
          </cell>
          <cell r="Y261">
            <v>16000</v>
          </cell>
          <cell r="Z261">
            <v>16000</v>
          </cell>
          <cell r="AA261">
            <v>17811</v>
          </cell>
          <cell r="AB261">
            <v>16000</v>
          </cell>
          <cell r="AC261">
            <v>16000</v>
          </cell>
          <cell r="AD261">
            <v>16000</v>
          </cell>
          <cell r="AE261">
            <v>17811</v>
          </cell>
          <cell r="AF261">
            <v>17810</v>
          </cell>
          <cell r="AG261">
            <v>16086</v>
          </cell>
          <cell r="AH261">
            <v>17054</v>
          </cell>
          <cell r="AI261">
            <v>17982</v>
          </cell>
          <cell r="AJ261">
            <v>16191</v>
          </cell>
          <cell r="AK261">
            <v>16159</v>
          </cell>
          <cell r="AL261">
            <v>17982</v>
          </cell>
          <cell r="AM261">
            <v>16159</v>
          </cell>
          <cell r="AN261">
            <v>16203.65</v>
          </cell>
        </row>
        <row r="262">
          <cell r="G262">
            <v>9290</v>
          </cell>
          <cell r="H262" t="str">
            <v>Target Total Personnel</v>
          </cell>
          <cell r="J262">
            <v>60899</v>
          </cell>
          <cell r="K262">
            <v>62012</v>
          </cell>
          <cell r="L262">
            <v>68047</v>
          </cell>
          <cell r="M262">
            <v>74815</v>
          </cell>
          <cell r="N262">
            <v>67315</v>
          </cell>
          <cell r="O262">
            <v>65903</v>
          </cell>
          <cell r="P262">
            <v>67199</v>
          </cell>
          <cell r="Q262">
            <v>67074</v>
          </cell>
          <cell r="R262">
            <v>66500</v>
          </cell>
          <cell r="S262">
            <v>73340</v>
          </cell>
          <cell r="T262">
            <v>66492</v>
          </cell>
          <cell r="U262">
            <v>61322</v>
          </cell>
          <cell r="V262">
            <v>67894</v>
          </cell>
          <cell r="W262">
            <v>63894</v>
          </cell>
          <cell r="X262">
            <v>63894</v>
          </cell>
          <cell r="Y262">
            <v>62392</v>
          </cell>
          <cell r="Z262">
            <v>62392</v>
          </cell>
          <cell r="AA262">
            <v>69252</v>
          </cell>
          <cell r="AB262">
            <v>62392</v>
          </cell>
          <cell r="AC262">
            <v>62392</v>
          </cell>
          <cell r="AD262">
            <v>62392</v>
          </cell>
          <cell r="AE262">
            <v>69252</v>
          </cell>
          <cell r="AF262">
            <v>69254</v>
          </cell>
          <cell r="AG262">
            <v>63294</v>
          </cell>
          <cell r="AH262">
            <v>70225</v>
          </cell>
          <cell r="AI262">
            <v>70802</v>
          </cell>
          <cell r="AJ262">
            <v>64520</v>
          </cell>
          <cell r="AK262">
            <v>62266</v>
          </cell>
          <cell r="AL262">
            <v>69037</v>
          </cell>
          <cell r="AM262">
            <v>62266</v>
          </cell>
          <cell r="AN262">
            <v>62588.480000000003</v>
          </cell>
        </row>
        <row r="263">
          <cell r="G263">
            <v>9291</v>
          </cell>
          <cell r="H263" t="str">
            <v>YTD Empl_Benefits</v>
          </cell>
          <cell r="J263">
            <v>32710</v>
          </cell>
          <cell r="K263">
            <v>49215</v>
          </cell>
          <cell r="L263">
            <v>65277</v>
          </cell>
          <cell r="M263">
            <v>82491</v>
          </cell>
          <cell r="N263">
            <v>98243</v>
          </cell>
          <cell r="O263">
            <v>112883</v>
          </cell>
          <cell r="P263">
            <v>127211</v>
          </cell>
          <cell r="Q263">
            <v>141566</v>
          </cell>
          <cell r="R263">
            <v>155927</v>
          </cell>
          <cell r="S263">
            <v>171923</v>
          </cell>
          <cell r="T263">
            <v>186598</v>
          </cell>
          <cell r="U263">
            <v>15552</v>
          </cell>
          <cell r="V263">
            <v>31731</v>
          </cell>
          <cell r="W263">
            <v>48165</v>
          </cell>
          <cell r="X263">
            <v>66071</v>
          </cell>
          <cell r="Y263">
            <v>82424</v>
          </cell>
          <cell r="Z263">
            <v>98777</v>
          </cell>
          <cell r="AA263">
            <v>115122</v>
          </cell>
          <cell r="AB263">
            <v>131589.72</v>
          </cell>
          <cell r="AC263">
            <v>148057</v>
          </cell>
          <cell r="AD263">
            <v>164056</v>
          </cell>
          <cell r="AE263">
            <v>182551</v>
          </cell>
          <cell r="AF263">
            <v>199578</v>
          </cell>
          <cell r="AG263">
            <v>15725</v>
          </cell>
          <cell r="AH263">
            <v>31815</v>
          </cell>
          <cell r="AI263">
            <v>47847</v>
          </cell>
          <cell r="AJ263">
            <v>65210</v>
          </cell>
          <cell r="AK263">
            <v>81020</v>
          </cell>
          <cell r="AL263">
            <v>96788</v>
          </cell>
          <cell r="AM263">
            <v>112554</v>
          </cell>
          <cell r="AN263">
            <v>128279.59</v>
          </cell>
        </row>
        <row r="264">
          <cell r="G264">
            <v>9292</v>
          </cell>
          <cell r="H264" t="str">
            <v>YTD Total Personnel</v>
          </cell>
          <cell r="J264">
            <v>129465</v>
          </cell>
          <cell r="K264">
            <v>195363</v>
          </cell>
          <cell r="L264">
            <v>260205</v>
          </cell>
          <cell r="M264">
            <v>329081</v>
          </cell>
          <cell r="N264">
            <v>390832</v>
          </cell>
          <cell r="O264">
            <v>448186</v>
          </cell>
          <cell r="P264">
            <v>504492</v>
          </cell>
          <cell r="Q264">
            <v>561098</v>
          </cell>
          <cell r="R264">
            <v>617726</v>
          </cell>
          <cell r="S264">
            <v>682098</v>
          </cell>
          <cell r="T264">
            <v>740061</v>
          </cell>
          <cell r="U264">
            <v>61557</v>
          </cell>
          <cell r="V264">
            <v>125395</v>
          </cell>
          <cell r="W264">
            <v>190534</v>
          </cell>
          <cell r="X264">
            <v>261520</v>
          </cell>
          <cell r="Y264">
            <v>324875</v>
          </cell>
          <cell r="Z264">
            <v>388278</v>
          </cell>
          <cell r="AA264">
            <v>450651</v>
          </cell>
          <cell r="AB264">
            <v>383126.13</v>
          </cell>
          <cell r="AC264">
            <v>579180</v>
          </cell>
          <cell r="AD264">
            <v>643056</v>
          </cell>
          <cell r="AE264">
            <v>714960</v>
          </cell>
          <cell r="AF264">
            <v>781633</v>
          </cell>
          <cell r="AG264">
            <v>62457</v>
          </cell>
          <cell r="AH264">
            <v>128031</v>
          </cell>
          <cell r="AI264">
            <v>191506</v>
          </cell>
          <cell r="AJ264">
            <v>260853</v>
          </cell>
          <cell r="AK264">
            <v>322873</v>
          </cell>
          <cell r="AL264">
            <v>384067</v>
          </cell>
          <cell r="AM264">
            <v>444606</v>
          </cell>
          <cell r="AN264">
            <v>504950.77</v>
          </cell>
        </row>
        <row r="265">
          <cell r="G265">
            <v>9293</v>
          </cell>
          <cell r="H265" t="str">
            <v>YTD Target Empl_Benefits</v>
          </cell>
          <cell r="J265">
            <v>30022</v>
          </cell>
          <cell r="K265">
            <v>45654</v>
          </cell>
          <cell r="L265">
            <v>62733</v>
          </cell>
          <cell r="M265">
            <v>81370</v>
          </cell>
          <cell r="N265">
            <v>98458</v>
          </cell>
          <cell r="O265">
            <v>115473</v>
          </cell>
          <cell r="P265">
            <v>132437</v>
          </cell>
          <cell r="Q265">
            <v>149392</v>
          </cell>
          <cell r="R265">
            <v>166344</v>
          </cell>
          <cell r="S265">
            <v>184876</v>
          </cell>
          <cell r="T265">
            <v>201937</v>
          </cell>
          <cell r="U265">
            <v>15497</v>
          </cell>
          <cell r="V265">
            <v>32705</v>
          </cell>
          <cell r="W265">
            <v>49142</v>
          </cell>
          <cell r="X265">
            <v>65580</v>
          </cell>
          <cell r="Y265">
            <v>81165</v>
          </cell>
          <cell r="Z265">
            <v>97165</v>
          </cell>
          <cell r="AA265">
            <v>114976</v>
          </cell>
          <cell r="AB265">
            <v>130975</v>
          </cell>
          <cell r="AC265">
            <v>146975</v>
          </cell>
          <cell r="AD265">
            <v>162975</v>
          </cell>
          <cell r="AE265">
            <v>180785</v>
          </cell>
          <cell r="AF265">
            <v>198595</v>
          </cell>
          <cell r="AG265">
            <v>16086</v>
          </cell>
          <cell r="AH265">
            <v>33140</v>
          </cell>
          <cell r="AI265">
            <v>51122</v>
          </cell>
          <cell r="AJ265">
            <v>67313</v>
          </cell>
          <cell r="AK265">
            <v>83471</v>
          </cell>
          <cell r="AL265">
            <v>101453</v>
          </cell>
          <cell r="AM265">
            <v>117611</v>
          </cell>
          <cell r="AN265">
            <v>133814.75</v>
          </cell>
        </row>
        <row r="266">
          <cell r="G266">
            <v>9294</v>
          </cell>
          <cell r="H266" t="str">
            <v>YTD Target Total Personnel</v>
          </cell>
          <cell r="J266">
            <v>121913</v>
          </cell>
          <cell r="K266">
            <v>183925</v>
          </cell>
          <cell r="L266">
            <v>251972</v>
          </cell>
          <cell r="M266">
            <v>326787</v>
          </cell>
          <cell r="N266">
            <v>394102</v>
          </cell>
          <cell r="O266">
            <v>460005</v>
          </cell>
          <cell r="P266">
            <v>527204</v>
          </cell>
          <cell r="Q266">
            <v>594278</v>
          </cell>
          <cell r="R266">
            <v>660778</v>
          </cell>
          <cell r="S266">
            <v>734118</v>
          </cell>
          <cell r="T266">
            <v>800610</v>
          </cell>
          <cell r="U266">
            <v>61322</v>
          </cell>
          <cell r="V266">
            <v>129217</v>
          </cell>
          <cell r="W266">
            <v>193110</v>
          </cell>
          <cell r="X266">
            <v>257004</v>
          </cell>
          <cell r="Y266">
            <v>316547</v>
          </cell>
          <cell r="Z266">
            <v>378939</v>
          </cell>
          <cell r="AA266">
            <v>448191</v>
          </cell>
          <cell r="AB266">
            <v>510584</v>
          </cell>
          <cell r="AC266">
            <v>572976</v>
          </cell>
          <cell r="AD266">
            <v>635368</v>
          </cell>
          <cell r="AE266">
            <v>704621</v>
          </cell>
          <cell r="AF266">
            <v>773875</v>
          </cell>
          <cell r="AG266">
            <v>63294</v>
          </cell>
          <cell r="AH266">
            <v>133519</v>
          </cell>
          <cell r="AI266">
            <v>204321</v>
          </cell>
          <cell r="AJ266">
            <v>268841</v>
          </cell>
          <cell r="AK266">
            <v>331107</v>
          </cell>
          <cell r="AL266">
            <v>400145</v>
          </cell>
          <cell r="AM266">
            <v>462411</v>
          </cell>
          <cell r="AN266">
            <v>524999.35</v>
          </cell>
        </row>
        <row r="267">
          <cell r="G267">
            <v>9295</v>
          </cell>
          <cell r="H267" t="str">
            <v>Actual</v>
          </cell>
          <cell r="J267">
            <v>672927</v>
          </cell>
          <cell r="K267">
            <v>-70571</v>
          </cell>
          <cell r="L267">
            <v>-107320</v>
          </cell>
          <cell r="M267">
            <v>-76860</v>
          </cell>
          <cell r="N267">
            <v>-95999</v>
          </cell>
          <cell r="O267">
            <v>-77421</v>
          </cell>
          <cell r="P267">
            <v>-47179</v>
          </cell>
          <cell r="Q267">
            <v>-58366</v>
          </cell>
          <cell r="R267">
            <v>-65646</v>
          </cell>
          <cell r="S267">
            <v>-67963</v>
          </cell>
          <cell r="T267">
            <v>-66143</v>
          </cell>
          <cell r="U267">
            <v>42519</v>
          </cell>
          <cell r="V267">
            <v>682252</v>
          </cell>
          <cell r="W267">
            <v>-68266</v>
          </cell>
          <cell r="X267">
            <v>-43155</v>
          </cell>
          <cell r="Y267">
            <v>-64153</v>
          </cell>
          <cell r="Z267">
            <v>-67627</v>
          </cell>
          <cell r="AA267">
            <v>-63089</v>
          </cell>
          <cell r="AB267">
            <v>-38758.26</v>
          </cell>
          <cell r="AC267">
            <v>519950</v>
          </cell>
          <cell r="AD267">
            <v>-87250</v>
          </cell>
          <cell r="AE267">
            <v>-95304</v>
          </cell>
          <cell r="AF267">
            <v>-201281</v>
          </cell>
          <cell r="AG267">
            <v>425750</v>
          </cell>
          <cell r="AH267">
            <v>674158</v>
          </cell>
          <cell r="AI267">
            <v>-125260</v>
          </cell>
          <cell r="AJ267">
            <v>-77936</v>
          </cell>
          <cell r="AK267">
            <v>-74739</v>
          </cell>
          <cell r="AL267">
            <v>-12870</v>
          </cell>
          <cell r="AM267">
            <v>-132247</v>
          </cell>
          <cell r="AN267">
            <v>-47658.33</v>
          </cell>
        </row>
        <row r="268">
          <cell r="G268">
            <v>9296</v>
          </cell>
          <cell r="H268" t="str">
            <v>Target (Budget)</v>
          </cell>
          <cell r="J268">
            <v>669422</v>
          </cell>
          <cell r="K268">
            <v>-62826</v>
          </cell>
          <cell r="L268">
            <v>-147644</v>
          </cell>
          <cell r="M268">
            <v>-86673</v>
          </cell>
          <cell r="N268">
            <v>-74112</v>
          </cell>
          <cell r="O268">
            <v>-68445</v>
          </cell>
          <cell r="P268">
            <v>-54698</v>
          </cell>
          <cell r="Q268">
            <v>-67637</v>
          </cell>
          <cell r="R268">
            <v>-33158</v>
          </cell>
          <cell r="S268">
            <v>-82840</v>
          </cell>
          <cell r="T268">
            <v>-70305</v>
          </cell>
          <cell r="U268">
            <v>43495</v>
          </cell>
          <cell r="V268">
            <v>676091</v>
          </cell>
          <cell r="W268">
            <v>-73078</v>
          </cell>
          <cell r="X268">
            <v>-28525</v>
          </cell>
          <cell r="Y268">
            <v>-63858</v>
          </cell>
          <cell r="Z268">
            <v>-64943</v>
          </cell>
          <cell r="AA268">
            <v>-70230</v>
          </cell>
          <cell r="AB268">
            <v>-37541</v>
          </cell>
          <cell r="AC268">
            <v>525152</v>
          </cell>
          <cell r="AD268">
            <v>-65683</v>
          </cell>
          <cell r="AE268">
            <v>-69955</v>
          </cell>
          <cell r="AF268">
            <v>-197743</v>
          </cell>
          <cell r="AG268">
            <v>425912</v>
          </cell>
          <cell r="AH268">
            <v>655149</v>
          </cell>
          <cell r="AI268">
            <v>-202936</v>
          </cell>
          <cell r="AJ268">
            <v>-66544</v>
          </cell>
          <cell r="AK268">
            <v>-61890</v>
          </cell>
          <cell r="AL268">
            <v>-135284</v>
          </cell>
          <cell r="AM268">
            <v>-62331</v>
          </cell>
          <cell r="AN268">
            <v>-38276.720000000001</v>
          </cell>
        </row>
        <row r="269">
          <cell r="G269">
            <v>9299</v>
          </cell>
          <cell r="H269" t="str">
            <v>YTD Actual</v>
          </cell>
          <cell r="J269">
            <v>824654</v>
          </cell>
          <cell r="K269">
            <v>754084</v>
          </cell>
          <cell r="L269">
            <v>646764</v>
          </cell>
          <cell r="M269">
            <v>569904</v>
          </cell>
          <cell r="N269">
            <v>473906</v>
          </cell>
          <cell r="O269">
            <v>396485</v>
          </cell>
          <cell r="P269">
            <v>349306</v>
          </cell>
          <cell r="Q269">
            <v>290940</v>
          </cell>
          <cell r="R269">
            <v>225294</v>
          </cell>
          <cell r="S269">
            <v>157331</v>
          </cell>
          <cell r="T269">
            <v>91188</v>
          </cell>
          <cell r="U269">
            <v>42519</v>
          </cell>
          <cell r="V269">
            <v>724771</v>
          </cell>
          <cell r="W269">
            <v>656506</v>
          </cell>
          <cell r="X269">
            <v>613350</v>
          </cell>
          <cell r="Y269">
            <v>549197</v>
          </cell>
          <cell r="Z269">
            <v>481570</v>
          </cell>
          <cell r="AA269">
            <v>418481</v>
          </cell>
          <cell r="AB269">
            <v>379722.7</v>
          </cell>
          <cell r="AC269">
            <v>899673</v>
          </cell>
          <cell r="AD269">
            <v>812422</v>
          </cell>
          <cell r="AE269">
            <v>717118</v>
          </cell>
          <cell r="AF269">
            <v>515837</v>
          </cell>
          <cell r="AG269">
            <v>425750</v>
          </cell>
          <cell r="AH269">
            <v>1099908</v>
          </cell>
          <cell r="AI269">
            <v>974648</v>
          </cell>
          <cell r="AJ269">
            <v>896711</v>
          </cell>
          <cell r="AK269">
            <v>821972</v>
          </cell>
          <cell r="AL269">
            <v>809102</v>
          </cell>
          <cell r="AM269">
            <v>676855</v>
          </cell>
          <cell r="AN269">
            <v>629196.23999999987</v>
          </cell>
        </row>
        <row r="270">
          <cell r="G270">
            <v>9300</v>
          </cell>
          <cell r="H270" t="str">
            <v>YTD Target (Budget)</v>
          </cell>
          <cell r="J270">
            <v>828254</v>
          </cell>
          <cell r="K270">
            <v>765428</v>
          </cell>
          <cell r="L270">
            <v>617784</v>
          </cell>
          <cell r="M270">
            <v>531111</v>
          </cell>
          <cell r="N270">
            <v>456999</v>
          </cell>
          <cell r="O270">
            <v>388554</v>
          </cell>
          <cell r="P270">
            <v>333856</v>
          </cell>
          <cell r="Q270">
            <v>266219</v>
          </cell>
          <cell r="R270">
            <v>233061</v>
          </cell>
          <cell r="S270">
            <v>112721</v>
          </cell>
          <cell r="T270">
            <v>42416</v>
          </cell>
          <cell r="U270">
            <v>43495</v>
          </cell>
          <cell r="V270">
            <v>719587</v>
          </cell>
          <cell r="W270">
            <v>646509</v>
          </cell>
          <cell r="X270">
            <v>617984</v>
          </cell>
          <cell r="Y270">
            <v>556975</v>
          </cell>
          <cell r="Z270">
            <v>492031</v>
          </cell>
          <cell r="AA270">
            <v>421802</v>
          </cell>
          <cell r="AB270">
            <v>384261</v>
          </cell>
          <cell r="AC270">
            <v>909413</v>
          </cell>
          <cell r="AD270">
            <v>843730</v>
          </cell>
          <cell r="AE270">
            <v>773775</v>
          </cell>
          <cell r="AF270">
            <v>576032</v>
          </cell>
          <cell r="AG270">
            <v>425912</v>
          </cell>
          <cell r="AH270">
            <v>1081061</v>
          </cell>
          <cell r="AI270">
            <v>878125</v>
          </cell>
          <cell r="AJ270">
            <v>814197</v>
          </cell>
          <cell r="AK270">
            <v>752307</v>
          </cell>
          <cell r="AL270">
            <v>617023</v>
          </cell>
          <cell r="AM270">
            <v>554691</v>
          </cell>
          <cell r="AN270">
            <v>516414.53999999992</v>
          </cell>
        </row>
        <row r="271">
          <cell r="G271">
            <v>9307</v>
          </cell>
          <cell r="H271" t="str">
            <v>Actual</v>
          </cell>
          <cell r="J271">
            <v>672927</v>
          </cell>
          <cell r="K271">
            <v>-70571</v>
          </cell>
          <cell r="L271">
            <v>-107320</v>
          </cell>
          <cell r="M271">
            <v>-76860</v>
          </cell>
          <cell r="N271">
            <v>-95999</v>
          </cell>
          <cell r="O271">
            <v>-77421</v>
          </cell>
          <cell r="P271">
            <v>18860</v>
          </cell>
          <cell r="Q271">
            <v>-58366</v>
          </cell>
          <cell r="R271">
            <v>-65649</v>
          </cell>
          <cell r="S271">
            <v>-60753</v>
          </cell>
          <cell r="T271">
            <v>-40853</v>
          </cell>
          <cell r="U271">
            <v>42519</v>
          </cell>
          <cell r="V271">
            <v>682252</v>
          </cell>
          <cell r="W271">
            <v>-68266</v>
          </cell>
          <cell r="X271">
            <v>-43155</v>
          </cell>
          <cell r="Y271">
            <v>-64153</v>
          </cell>
          <cell r="Z271">
            <v>-67627</v>
          </cell>
          <cell r="AA271">
            <v>-63089</v>
          </cell>
          <cell r="AB271">
            <v>-38758.26</v>
          </cell>
          <cell r="AC271">
            <v>505342</v>
          </cell>
          <cell r="AD271">
            <v>-87250</v>
          </cell>
          <cell r="AE271">
            <v>-95304</v>
          </cell>
          <cell r="AF271">
            <v>-190281</v>
          </cell>
          <cell r="AG271">
            <v>425750</v>
          </cell>
          <cell r="AH271">
            <v>674158</v>
          </cell>
          <cell r="AI271">
            <v>-125260</v>
          </cell>
          <cell r="AJ271">
            <v>-77936</v>
          </cell>
          <cell r="AK271">
            <v>-74739</v>
          </cell>
          <cell r="AL271">
            <v>-12870</v>
          </cell>
          <cell r="AM271">
            <v>-132247</v>
          </cell>
          <cell r="AN271">
            <v>-47658.33</v>
          </cell>
        </row>
        <row r="272">
          <cell r="G272">
            <v>9308</v>
          </cell>
          <cell r="H272" t="str">
            <v>Target (Budget)</v>
          </cell>
          <cell r="J272">
            <v>669422</v>
          </cell>
          <cell r="K272">
            <v>-62826</v>
          </cell>
          <cell r="L272">
            <v>-147644</v>
          </cell>
          <cell r="M272">
            <v>-86673</v>
          </cell>
          <cell r="N272">
            <v>-74112</v>
          </cell>
          <cell r="O272">
            <v>-68445</v>
          </cell>
          <cell r="P272">
            <v>-43698</v>
          </cell>
          <cell r="Q272">
            <v>-67637</v>
          </cell>
          <cell r="R272">
            <v>-33158</v>
          </cell>
          <cell r="S272">
            <v>-82840</v>
          </cell>
          <cell r="T272">
            <v>-70305</v>
          </cell>
          <cell r="U272">
            <v>43495</v>
          </cell>
          <cell r="V272">
            <v>676091</v>
          </cell>
          <cell r="W272">
            <v>-73078</v>
          </cell>
          <cell r="X272">
            <v>-28525</v>
          </cell>
          <cell r="Y272">
            <v>-63858</v>
          </cell>
          <cell r="Z272">
            <v>-64943</v>
          </cell>
          <cell r="AA272">
            <v>-59230</v>
          </cell>
          <cell r="AB272">
            <v>-37541</v>
          </cell>
          <cell r="AC272">
            <v>525152</v>
          </cell>
          <cell r="AD272">
            <v>-65683</v>
          </cell>
          <cell r="AE272">
            <v>-69955</v>
          </cell>
          <cell r="AF272">
            <v>-197743</v>
          </cell>
          <cell r="AG272">
            <v>425912</v>
          </cell>
          <cell r="AH272">
            <v>655149</v>
          </cell>
          <cell r="AI272">
            <v>-202936</v>
          </cell>
          <cell r="AJ272">
            <v>-66544</v>
          </cell>
          <cell r="AK272">
            <v>-61890</v>
          </cell>
          <cell r="AL272">
            <v>-135284</v>
          </cell>
          <cell r="AM272">
            <v>-62331</v>
          </cell>
          <cell r="AN272">
            <v>-38276.720000000001</v>
          </cell>
        </row>
        <row r="273">
          <cell r="G273">
            <v>9311</v>
          </cell>
          <cell r="H273" t="str">
            <v>YTD Actual</v>
          </cell>
          <cell r="J273">
            <v>740449</v>
          </cell>
          <cell r="K273">
            <v>669878</v>
          </cell>
          <cell r="L273">
            <v>562558</v>
          </cell>
          <cell r="M273">
            <v>485699</v>
          </cell>
          <cell r="N273">
            <v>389700</v>
          </cell>
          <cell r="O273">
            <v>312279</v>
          </cell>
          <cell r="P273">
            <v>331138</v>
          </cell>
          <cell r="Q273">
            <v>272772</v>
          </cell>
          <cell r="R273">
            <v>207126</v>
          </cell>
          <cell r="S273">
            <v>146373</v>
          </cell>
          <cell r="T273">
            <v>105520</v>
          </cell>
          <cell r="U273">
            <v>42519</v>
          </cell>
          <cell r="V273">
            <v>724771</v>
          </cell>
          <cell r="W273">
            <v>656506</v>
          </cell>
          <cell r="X273">
            <v>613350</v>
          </cell>
          <cell r="Y273">
            <v>549197</v>
          </cell>
          <cell r="Z273">
            <v>481570</v>
          </cell>
          <cell r="AA273">
            <v>418481</v>
          </cell>
          <cell r="AB273">
            <v>379722.7</v>
          </cell>
          <cell r="AC273">
            <v>885065</v>
          </cell>
          <cell r="AD273">
            <v>797814</v>
          </cell>
          <cell r="AE273">
            <v>702510</v>
          </cell>
          <cell r="AF273">
            <v>512229</v>
          </cell>
          <cell r="AG273">
            <v>425750</v>
          </cell>
          <cell r="AH273">
            <v>1099908</v>
          </cell>
          <cell r="AI273">
            <v>974648</v>
          </cell>
          <cell r="AJ273">
            <v>896711</v>
          </cell>
          <cell r="AK273">
            <v>821972</v>
          </cell>
          <cell r="AL273">
            <v>809102</v>
          </cell>
          <cell r="AM273">
            <v>676855</v>
          </cell>
          <cell r="AN273">
            <v>629196.23999999987</v>
          </cell>
        </row>
        <row r="274">
          <cell r="G274">
            <v>9312</v>
          </cell>
          <cell r="H274" t="str">
            <v>YTD Target (Budget)</v>
          </cell>
          <cell r="J274">
            <v>744048</v>
          </cell>
          <cell r="K274">
            <v>681222</v>
          </cell>
          <cell r="L274">
            <v>533578</v>
          </cell>
          <cell r="M274">
            <v>446905</v>
          </cell>
          <cell r="N274">
            <v>372793</v>
          </cell>
          <cell r="O274">
            <v>304348</v>
          </cell>
          <cell r="P274">
            <v>260650</v>
          </cell>
          <cell r="Q274">
            <v>193013</v>
          </cell>
          <cell r="R274">
            <v>159855</v>
          </cell>
          <cell r="S274">
            <v>77015</v>
          </cell>
          <cell r="T274">
            <v>6710</v>
          </cell>
          <cell r="U274">
            <v>43495</v>
          </cell>
          <cell r="V274">
            <v>719587</v>
          </cell>
          <cell r="W274">
            <v>646509</v>
          </cell>
          <cell r="X274">
            <v>617984</v>
          </cell>
          <cell r="Y274">
            <v>556975</v>
          </cell>
          <cell r="Z274">
            <v>492031</v>
          </cell>
          <cell r="AA274">
            <v>432802</v>
          </cell>
          <cell r="AB274">
            <v>395261</v>
          </cell>
          <cell r="AC274">
            <v>920413</v>
          </cell>
          <cell r="AD274">
            <v>854730</v>
          </cell>
          <cell r="AE274">
            <v>784775</v>
          </cell>
          <cell r="AF274">
            <v>587032</v>
          </cell>
          <cell r="AG274">
            <v>425912</v>
          </cell>
          <cell r="AH274">
            <v>1081061</v>
          </cell>
          <cell r="AI274">
            <v>878125</v>
          </cell>
          <cell r="AJ274">
            <v>814197</v>
          </cell>
          <cell r="AK274">
            <v>752307</v>
          </cell>
          <cell r="AL274">
            <v>617023</v>
          </cell>
          <cell r="AM274">
            <v>554691</v>
          </cell>
          <cell r="AN274">
            <v>516414.53999999992</v>
          </cell>
        </row>
        <row r="275">
          <cell r="G275">
            <v>9584</v>
          </cell>
          <cell r="H275" t="str">
            <v>Actual</v>
          </cell>
          <cell r="I275">
            <v>417145</v>
          </cell>
          <cell r="J275">
            <v>424416</v>
          </cell>
          <cell r="K275">
            <v>449065</v>
          </cell>
          <cell r="L275">
            <v>478191</v>
          </cell>
          <cell r="M275">
            <v>617346</v>
          </cell>
          <cell r="N275">
            <v>514858</v>
          </cell>
          <cell r="O275">
            <v>458008</v>
          </cell>
          <cell r="P275">
            <v>442186</v>
          </cell>
          <cell r="Q275">
            <v>488958</v>
          </cell>
          <cell r="R275">
            <v>413604</v>
          </cell>
          <cell r="S275">
            <v>567018</v>
          </cell>
          <cell r="T275">
            <v>426361</v>
          </cell>
          <cell r="U275">
            <v>448879</v>
          </cell>
          <cell r="V275">
            <v>459888</v>
          </cell>
          <cell r="W275">
            <v>455059</v>
          </cell>
          <cell r="X275">
            <v>587294</v>
          </cell>
          <cell r="Y275">
            <v>510442</v>
          </cell>
          <cell r="Z275">
            <v>525450</v>
          </cell>
          <cell r="AA275">
            <v>490262</v>
          </cell>
          <cell r="AB275">
            <v>487884.77</v>
          </cell>
          <cell r="AC275">
            <v>465638</v>
          </cell>
          <cell r="AD275">
            <v>768948</v>
          </cell>
          <cell r="AE275">
            <v>318300</v>
          </cell>
          <cell r="AF275">
            <v>512278</v>
          </cell>
          <cell r="AG275">
            <v>462164</v>
          </cell>
          <cell r="AH275">
            <v>507797</v>
          </cell>
          <cell r="AI275">
            <v>412410</v>
          </cell>
          <cell r="AJ275">
            <v>565397</v>
          </cell>
          <cell r="AK275">
            <v>392193</v>
          </cell>
          <cell r="AL275">
            <v>438327</v>
          </cell>
          <cell r="AM275">
            <v>546946</v>
          </cell>
          <cell r="AN275">
            <v>452654.39000000007</v>
          </cell>
        </row>
        <row r="276">
          <cell r="G276">
            <v>9585</v>
          </cell>
          <cell r="H276" t="str">
            <v>Target (Budget)</v>
          </cell>
          <cell r="I276">
            <v>438293</v>
          </cell>
          <cell r="J276">
            <v>432960</v>
          </cell>
          <cell r="K276">
            <v>434946</v>
          </cell>
          <cell r="L276">
            <v>547909</v>
          </cell>
          <cell r="M276">
            <v>570960</v>
          </cell>
          <cell r="N276">
            <v>476018</v>
          </cell>
          <cell r="O276">
            <v>466085</v>
          </cell>
          <cell r="P276">
            <v>511845</v>
          </cell>
          <cell r="Q276">
            <v>520749</v>
          </cell>
          <cell r="R276">
            <v>458370</v>
          </cell>
          <cell r="S276">
            <v>558533</v>
          </cell>
          <cell r="T276">
            <v>462721</v>
          </cell>
          <cell r="U276">
            <v>457317</v>
          </cell>
          <cell r="V276">
            <v>461070</v>
          </cell>
          <cell r="W276">
            <v>467499</v>
          </cell>
          <cell r="X276">
            <v>668362</v>
          </cell>
          <cell r="Y276">
            <v>574326</v>
          </cell>
          <cell r="Z276">
            <v>562784</v>
          </cell>
          <cell r="AA276">
            <v>492984</v>
          </cell>
          <cell r="AB276">
            <v>525547</v>
          </cell>
          <cell r="AC276">
            <v>461736</v>
          </cell>
          <cell r="AD276">
            <v>520513</v>
          </cell>
          <cell r="AE276">
            <v>573306</v>
          </cell>
          <cell r="AF276">
            <v>450453</v>
          </cell>
          <cell r="AG276">
            <v>463848</v>
          </cell>
          <cell r="AH276">
            <v>525221</v>
          </cell>
          <cell r="AI276">
            <v>454654</v>
          </cell>
          <cell r="AJ276">
            <v>601579</v>
          </cell>
          <cell r="AK276">
            <v>443916</v>
          </cell>
          <cell r="AL276">
            <v>464581</v>
          </cell>
          <cell r="AM276">
            <v>453857</v>
          </cell>
          <cell r="AN276">
            <v>460794.03</v>
          </cell>
        </row>
        <row r="277">
          <cell r="G277">
            <v>9588</v>
          </cell>
          <cell r="H277" t="str">
            <v>YTD Actual</v>
          </cell>
          <cell r="I277">
            <v>417145</v>
          </cell>
          <cell r="J277">
            <v>841561</v>
          </cell>
          <cell r="K277">
            <v>1290626</v>
          </cell>
          <cell r="L277">
            <v>1768817</v>
          </cell>
          <cell r="M277">
            <v>2386163</v>
          </cell>
          <cell r="N277">
            <v>2901021</v>
          </cell>
          <cell r="O277">
            <v>3359029</v>
          </cell>
          <cell r="P277">
            <v>3801215</v>
          </cell>
          <cell r="Q277">
            <v>4290173</v>
          </cell>
          <cell r="R277">
            <v>4703777</v>
          </cell>
          <cell r="S277">
            <v>5270795</v>
          </cell>
          <cell r="T277">
            <v>567155</v>
          </cell>
          <cell r="U277">
            <v>448879</v>
          </cell>
          <cell r="V277">
            <v>908767</v>
          </cell>
          <cell r="W277">
            <v>1363826</v>
          </cell>
          <cell r="X277">
            <v>1951120</v>
          </cell>
          <cell r="Y277">
            <v>2461562</v>
          </cell>
          <cell r="Z277">
            <v>2987012</v>
          </cell>
          <cell r="AA277">
            <v>3477274</v>
          </cell>
          <cell r="AB277">
            <v>3965158.92</v>
          </cell>
          <cell r="AC277">
            <v>4430797</v>
          </cell>
          <cell r="AD277">
            <v>5199744</v>
          </cell>
          <cell r="AE277">
            <v>5518044</v>
          </cell>
          <cell r="AF277">
            <v>6030322</v>
          </cell>
          <cell r="AG277">
            <v>462164</v>
          </cell>
          <cell r="AH277">
            <v>969960</v>
          </cell>
          <cell r="AI277">
            <v>1382371</v>
          </cell>
          <cell r="AJ277">
            <v>1947768</v>
          </cell>
          <cell r="AK277">
            <v>2339961</v>
          </cell>
          <cell r="AL277">
            <v>2778288</v>
          </cell>
          <cell r="AM277">
            <v>3325234</v>
          </cell>
          <cell r="AN277">
            <v>3777888.6599999997</v>
          </cell>
        </row>
        <row r="278">
          <cell r="G278">
            <v>9589</v>
          </cell>
          <cell r="H278" t="str">
            <v>YTD Target (Budget)</v>
          </cell>
          <cell r="I278">
            <v>438293</v>
          </cell>
          <cell r="J278">
            <v>870833</v>
          </cell>
          <cell r="K278">
            <v>1297459</v>
          </cell>
          <cell r="L278">
            <v>1846375</v>
          </cell>
          <cell r="M278">
            <v>2417335</v>
          </cell>
          <cell r="N278">
            <v>2893353</v>
          </cell>
          <cell r="O278">
            <v>3359438</v>
          </cell>
          <cell r="P278">
            <v>3871283</v>
          </cell>
          <cell r="Q278">
            <v>4392032</v>
          </cell>
          <cell r="R278">
            <v>4850402</v>
          </cell>
          <cell r="S278">
            <v>5408935</v>
          </cell>
          <cell r="T278">
            <v>5871656</v>
          </cell>
          <cell r="U278">
            <v>457317</v>
          </cell>
          <cell r="V278">
            <v>918388</v>
          </cell>
          <cell r="W278">
            <v>1385886</v>
          </cell>
          <cell r="X278">
            <v>2054248</v>
          </cell>
          <cell r="Y278">
            <v>2628574</v>
          </cell>
          <cell r="Z278">
            <v>3191357</v>
          </cell>
          <cell r="AA278">
            <v>3684342</v>
          </cell>
          <cell r="AB278">
            <v>4209889</v>
          </cell>
          <cell r="AC278">
            <v>4671625</v>
          </cell>
          <cell r="AD278">
            <v>5192137</v>
          </cell>
          <cell r="AE278">
            <v>5765444</v>
          </cell>
          <cell r="AF278">
            <v>6215896</v>
          </cell>
          <cell r="AG278">
            <v>463848</v>
          </cell>
          <cell r="AH278">
            <v>992306</v>
          </cell>
          <cell r="AI278">
            <v>1401004</v>
          </cell>
          <cell r="AJ278">
            <v>1984266</v>
          </cell>
          <cell r="AK278">
            <v>2437350</v>
          </cell>
          <cell r="AL278">
            <v>2901930</v>
          </cell>
          <cell r="AM278">
            <v>3355788</v>
          </cell>
          <cell r="AN278">
            <v>3815282.6099999994</v>
          </cell>
        </row>
        <row r="279">
          <cell r="G279">
            <v>9608</v>
          </cell>
          <cell r="H279" t="str">
            <v>Empl_Benefits</v>
          </cell>
          <cell r="I279">
            <v>104443</v>
          </cell>
          <cell r="J279">
            <v>102515</v>
          </cell>
          <cell r="K279">
            <v>105698</v>
          </cell>
          <cell r="L279">
            <v>105329</v>
          </cell>
          <cell r="M279">
            <v>141498</v>
          </cell>
          <cell r="N279">
            <v>107994</v>
          </cell>
          <cell r="O279">
            <v>110008</v>
          </cell>
          <cell r="P279">
            <v>108683</v>
          </cell>
          <cell r="Q279">
            <v>105404</v>
          </cell>
          <cell r="R279">
            <v>102503</v>
          </cell>
          <cell r="S279">
            <v>137898</v>
          </cell>
          <cell r="T279">
            <v>103635</v>
          </cell>
          <cell r="U279">
            <v>102823</v>
          </cell>
          <cell r="V279">
            <v>103925</v>
          </cell>
          <cell r="W279">
            <v>108047</v>
          </cell>
          <cell r="X279">
            <v>147112</v>
          </cell>
          <cell r="Y279">
            <v>110339</v>
          </cell>
          <cell r="Z279">
            <v>108495</v>
          </cell>
          <cell r="AA279">
            <v>108879</v>
          </cell>
          <cell r="AB279">
            <v>108267.16</v>
          </cell>
          <cell r="AC279">
            <v>107484</v>
          </cell>
          <cell r="AD279">
            <v>180169</v>
          </cell>
          <cell r="AE279">
            <v>63152</v>
          </cell>
          <cell r="AF279">
            <v>102342</v>
          </cell>
          <cell r="AG279">
            <v>103306</v>
          </cell>
          <cell r="AH279">
            <v>103200</v>
          </cell>
          <cell r="AI279">
            <v>112056</v>
          </cell>
          <cell r="AJ279">
            <v>148465</v>
          </cell>
          <cell r="AK279">
            <v>109590</v>
          </cell>
          <cell r="AL279">
            <v>112114</v>
          </cell>
          <cell r="AM279">
            <v>116566</v>
          </cell>
          <cell r="AN279">
            <v>117659.96000000002</v>
          </cell>
        </row>
        <row r="280">
          <cell r="G280">
            <v>9609</v>
          </cell>
          <cell r="H280" t="str">
            <v>Total Personnel</v>
          </cell>
          <cell r="I280">
            <v>372169</v>
          </cell>
          <cell r="J280">
            <v>366443</v>
          </cell>
          <cell r="K280">
            <v>379494</v>
          </cell>
          <cell r="L280">
            <v>373940</v>
          </cell>
          <cell r="M280">
            <v>493689</v>
          </cell>
          <cell r="N280">
            <v>381839</v>
          </cell>
          <cell r="O280">
            <v>388316</v>
          </cell>
          <cell r="P280">
            <v>380337</v>
          </cell>
          <cell r="Q280">
            <v>370537</v>
          </cell>
          <cell r="R280">
            <v>359336</v>
          </cell>
          <cell r="S280">
            <v>491051</v>
          </cell>
          <cell r="T280">
            <v>366090</v>
          </cell>
          <cell r="U280">
            <v>364033</v>
          </cell>
          <cell r="V280">
            <v>367897</v>
          </cell>
          <cell r="W280">
            <v>383739</v>
          </cell>
          <cell r="X280">
            <v>501800</v>
          </cell>
          <cell r="Y280">
            <v>396183</v>
          </cell>
          <cell r="Z280">
            <v>393870</v>
          </cell>
          <cell r="AA280">
            <v>383115</v>
          </cell>
          <cell r="AB280">
            <v>266960.09999999998</v>
          </cell>
          <cell r="AC280">
            <v>425470</v>
          </cell>
          <cell r="AD280">
            <v>649900</v>
          </cell>
          <cell r="AE280">
            <v>254785</v>
          </cell>
          <cell r="AF280">
            <v>358545</v>
          </cell>
          <cell r="AG280">
            <v>364121</v>
          </cell>
          <cell r="AH280">
            <v>360895</v>
          </cell>
          <cell r="AI280">
            <v>383574</v>
          </cell>
          <cell r="AJ280">
            <v>493473</v>
          </cell>
          <cell r="AK280">
            <v>371982</v>
          </cell>
          <cell r="AL280">
            <v>384016</v>
          </cell>
          <cell r="AM280">
            <v>393652</v>
          </cell>
          <cell r="AN280">
            <v>389942.07000000007</v>
          </cell>
        </row>
        <row r="281">
          <cell r="G281">
            <v>9610</v>
          </cell>
          <cell r="H281" t="str">
            <v>Target Empl_Benefits</v>
          </cell>
          <cell r="I281">
            <v>99623</v>
          </cell>
          <cell r="J281">
            <v>100106</v>
          </cell>
          <cell r="K281">
            <v>107735</v>
          </cell>
          <cell r="L281">
            <v>108245</v>
          </cell>
          <cell r="M281">
            <v>143947</v>
          </cell>
          <cell r="N281">
            <v>110739</v>
          </cell>
          <cell r="O281">
            <v>115328</v>
          </cell>
          <cell r="P281">
            <v>108411</v>
          </cell>
          <cell r="Q281">
            <v>106558</v>
          </cell>
          <cell r="R281">
            <v>108516</v>
          </cell>
          <cell r="S281">
            <v>139899</v>
          </cell>
          <cell r="T281">
            <v>106451</v>
          </cell>
          <cell r="U281">
            <v>111407</v>
          </cell>
          <cell r="V281">
            <v>113390</v>
          </cell>
          <cell r="W281">
            <v>116674</v>
          </cell>
          <cell r="X281">
            <v>151205</v>
          </cell>
          <cell r="Y281">
            <v>118563</v>
          </cell>
          <cell r="Z281">
            <v>117006</v>
          </cell>
          <cell r="AA281">
            <v>118831</v>
          </cell>
          <cell r="AB281">
            <v>116084</v>
          </cell>
          <cell r="AC281">
            <v>113461</v>
          </cell>
          <cell r="AD281">
            <v>113474</v>
          </cell>
          <cell r="AE281">
            <v>149973</v>
          </cell>
          <cell r="AF281">
            <v>114310</v>
          </cell>
          <cell r="AG281">
            <v>109754</v>
          </cell>
          <cell r="AH281">
            <v>109546</v>
          </cell>
          <cell r="AI281">
            <v>118929</v>
          </cell>
          <cell r="AJ281">
            <v>158993</v>
          </cell>
          <cell r="AK281">
            <v>119658</v>
          </cell>
          <cell r="AL281">
            <v>118814</v>
          </cell>
          <cell r="AM281">
            <v>119147</v>
          </cell>
          <cell r="AN281">
            <v>118262.95999999999</v>
          </cell>
        </row>
        <row r="282">
          <cell r="G282">
            <v>9611</v>
          </cell>
          <cell r="H282" t="str">
            <v>Target Total Personnel</v>
          </cell>
          <cell r="I282">
            <v>366433</v>
          </cell>
          <cell r="J282">
            <v>369107</v>
          </cell>
          <cell r="K282">
            <v>383343</v>
          </cell>
          <cell r="L282">
            <v>386878</v>
          </cell>
          <cell r="M282">
            <v>506590</v>
          </cell>
          <cell r="N282">
            <v>390784</v>
          </cell>
          <cell r="O282">
            <v>408301</v>
          </cell>
          <cell r="P282">
            <v>384968</v>
          </cell>
          <cell r="Q282">
            <v>377315</v>
          </cell>
          <cell r="R282">
            <v>384316</v>
          </cell>
          <cell r="S282">
            <v>495255</v>
          </cell>
          <cell r="T282">
            <v>376747</v>
          </cell>
          <cell r="U282">
            <v>394727</v>
          </cell>
          <cell r="V282">
            <v>401607</v>
          </cell>
          <cell r="W282">
            <v>402074</v>
          </cell>
          <cell r="X282">
            <v>509750</v>
          </cell>
          <cell r="Y282">
            <v>410898</v>
          </cell>
          <cell r="Z282">
            <v>403861</v>
          </cell>
          <cell r="AA282">
            <v>409521</v>
          </cell>
          <cell r="AB282">
            <v>398264</v>
          </cell>
          <cell r="AC282">
            <v>389173</v>
          </cell>
          <cell r="AD282">
            <v>388972</v>
          </cell>
          <cell r="AE282">
            <v>510911</v>
          </cell>
          <cell r="AF282">
            <v>392903</v>
          </cell>
          <cell r="AG282">
            <v>380692</v>
          </cell>
          <cell r="AH282">
            <v>379761</v>
          </cell>
          <cell r="AI282">
            <v>403833</v>
          </cell>
          <cell r="AJ282">
            <v>519261</v>
          </cell>
          <cell r="AK282">
            <v>396317</v>
          </cell>
          <cell r="AL282">
            <v>394157</v>
          </cell>
          <cell r="AM282">
            <v>399584</v>
          </cell>
          <cell r="AN282">
            <v>390620.77</v>
          </cell>
        </row>
        <row r="283">
          <cell r="G283">
            <v>9612</v>
          </cell>
          <cell r="H283" t="str">
            <v>YTD Empl_Benefits</v>
          </cell>
          <cell r="I283">
            <v>104443</v>
          </cell>
          <cell r="J283">
            <v>206959</v>
          </cell>
          <cell r="K283">
            <v>312657</v>
          </cell>
          <cell r="L283">
            <v>417985</v>
          </cell>
          <cell r="M283">
            <v>559483</v>
          </cell>
          <cell r="N283">
            <v>667478</v>
          </cell>
          <cell r="O283">
            <v>777486</v>
          </cell>
          <cell r="P283">
            <v>886169</v>
          </cell>
          <cell r="Q283">
            <v>991573</v>
          </cell>
          <cell r="R283">
            <v>1094075</v>
          </cell>
          <cell r="S283">
            <v>1231973</v>
          </cell>
          <cell r="T283">
            <v>1335607</v>
          </cell>
          <cell r="U283">
            <v>102823</v>
          </cell>
          <cell r="V283">
            <v>206749</v>
          </cell>
          <cell r="W283">
            <v>314795</v>
          </cell>
          <cell r="X283">
            <v>461907</v>
          </cell>
          <cell r="Y283">
            <v>572246</v>
          </cell>
          <cell r="Z283">
            <v>680741</v>
          </cell>
          <cell r="AA283">
            <v>789620</v>
          </cell>
          <cell r="AB283">
            <v>897886.71</v>
          </cell>
          <cell r="AC283">
            <v>1005370</v>
          </cell>
          <cell r="AD283">
            <v>1185539</v>
          </cell>
          <cell r="AE283">
            <v>1248691</v>
          </cell>
          <cell r="AF283">
            <v>1351033</v>
          </cell>
          <cell r="AG283">
            <v>103306</v>
          </cell>
          <cell r="AH283">
            <v>206506</v>
          </cell>
          <cell r="AI283">
            <v>318562</v>
          </cell>
          <cell r="AJ283">
            <v>467027</v>
          </cell>
          <cell r="AK283">
            <v>576617</v>
          </cell>
          <cell r="AL283">
            <v>688731</v>
          </cell>
          <cell r="AM283">
            <v>805297</v>
          </cell>
          <cell r="AN283">
            <v>922956.51</v>
          </cell>
        </row>
        <row r="284">
          <cell r="G284">
            <v>9613</v>
          </cell>
          <cell r="H284" t="str">
            <v>YTD Total Personnel</v>
          </cell>
          <cell r="I284">
            <v>372169</v>
          </cell>
          <cell r="J284">
            <v>738612</v>
          </cell>
          <cell r="K284">
            <v>1118107</v>
          </cell>
          <cell r="L284">
            <v>1492047</v>
          </cell>
          <cell r="M284">
            <v>1985744</v>
          </cell>
          <cell r="N284">
            <v>2367583</v>
          </cell>
          <cell r="O284">
            <v>2755899</v>
          </cell>
          <cell r="P284">
            <v>3136235</v>
          </cell>
          <cell r="Q284">
            <v>3506772</v>
          </cell>
          <cell r="R284">
            <v>3866108</v>
          </cell>
          <cell r="S284">
            <v>4357159</v>
          </cell>
          <cell r="T284">
            <v>4723249</v>
          </cell>
          <cell r="U284">
            <v>364033</v>
          </cell>
          <cell r="V284">
            <v>731930</v>
          </cell>
          <cell r="W284">
            <v>1115669</v>
          </cell>
          <cell r="X284">
            <v>1617469</v>
          </cell>
          <cell r="Y284">
            <v>2013652</v>
          </cell>
          <cell r="Z284">
            <v>2407522</v>
          </cell>
          <cell r="AA284">
            <v>2790636</v>
          </cell>
          <cell r="AB284">
            <v>2267976.98</v>
          </cell>
          <cell r="AC284">
            <v>3591334</v>
          </cell>
          <cell r="AD284">
            <v>4241234</v>
          </cell>
          <cell r="AE284">
            <v>4496019</v>
          </cell>
          <cell r="AF284">
            <v>4854564</v>
          </cell>
          <cell r="AG284">
            <v>364121</v>
          </cell>
          <cell r="AH284">
            <v>725016</v>
          </cell>
          <cell r="AI284">
            <v>1108590</v>
          </cell>
          <cell r="AJ284">
            <v>1602063</v>
          </cell>
          <cell r="AK284">
            <v>1974045</v>
          </cell>
          <cell r="AL284">
            <v>2358060</v>
          </cell>
          <cell r="AM284">
            <v>2751712</v>
          </cell>
          <cell r="AN284">
            <v>3141654.4799999995</v>
          </cell>
        </row>
        <row r="285">
          <cell r="G285">
            <v>9614</v>
          </cell>
          <cell r="H285" t="str">
            <v>YTD Target Empl_Benefits</v>
          </cell>
          <cell r="I285">
            <v>99623</v>
          </cell>
          <cell r="J285">
            <v>199729</v>
          </cell>
          <cell r="K285">
            <v>307464</v>
          </cell>
          <cell r="L285">
            <v>415709</v>
          </cell>
          <cell r="M285">
            <v>559656</v>
          </cell>
          <cell r="N285">
            <v>670395</v>
          </cell>
          <cell r="O285">
            <v>785723</v>
          </cell>
          <cell r="P285">
            <v>894134</v>
          </cell>
          <cell r="Q285">
            <v>1000692</v>
          </cell>
          <cell r="R285">
            <v>1109208</v>
          </cell>
          <cell r="S285">
            <v>1249107</v>
          </cell>
          <cell r="T285">
            <v>1355558</v>
          </cell>
          <cell r="U285">
            <v>111407</v>
          </cell>
          <cell r="V285">
            <v>224797</v>
          </cell>
          <cell r="W285">
            <v>341471</v>
          </cell>
          <cell r="X285">
            <v>492677</v>
          </cell>
          <cell r="Y285">
            <v>611239</v>
          </cell>
          <cell r="Z285">
            <v>728246</v>
          </cell>
          <cell r="AA285">
            <v>847077</v>
          </cell>
          <cell r="AB285">
            <v>963161</v>
          </cell>
          <cell r="AC285">
            <v>1076622</v>
          </cell>
          <cell r="AD285">
            <v>1190096</v>
          </cell>
          <cell r="AE285">
            <v>1340069</v>
          </cell>
          <cell r="AF285">
            <v>1454380</v>
          </cell>
          <cell r="AG285">
            <v>109754</v>
          </cell>
          <cell r="AH285">
            <v>219301</v>
          </cell>
          <cell r="AI285">
            <v>338229</v>
          </cell>
          <cell r="AJ285">
            <v>497222</v>
          </cell>
          <cell r="AK285">
            <v>616881</v>
          </cell>
          <cell r="AL285">
            <v>735695</v>
          </cell>
          <cell r="AM285">
            <v>854841</v>
          </cell>
          <cell r="AN285">
            <v>973104.34</v>
          </cell>
        </row>
        <row r="286">
          <cell r="G286">
            <v>9615</v>
          </cell>
          <cell r="H286" t="str">
            <v>YTD Target Total Personnel</v>
          </cell>
          <cell r="I286">
            <v>366433</v>
          </cell>
          <cell r="J286">
            <v>735540</v>
          </cell>
          <cell r="K286">
            <v>1118883</v>
          </cell>
          <cell r="L286">
            <v>1505761</v>
          </cell>
          <cell r="M286">
            <v>2012351</v>
          </cell>
          <cell r="N286">
            <v>2403135</v>
          </cell>
          <cell r="O286">
            <v>2811436</v>
          </cell>
          <cell r="P286">
            <v>3196404</v>
          </cell>
          <cell r="Q286">
            <v>3573719</v>
          </cell>
          <cell r="R286">
            <v>3958035</v>
          </cell>
          <cell r="S286">
            <v>4453290</v>
          </cell>
          <cell r="T286">
            <v>4830037</v>
          </cell>
          <cell r="U286">
            <v>394727</v>
          </cell>
          <cell r="V286">
            <v>796334</v>
          </cell>
          <cell r="W286">
            <v>1198408</v>
          </cell>
          <cell r="X286">
            <v>1708158</v>
          </cell>
          <cell r="Y286">
            <v>2119056</v>
          </cell>
          <cell r="Z286">
            <v>2522917</v>
          </cell>
          <cell r="AA286">
            <v>2932438</v>
          </cell>
          <cell r="AB286">
            <v>3330701</v>
          </cell>
          <cell r="AC286">
            <v>3719874</v>
          </cell>
          <cell r="AD286">
            <v>4108846</v>
          </cell>
          <cell r="AE286">
            <v>4619757</v>
          </cell>
          <cell r="AF286">
            <v>5012661</v>
          </cell>
          <cell r="AG286">
            <v>380692</v>
          </cell>
          <cell r="AH286">
            <v>760453</v>
          </cell>
          <cell r="AI286">
            <v>1164286</v>
          </cell>
          <cell r="AJ286">
            <v>1683547</v>
          </cell>
          <cell r="AK286">
            <v>2079864</v>
          </cell>
          <cell r="AL286">
            <v>2474021</v>
          </cell>
          <cell r="AM286">
            <v>2873605</v>
          </cell>
          <cell r="AN286">
            <v>3264225.8899999997</v>
          </cell>
        </row>
        <row r="287">
          <cell r="G287">
            <v>9616</v>
          </cell>
          <cell r="H287" t="str">
            <v>Actual</v>
          </cell>
          <cell r="I287">
            <v>-334958</v>
          </cell>
          <cell r="J287">
            <v>5264575</v>
          </cell>
          <cell r="K287">
            <v>-449065</v>
          </cell>
          <cell r="L287">
            <v>-478191</v>
          </cell>
          <cell r="M287">
            <v>-565845</v>
          </cell>
          <cell r="N287">
            <v>-514858</v>
          </cell>
          <cell r="O287">
            <v>-157093</v>
          </cell>
          <cell r="P287">
            <v>-442186</v>
          </cell>
          <cell r="Q287">
            <v>-488958</v>
          </cell>
          <cell r="R287">
            <v>-413604</v>
          </cell>
          <cell r="S287">
            <v>-567018</v>
          </cell>
          <cell r="T287">
            <v>-426361</v>
          </cell>
          <cell r="U287">
            <v>-218830</v>
          </cell>
          <cell r="V287">
            <v>5054750</v>
          </cell>
          <cell r="W287">
            <v>-455059</v>
          </cell>
          <cell r="X287">
            <v>-587294</v>
          </cell>
          <cell r="Y287">
            <v>-509321</v>
          </cell>
          <cell r="Z287">
            <v>-341450</v>
          </cell>
          <cell r="AA287">
            <v>-490262</v>
          </cell>
          <cell r="AB287">
            <v>-487884.77</v>
          </cell>
          <cell r="AC287">
            <v>-465638</v>
          </cell>
          <cell r="AD287">
            <v>-768288</v>
          </cell>
          <cell r="AE287">
            <v>-318300</v>
          </cell>
          <cell r="AF287">
            <v>-402278</v>
          </cell>
          <cell r="AG287">
            <v>-336318</v>
          </cell>
          <cell r="AH287">
            <v>4830292</v>
          </cell>
          <cell r="AI287">
            <v>-228410</v>
          </cell>
          <cell r="AJ287">
            <v>-565397</v>
          </cell>
          <cell r="AK287">
            <v>-392193</v>
          </cell>
          <cell r="AL287">
            <v>-438327</v>
          </cell>
          <cell r="AM287">
            <v>-546946</v>
          </cell>
          <cell r="AN287">
            <v>-373684.01</v>
          </cell>
        </row>
        <row r="288">
          <cell r="G288">
            <v>9617</v>
          </cell>
          <cell r="H288" t="str">
            <v>Target (Budget)</v>
          </cell>
          <cell r="I288">
            <v>-356106</v>
          </cell>
          <cell r="J288">
            <v>5256031</v>
          </cell>
          <cell r="K288">
            <v>-434946</v>
          </cell>
          <cell r="L288">
            <v>-547909</v>
          </cell>
          <cell r="M288">
            <v>-520960</v>
          </cell>
          <cell r="N288">
            <v>-476018</v>
          </cell>
          <cell r="O288">
            <v>-153474</v>
          </cell>
          <cell r="P288">
            <v>-511845</v>
          </cell>
          <cell r="Q288">
            <v>-520749</v>
          </cell>
          <cell r="R288">
            <v>-458370</v>
          </cell>
          <cell r="S288">
            <v>-558533</v>
          </cell>
          <cell r="T288">
            <v>-462721</v>
          </cell>
          <cell r="U288">
            <v>-227269</v>
          </cell>
          <cell r="V288">
            <v>5053568</v>
          </cell>
          <cell r="W288">
            <v>-467499</v>
          </cell>
          <cell r="X288">
            <v>-668362</v>
          </cell>
          <cell r="Y288">
            <v>-574262</v>
          </cell>
          <cell r="Z288">
            <v>-378784</v>
          </cell>
          <cell r="AA288">
            <v>-492984</v>
          </cell>
          <cell r="AB288">
            <v>-525547</v>
          </cell>
          <cell r="AC288">
            <v>-461736</v>
          </cell>
          <cell r="AD288">
            <v>-520513</v>
          </cell>
          <cell r="AE288">
            <v>-573306</v>
          </cell>
          <cell r="AF288">
            <v>-340453</v>
          </cell>
          <cell r="AG288">
            <v>-338002</v>
          </cell>
          <cell r="AH288">
            <v>4812868</v>
          </cell>
          <cell r="AI288">
            <v>-270654</v>
          </cell>
          <cell r="AJ288">
            <v>-601579</v>
          </cell>
          <cell r="AK288">
            <v>-443916</v>
          </cell>
          <cell r="AL288">
            <v>-464581</v>
          </cell>
          <cell r="AM288">
            <v>-453857</v>
          </cell>
          <cell r="AN288">
            <v>-381823.64999999997</v>
          </cell>
        </row>
        <row r="289">
          <cell r="G289">
            <v>9620</v>
          </cell>
          <cell r="H289" t="str">
            <v>YTD Actual</v>
          </cell>
          <cell r="I289">
            <v>-334958</v>
          </cell>
          <cell r="J289">
            <v>4929617</v>
          </cell>
          <cell r="K289">
            <v>4480552</v>
          </cell>
          <cell r="L289">
            <v>4002361</v>
          </cell>
          <cell r="M289">
            <v>3440795</v>
          </cell>
          <cell r="N289">
            <v>2920157</v>
          </cell>
          <cell r="O289">
            <v>1039379</v>
          </cell>
          <cell r="P289">
            <v>2019963</v>
          </cell>
          <cell r="Q289">
            <v>1531005</v>
          </cell>
          <cell r="R289">
            <v>1117401</v>
          </cell>
          <cell r="S289">
            <v>550383</v>
          </cell>
          <cell r="T289">
            <v>124022</v>
          </cell>
          <cell r="U289">
            <v>-218830</v>
          </cell>
          <cell r="V289">
            <v>4835920</v>
          </cell>
          <cell r="W289">
            <v>4380860</v>
          </cell>
          <cell r="X289">
            <v>3793566</v>
          </cell>
          <cell r="Y289">
            <v>3290123</v>
          </cell>
          <cell r="Z289">
            <v>2941674</v>
          </cell>
          <cell r="AA289">
            <v>2451412</v>
          </cell>
          <cell r="AB289">
            <v>1963527.5</v>
          </cell>
          <cell r="AC289">
            <v>1497890</v>
          </cell>
          <cell r="AD289">
            <v>728942</v>
          </cell>
          <cell r="AE289">
            <v>410642</v>
          </cell>
          <cell r="AF289">
            <v>8364</v>
          </cell>
          <cell r="AG289">
            <v>-336318</v>
          </cell>
          <cell r="AH289">
            <v>4493975</v>
          </cell>
          <cell r="AI289">
            <v>4265564</v>
          </cell>
          <cell r="AJ289">
            <v>3700167</v>
          </cell>
          <cell r="AK289">
            <v>3307974</v>
          </cell>
          <cell r="AL289">
            <v>2869647</v>
          </cell>
          <cell r="AM289">
            <v>2322701</v>
          </cell>
          <cell r="AN289">
            <v>1949016.56</v>
          </cell>
        </row>
        <row r="290">
          <cell r="G290">
            <v>9621</v>
          </cell>
          <cell r="H290" t="str">
            <v>YTD Target (Budget)</v>
          </cell>
          <cell r="I290">
            <v>-356106</v>
          </cell>
          <cell r="J290">
            <v>4900345</v>
          </cell>
          <cell r="K290">
            <v>4473719</v>
          </cell>
          <cell r="L290">
            <v>3924803</v>
          </cell>
          <cell r="M290">
            <v>3403843</v>
          </cell>
          <cell r="N290">
            <v>2927825</v>
          </cell>
          <cell r="O290">
            <v>1078310</v>
          </cell>
          <cell r="P290">
            <v>1949895</v>
          </cell>
          <cell r="Q290">
            <v>1429146</v>
          </cell>
          <cell r="R290">
            <v>970776</v>
          </cell>
          <cell r="S290">
            <v>412243</v>
          </cell>
          <cell r="T290">
            <v>-50478</v>
          </cell>
          <cell r="U290">
            <v>-227269</v>
          </cell>
          <cell r="V290">
            <v>4826299</v>
          </cell>
          <cell r="W290">
            <v>4358800</v>
          </cell>
          <cell r="X290">
            <v>3690438</v>
          </cell>
          <cell r="Y290">
            <v>3116433</v>
          </cell>
          <cell r="Z290">
            <v>2737329</v>
          </cell>
          <cell r="AA290">
            <v>2244345</v>
          </cell>
          <cell r="AB290">
            <v>1718798</v>
          </cell>
          <cell r="AC290">
            <v>1257062</v>
          </cell>
          <cell r="AD290">
            <v>736549</v>
          </cell>
          <cell r="AE290">
            <v>163243</v>
          </cell>
          <cell r="AF290">
            <v>-177210</v>
          </cell>
          <cell r="AG290">
            <v>-338002</v>
          </cell>
          <cell r="AH290">
            <v>4471629</v>
          </cell>
          <cell r="AI290">
            <v>4246931</v>
          </cell>
          <cell r="AJ290">
            <v>3663669</v>
          </cell>
          <cell r="AK290">
            <v>3210585</v>
          </cell>
          <cell r="AL290">
            <v>2746004</v>
          </cell>
          <cell r="AM290">
            <v>2292147</v>
          </cell>
          <cell r="AN290">
            <v>1911622.6100000003</v>
          </cell>
        </row>
        <row r="291">
          <cell r="G291">
            <v>9628</v>
          </cell>
          <cell r="H291" t="str">
            <v>Actual</v>
          </cell>
          <cell r="I291">
            <v>-334958</v>
          </cell>
          <cell r="J291">
            <v>5364911</v>
          </cell>
          <cell r="K291">
            <v>-447516</v>
          </cell>
          <cell r="L291">
            <v>-476016</v>
          </cell>
          <cell r="M291">
            <v>-565845</v>
          </cell>
          <cell r="N291">
            <v>-517240</v>
          </cell>
          <cell r="O291">
            <v>-157093</v>
          </cell>
          <cell r="P291">
            <v>-169994</v>
          </cell>
          <cell r="Q291">
            <v>-488958</v>
          </cell>
          <cell r="R291">
            <v>-412885</v>
          </cell>
          <cell r="S291">
            <v>-566134</v>
          </cell>
          <cell r="T291">
            <v>-425966</v>
          </cell>
          <cell r="U291">
            <v>-218830</v>
          </cell>
          <cell r="V291">
            <v>5154773</v>
          </cell>
          <cell r="W291">
            <v>-451428</v>
          </cell>
          <cell r="X291">
            <v>-585070</v>
          </cell>
          <cell r="Y291">
            <v>-509321</v>
          </cell>
          <cell r="Z291">
            <v>-338108</v>
          </cell>
          <cell r="AA291">
            <v>-490029</v>
          </cell>
          <cell r="AB291">
            <v>-487780.09</v>
          </cell>
          <cell r="AC291">
            <v>-462378</v>
          </cell>
          <cell r="AD291">
            <v>-768288</v>
          </cell>
          <cell r="AE291">
            <v>-317516</v>
          </cell>
          <cell r="AF291">
            <v>-400179</v>
          </cell>
          <cell r="AG291">
            <v>-335307</v>
          </cell>
          <cell r="AH291">
            <v>4835064</v>
          </cell>
          <cell r="AI291">
            <v>-227587</v>
          </cell>
          <cell r="AJ291">
            <v>564007</v>
          </cell>
          <cell r="AK291">
            <v>-389695</v>
          </cell>
          <cell r="AL291">
            <v>-437688</v>
          </cell>
          <cell r="AM291">
            <v>-546027</v>
          </cell>
          <cell r="AN291">
            <v>-373684.01</v>
          </cell>
        </row>
        <row r="292">
          <cell r="G292">
            <v>9629</v>
          </cell>
          <cell r="H292" t="str">
            <v>Target (Budget)</v>
          </cell>
          <cell r="I292">
            <v>-356106</v>
          </cell>
          <cell r="J292">
            <v>5356031</v>
          </cell>
          <cell r="K292">
            <v>-434946</v>
          </cell>
          <cell r="L292">
            <v>-547909</v>
          </cell>
          <cell r="M292">
            <v>-520960</v>
          </cell>
          <cell r="N292">
            <v>-476018</v>
          </cell>
          <cell r="O292">
            <v>-153474</v>
          </cell>
          <cell r="P292">
            <v>-217074</v>
          </cell>
          <cell r="Q292">
            <v>-520749</v>
          </cell>
          <cell r="R292">
            <v>-458370</v>
          </cell>
          <cell r="S292">
            <v>-558533</v>
          </cell>
          <cell r="T292">
            <v>-462721</v>
          </cell>
          <cell r="U292">
            <v>-227205</v>
          </cell>
          <cell r="V292">
            <v>5153632</v>
          </cell>
          <cell r="W292">
            <v>-467434</v>
          </cell>
          <cell r="X292">
            <v>-668298</v>
          </cell>
          <cell r="Y292">
            <v>-574262</v>
          </cell>
          <cell r="Z292">
            <v>-373633</v>
          </cell>
          <cell r="AA292">
            <v>-492920</v>
          </cell>
          <cell r="AB292">
            <v>-525483</v>
          </cell>
          <cell r="AC292">
            <v>-461672</v>
          </cell>
          <cell r="AD292">
            <v>-520448</v>
          </cell>
          <cell r="AE292">
            <v>-573242</v>
          </cell>
          <cell r="AF292">
            <v>-340388</v>
          </cell>
          <cell r="AG292">
            <v>-337878</v>
          </cell>
          <cell r="AH292">
            <v>4846992</v>
          </cell>
          <cell r="AI292">
            <v>-267529</v>
          </cell>
          <cell r="AJ292">
            <v>601454</v>
          </cell>
          <cell r="AK292">
            <v>-440791</v>
          </cell>
          <cell r="AL292">
            <v>-464456</v>
          </cell>
          <cell r="AM292">
            <v>-453733</v>
          </cell>
          <cell r="AN292">
            <v>-378699.02999999997</v>
          </cell>
        </row>
        <row r="293">
          <cell r="G293">
            <v>9632</v>
          </cell>
          <cell r="H293" t="str">
            <v>YTD Actual</v>
          </cell>
          <cell r="I293">
            <v>-334958</v>
          </cell>
          <cell r="J293">
            <v>5030171</v>
          </cell>
          <cell r="K293">
            <v>4582655</v>
          </cell>
          <cell r="L293">
            <v>4106640</v>
          </cell>
          <cell r="M293">
            <v>3440795</v>
          </cell>
          <cell r="N293">
            <v>3023555</v>
          </cell>
          <cell r="O293">
            <v>1039379</v>
          </cell>
          <cell r="P293">
            <v>967004</v>
          </cell>
          <cell r="Q293">
            <v>1635033</v>
          </cell>
          <cell r="R293">
            <v>1222148</v>
          </cell>
          <cell r="S293">
            <v>656014</v>
          </cell>
          <cell r="T293">
            <v>230048</v>
          </cell>
          <cell r="U293">
            <v>-218830</v>
          </cell>
          <cell r="V293">
            <v>4935942</v>
          </cell>
          <cell r="W293">
            <v>4484515</v>
          </cell>
          <cell r="X293">
            <v>3899444</v>
          </cell>
          <cell r="Y293">
            <v>3390123</v>
          </cell>
          <cell r="Z293">
            <v>3052015</v>
          </cell>
          <cell r="AA293">
            <v>2561986</v>
          </cell>
          <cell r="AB293">
            <v>2074206.21</v>
          </cell>
          <cell r="AC293">
            <v>1611829</v>
          </cell>
          <cell r="AD293">
            <v>843541</v>
          </cell>
          <cell r="AE293">
            <v>526025</v>
          </cell>
          <cell r="AF293">
            <v>125846</v>
          </cell>
          <cell r="AG293">
            <v>-335307</v>
          </cell>
          <cell r="AH293">
            <v>4499758</v>
          </cell>
          <cell r="AI293">
            <v>4272170</v>
          </cell>
          <cell r="AJ293">
            <v>3708163</v>
          </cell>
          <cell r="AK293">
            <v>3318468</v>
          </cell>
          <cell r="AL293">
            <v>2880780</v>
          </cell>
          <cell r="AM293">
            <v>2334753</v>
          </cell>
          <cell r="AN293">
            <v>1961068.61</v>
          </cell>
        </row>
        <row r="294">
          <cell r="G294">
            <v>9633</v>
          </cell>
          <cell r="H294" t="str">
            <v>YTD Target (Budget)</v>
          </cell>
          <cell r="I294">
            <v>-356106</v>
          </cell>
          <cell r="J294">
            <v>5000345</v>
          </cell>
          <cell r="K294">
            <v>4573719</v>
          </cell>
          <cell r="L294">
            <v>4024803</v>
          </cell>
          <cell r="M294">
            <v>3403843</v>
          </cell>
          <cell r="N294">
            <v>3027825</v>
          </cell>
          <cell r="O294">
            <v>1078310</v>
          </cell>
          <cell r="P294">
            <v>961236</v>
          </cell>
          <cell r="Q294">
            <v>1529146</v>
          </cell>
          <cell r="R294">
            <v>1070776</v>
          </cell>
          <cell r="S294">
            <v>512243</v>
          </cell>
          <cell r="T294">
            <v>49522</v>
          </cell>
          <cell r="U294">
            <v>-227205</v>
          </cell>
          <cell r="V294">
            <v>4926427</v>
          </cell>
          <cell r="W294">
            <v>4458993</v>
          </cell>
          <cell r="X294">
            <v>3790694</v>
          </cell>
          <cell r="Y294">
            <v>3216433</v>
          </cell>
          <cell r="Z294">
            <v>2842800</v>
          </cell>
          <cell r="AA294">
            <v>2349880</v>
          </cell>
          <cell r="AB294">
            <v>1824397</v>
          </cell>
          <cell r="AC294">
            <v>1362725</v>
          </cell>
          <cell r="AD294">
            <v>842276</v>
          </cell>
          <cell r="AE294">
            <v>269034</v>
          </cell>
          <cell r="AF294">
            <v>-71354</v>
          </cell>
          <cell r="AG294">
            <v>-337878</v>
          </cell>
          <cell r="AH294">
            <v>4505879</v>
          </cell>
          <cell r="AI294">
            <v>4284305</v>
          </cell>
          <cell r="AJ294">
            <v>3667167</v>
          </cell>
          <cell r="AK294">
            <v>3217208</v>
          </cell>
          <cell r="AL294">
            <v>2752752</v>
          </cell>
          <cell r="AM294">
            <v>2299020</v>
          </cell>
          <cell r="AN294">
            <v>1921619.5700000003</v>
          </cell>
        </row>
        <row r="295">
          <cell r="G295">
            <v>9797</v>
          </cell>
          <cell r="H295" t="str">
            <v>Actual</v>
          </cell>
          <cell r="I295">
            <v>4815653</v>
          </cell>
          <cell r="J295">
            <v>5504906</v>
          </cell>
          <cell r="K295">
            <v>4550469</v>
          </cell>
          <cell r="L295">
            <v>5758644</v>
          </cell>
          <cell r="M295">
            <v>6114716</v>
          </cell>
          <cell r="N295">
            <v>5326113</v>
          </cell>
          <cell r="O295">
            <v>4992943</v>
          </cell>
          <cell r="P295">
            <v>5217389</v>
          </cell>
          <cell r="Q295">
            <v>4985311</v>
          </cell>
          <cell r="R295">
            <v>5395875</v>
          </cell>
          <cell r="S295">
            <v>6202508</v>
          </cell>
          <cell r="T295">
            <v>5132419</v>
          </cell>
          <cell r="U295">
            <v>5106582</v>
          </cell>
          <cell r="V295">
            <v>5171489</v>
          </cell>
          <cell r="W295">
            <v>5236796</v>
          </cell>
          <cell r="X295">
            <v>6309502</v>
          </cell>
          <cell r="Y295">
            <v>5463258</v>
          </cell>
          <cell r="Z295">
            <v>5135531</v>
          </cell>
          <cell r="AA295">
            <v>5439851</v>
          </cell>
          <cell r="AB295">
            <v>4870756.21</v>
          </cell>
          <cell r="AC295">
            <v>5671257</v>
          </cell>
          <cell r="AD295">
            <v>5647381</v>
          </cell>
          <cell r="AE295">
            <v>6145053</v>
          </cell>
          <cell r="AF295">
            <v>4995493</v>
          </cell>
          <cell r="AG295">
            <v>4718750</v>
          </cell>
          <cell r="AH295">
            <v>5503625</v>
          </cell>
          <cell r="AI295">
            <v>5246005</v>
          </cell>
          <cell r="AJ295">
            <v>6613674</v>
          </cell>
          <cell r="AK295">
            <v>4864293</v>
          </cell>
          <cell r="AL295">
            <v>5484519</v>
          </cell>
          <cell r="AM295">
            <v>5406561</v>
          </cell>
          <cell r="AN295">
            <v>4936775.93</v>
          </cell>
        </row>
        <row r="296">
          <cell r="G296">
            <v>9798</v>
          </cell>
          <cell r="H296" t="str">
            <v>Target (Budget)</v>
          </cell>
          <cell r="I296">
            <v>4948420</v>
          </cell>
          <cell r="J296">
            <v>5123918</v>
          </cell>
          <cell r="K296">
            <v>5307815</v>
          </cell>
          <cell r="L296">
            <v>5712449</v>
          </cell>
          <cell r="M296">
            <v>7776772</v>
          </cell>
          <cell r="N296">
            <v>5460865</v>
          </cell>
          <cell r="O296">
            <v>5881892</v>
          </cell>
          <cell r="P296">
            <v>5688297</v>
          </cell>
          <cell r="Q296">
            <v>5635634</v>
          </cell>
          <cell r="R296">
            <v>5465948</v>
          </cell>
          <cell r="S296">
            <v>6448280</v>
          </cell>
          <cell r="T296">
            <v>5654505</v>
          </cell>
          <cell r="U296">
            <v>5541660</v>
          </cell>
          <cell r="V296">
            <v>5537618</v>
          </cell>
          <cell r="W296">
            <v>5403227</v>
          </cell>
          <cell r="X296">
            <v>6847641</v>
          </cell>
          <cell r="Y296">
            <v>5399081</v>
          </cell>
          <cell r="Z296">
            <v>5806712</v>
          </cell>
          <cell r="AA296">
            <v>5490006</v>
          </cell>
          <cell r="AB296">
            <v>5647800</v>
          </cell>
          <cell r="AC296">
            <v>5676993</v>
          </cell>
          <cell r="AD296">
            <v>5556583</v>
          </cell>
          <cell r="AE296">
            <v>6566484</v>
          </cell>
          <cell r="AF296">
            <v>7407162</v>
          </cell>
          <cell r="AG296">
            <v>5199907</v>
          </cell>
          <cell r="AH296">
            <v>5297137</v>
          </cell>
          <cell r="AI296">
            <v>5558149</v>
          </cell>
          <cell r="AJ296">
            <v>6117442</v>
          </cell>
          <cell r="AK296">
            <v>4975561</v>
          </cell>
          <cell r="AL296">
            <v>5508665</v>
          </cell>
          <cell r="AM296">
            <v>5041389</v>
          </cell>
          <cell r="AN296">
            <v>5033974.4800000004</v>
          </cell>
        </row>
        <row r="297">
          <cell r="G297">
            <v>9801</v>
          </cell>
          <cell r="H297" t="str">
            <v>YTD Actual</v>
          </cell>
          <cell r="I297">
            <v>4815653</v>
          </cell>
          <cell r="J297">
            <v>10319341</v>
          </cell>
          <cell r="K297">
            <v>14869811</v>
          </cell>
          <cell r="L297">
            <v>20628455</v>
          </cell>
          <cell r="M297">
            <v>26743171</v>
          </cell>
          <cell r="N297">
            <v>32069284</v>
          </cell>
          <cell r="O297">
            <v>37062228</v>
          </cell>
          <cell r="P297">
            <v>42279616</v>
          </cell>
          <cell r="Q297">
            <v>47264927</v>
          </cell>
          <cell r="R297">
            <v>52660802</v>
          </cell>
          <cell r="S297">
            <v>58863311</v>
          </cell>
          <cell r="T297">
            <v>63893403</v>
          </cell>
          <cell r="U297">
            <v>5106582</v>
          </cell>
          <cell r="V297">
            <v>10292436</v>
          </cell>
          <cell r="W297">
            <v>15519353</v>
          </cell>
          <cell r="X297">
            <v>21828855</v>
          </cell>
          <cell r="Y297">
            <v>27292113</v>
          </cell>
          <cell r="Z297">
            <v>32427644</v>
          </cell>
          <cell r="AA297">
            <v>37867507</v>
          </cell>
          <cell r="AB297">
            <v>42734314.090000004</v>
          </cell>
          <cell r="AC297">
            <v>48409509</v>
          </cell>
          <cell r="AD297">
            <v>54056890</v>
          </cell>
          <cell r="AE297">
            <v>60201943</v>
          </cell>
          <cell r="AF297">
            <v>65197447</v>
          </cell>
          <cell r="AG297">
            <v>4718750</v>
          </cell>
          <cell r="AH297">
            <v>10264380</v>
          </cell>
          <cell r="AI297">
            <v>15510386</v>
          </cell>
          <cell r="AJ297">
            <v>22124060</v>
          </cell>
          <cell r="AK297">
            <v>26988353</v>
          </cell>
          <cell r="AL297">
            <v>32472872</v>
          </cell>
          <cell r="AM297">
            <v>37879433</v>
          </cell>
          <cell r="AN297">
            <v>42800320.900000006</v>
          </cell>
        </row>
        <row r="298">
          <cell r="G298">
            <v>9802</v>
          </cell>
          <cell r="H298" t="str">
            <v>YTD Target (Budget)</v>
          </cell>
          <cell r="I298">
            <v>4948420</v>
          </cell>
          <cell r="J298">
            <v>9985792</v>
          </cell>
          <cell r="K298">
            <v>15306874</v>
          </cell>
          <cell r="L298">
            <v>20819559</v>
          </cell>
          <cell r="M298">
            <v>28603670</v>
          </cell>
          <cell r="N298">
            <v>34067906</v>
          </cell>
          <cell r="O298">
            <v>39949797</v>
          </cell>
          <cell r="P298">
            <v>45638094</v>
          </cell>
          <cell r="Q298">
            <v>51273727</v>
          </cell>
          <cell r="R298">
            <v>56739675</v>
          </cell>
          <cell r="S298">
            <v>63187955</v>
          </cell>
          <cell r="T298">
            <v>68842460</v>
          </cell>
          <cell r="U298">
            <v>5541660</v>
          </cell>
          <cell r="V298">
            <v>11343293</v>
          </cell>
          <cell r="W298">
            <v>16190813</v>
          </cell>
          <cell r="X298">
            <v>23038454</v>
          </cell>
          <cell r="Y298">
            <v>28434686</v>
          </cell>
          <cell r="Z298">
            <v>34495558</v>
          </cell>
          <cell r="AA298">
            <v>39985564</v>
          </cell>
          <cell r="AB298">
            <v>45633364</v>
          </cell>
          <cell r="AC298">
            <v>51310357</v>
          </cell>
          <cell r="AD298">
            <v>56866941</v>
          </cell>
          <cell r="AE298">
            <v>63433424</v>
          </cell>
          <cell r="AF298">
            <v>70840587</v>
          </cell>
          <cell r="AG298">
            <v>5199907</v>
          </cell>
          <cell r="AH298">
            <v>10577866</v>
          </cell>
          <cell r="AI298">
            <v>16007400</v>
          </cell>
          <cell r="AJ298">
            <v>21909252</v>
          </cell>
          <cell r="AK298">
            <v>26967313</v>
          </cell>
          <cell r="AL298">
            <v>32529609</v>
          </cell>
          <cell r="AM298">
            <v>37570997</v>
          </cell>
          <cell r="AN298">
            <v>42603672.549999997</v>
          </cell>
        </row>
        <row r="299">
          <cell r="G299">
            <v>9821</v>
          </cell>
          <cell r="H299" t="str">
            <v>Empl_Benefits</v>
          </cell>
          <cell r="I299">
            <v>924330</v>
          </cell>
          <cell r="J299">
            <v>924232</v>
          </cell>
          <cell r="K299">
            <v>949595</v>
          </cell>
          <cell r="L299">
            <v>952665</v>
          </cell>
          <cell r="M299">
            <v>1300482</v>
          </cell>
          <cell r="N299">
            <v>958078</v>
          </cell>
          <cell r="O299">
            <v>954262</v>
          </cell>
          <cell r="P299">
            <v>955830</v>
          </cell>
          <cell r="Q299">
            <v>922715</v>
          </cell>
          <cell r="R299">
            <v>933849</v>
          </cell>
          <cell r="S299">
            <v>1272549</v>
          </cell>
          <cell r="T299">
            <v>927201</v>
          </cell>
          <cell r="U299">
            <v>933865</v>
          </cell>
          <cell r="V299">
            <v>922499</v>
          </cell>
          <cell r="W299">
            <v>963158</v>
          </cell>
          <cell r="X299">
            <v>1305848</v>
          </cell>
          <cell r="Y299">
            <v>963032</v>
          </cell>
          <cell r="Z299">
            <v>1003856</v>
          </cell>
          <cell r="AA299">
            <v>959589</v>
          </cell>
          <cell r="AB299">
            <v>960474.99</v>
          </cell>
          <cell r="AC299">
            <v>968843</v>
          </cell>
          <cell r="AD299">
            <v>1017880</v>
          </cell>
          <cell r="AE299">
            <v>1223768</v>
          </cell>
          <cell r="AF299">
            <v>960504</v>
          </cell>
          <cell r="AG299">
            <v>956690</v>
          </cell>
          <cell r="AH299">
            <v>951715</v>
          </cell>
          <cell r="AI299">
            <v>1015036</v>
          </cell>
          <cell r="AJ299">
            <v>1393661</v>
          </cell>
          <cell r="AK299">
            <v>1022638</v>
          </cell>
          <cell r="AL299">
            <v>1021513</v>
          </cell>
          <cell r="AM299">
            <v>1016815</v>
          </cell>
          <cell r="AN299">
            <v>1016636.5700000003</v>
          </cell>
        </row>
        <row r="300">
          <cell r="G300">
            <v>9822</v>
          </cell>
          <cell r="H300" t="str">
            <v>Total Personnel</v>
          </cell>
          <cell r="I300">
            <v>3274526</v>
          </cell>
          <cell r="J300">
            <v>3240091</v>
          </cell>
          <cell r="K300">
            <v>3341831</v>
          </cell>
          <cell r="L300">
            <v>3297259</v>
          </cell>
          <cell r="M300">
            <v>4454081</v>
          </cell>
          <cell r="N300">
            <v>3318949</v>
          </cell>
          <cell r="O300">
            <v>3337747</v>
          </cell>
          <cell r="P300">
            <v>3335015</v>
          </cell>
          <cell r="Q300">
            <v>3165311</v>
          </cell>
          <cell r="R300">
            <v>3221638</v>
          </cell>
          <cell r="S300">
            <v>4359912</v>
          </cell>
          <cell r="T300">
            <v>3245064</v>
          </cell>
          <cell r="U300">
            <v>3236992</v>
          </cell>
          <cell r="V300">
            <v>3192252</v>
          </cell>
          <cell r="W300">
            <v>3331774</v>
          </cell>
          <cell r="X300">
            <v>4383150</v>
          </cell>
          <cell r="Y300">
            <v>3301330</v>
          </cell>
          <cell r="Z300">
            <v>3438258</v>
          </cell>
          <cell r="AA300">
            <v>3287864</v>
          </cell>
          <cell r="AB300">
            <v>2309025.13</v>
          </cell>
          <cell r="AC300">
            <v>3370967</v>
          </cell>
          <cell r="AD300">
            <v>3461281</v>
          </cell>
          <cell r="AE300">
            <v>4135496</v>
          </cell>
          <cell r="AF300">
            <v>3263758</v>
          </cell>
          <cell r="AG300">
            <v>3266369</v>
          </cell>
          <cell r="AH300">
            <v>3429645</v>
          </cell>
          <cell r="AI300">
            <v>3359168</v>
          </cell>
          <cell r="AJ300">
            <v>4527292</v>
          </cell>
          <cell r="AK300">
            <v>3451027</v>
          </cell>
          <cell r="AL300">
            <v>3362388</v>
          </cell>
          <cell r="AM300">
            <v>3323288</v>
          </cell>
          <cell r="AN300">
            <v>3344966.7899999996</v>
          </cell>
        </row>
        <row r="301">
          <cell r="G301">
            <v>9823</v>
          </cell>
          <cell r="H301" t="str">
            <v>Target Empl_Benefits</v>
          </cell>
          <cell r="I301">
            <v>973581</v>
          </cell>
          <cell r="J301">
            <v>964848</v>
          </cell>
          <cell r="K301">
            <v>996145</v>
          </cell>
          <cell r="L301">
            <v>997715</v>
          </cell>
          <cell r="M301">
            <v>1344347</v>
          </cell>
          <cell r="N301">
            <v>977087</v>
          </cell>
          <cell r="O301">
            <v>999670</v>
          </cell>
          <cell r="P301">
            <v>992581</v>
          </cell>
          <cell r="Q301">
            <v>1001666</v>
          </cell>
          <cell r="R301">
            <v>994822</v>
          </cell>
          <cell r="S301">
            <v>1342518</v>
          </cell>
          <cell r="T301">
            <v>999539</v>
          </cell>
          <cell r="U301">
            <v>939648</v>
          </cell>
          <cell r="V301">
            <v>1182702</v>
          </cell>
          <cell r="W301">
            <v>975173</v>
          </cell>
          <cell r="X301">
            <v>1326218</v>
          </cell>
          <cell r="Y301">
            <v>1003863</v>
          </cell>
          <cell r="Z301">
            <v>999147</v>
          </cell>
          <cell r="AA301">
            <v>1002632</v>
          </cell>
          <cell r="AB301">
            <v>995459</v>
          </cell>
          <cell r="AC301">
            <v>991727</v>
          </cell>
          <cell r="AD301">
            <v>991148</v>
          </cell>
          <cell r="AE301">
            <v>1331872</v>
          </cell>
          <cell r="AF301">
            <v>998630</v>
          </cell>
          <cell r="AG301">
            <v>929201</v>
          </cell>
          <cell r="AH301">
            <v>929975</v>
          </cell>
          <cell r="AI301">
            <v>1009037</v>
          </cell>
          <cell r="AJ301">
            <v>1355945</v>
          </cell>
          <cell r="AK301">
            <v>1005467</v>
          </cell>
          <cell r="AL301">
            <v>1003385</v>
          </cell>
          <cell r="AM301">
            <v>1002948</v>
          </cell>
          <cell r="AN301">
            <v>1004016.9499999996</v>
          </cell>
        </row>
        <row r="302">
          <cell r="G302">
            <v>9824</v>
          </cell>
          <cell r="H302" t="str">
            <v>Target Total Personnel</v>
          </cell>
          <cell r="I302">
            <v>3376124</v>
          </cell>
          <cell r="J302">
            <v>3334300</v>
          </cell>
          <cell r="K302">
            <v>3436757</v>
          </cell>
          <cell r="L302">
            <v>3431509</v>
          </cell>
          <cell r="M302">
            <v>4547133</v>
          </cell>
          <cell r="N302">
            <v>3350186</v>
          </cell>
          <cell r="O302">
            <v>3427551</v>
          </cell>
          <cell r="P302">
            <v>3399808</v>
          </cell>
          <cell r="Q302">
            <v>3438071</v>
          </cell>
          <cell r="R302">
            <v>3401943</v>
          </cell>
          <cell r="S302">
            <v>4528363</v>
          </cell>
          <cell r="T302">
            <v>3430322</v>
          </cell>
          <cell r="U302">
            <v>3277995</v>
          </cell>
          <cell r="V302">
            <v>3520982</v>
          </cell>
          <cell r="W302">
            <v>3332621</v>
          </cell>
          <cell r="X302">
            <v>4409579</v>
          </cell>
          <cell r="Y302">
            <v>3424772</v>
          </cell>
          <cell r="Z302">
            <v>3396727</v>
          </cell>
          <cell r="AA302">
            <v>3410537</v>
          </cell>
          <cell r="AB302">
            <v>3370393</v>
          </cell>
          <cell r="AC302">
            <v>3353251</v>
          </cell>
          <cell r="AD302">
            <v>3346082</v>
          </cell>
          <cell r="AE302">
            <v>4415446</v>
          </cell>
          <cell r="AF302">
            <v>3388333</v>
          </cell>
          <cell r="AG302">
            <v>3176505</v>
          </cell>
          <cell r="AH302">
            <v>3364494</v>
          </cell>
          <cell r="AI302">
            <v>3355103</v>
          </cell>
          <cell r="AJ302">
            <v>4340701</v>
          </cell>
          <cell r="AK302">
            <v>3288185</v>
          </cell>
          <cell r="AL302">
            <v>3309297</v>
          </cell>
          <cell r="AM302">
            <v>3285033</v>
          </cell>
          <cell r="AN302">
            <v>3288931.17</v>
          </cell>
        </row>
        <row r="303">
          <cell r="G303">
            <v>9825</v>
          </cell>
          <cell r="H303" t="str">
            <v>YTD Empl_Benefits</v>
          </cell>
          <cell r="I303">
            <v>924330</v>
          </cell>
          <cell r="J303">
            <v>1848562</v>
          </cell>
          <cell r="K303">
            <v>2798158</v>
          </cell>
          <cell r="L303">
            <v>3750823</v>
          </cell>
          <cell r="M303">
            <v>5051305</v>
          </cell>
          <cell r="N303">
            <v>6009383</v>
          </cell>
          <cell r="O303">
            <v>6963645</v>
          </cell>
          <cell r="P303">
            <v>7919476</v>
          </cell>
          <cell r="Q303">
            <v>8842191</v>
          </cell>
          <cell r="R303">
            <v>9776039</v>
          </cell>
          <cell r="S303">
            <v>11048588</v>
          </cell>
          <cell r="T303">
            <v>11975789</v>
          </cell>
          <cell r="U303">
            <v>933865</v>
          </cell>
          <cell r="V303">
            <v>1856364</v>
          </cell>
          <cell r="W303">
            <v>2819522</v>
          </cell>
          <cell r="X303">
            <v>4125370</v>
          </cell>
          <cell r="Y303">
            <v>5088402</v>
          </cell>
          <cell r="Z303">
            <v>6092258</v>
          </cell>
          <cell r="AA303">
            <v>7051847</v>
          </cell>
          <cell r="AB303">
            <v>8012321.9800000004</v>
          </cell>
          <cell r="AC303">
            <v>8981165</v>
          </cell>
          <cell r="AD303">
            <v>9999046</v>
          </cell>
          <cell r="AE303">
            <v>11222814</v>
          </cell>
          <cell r="AF303">
            <v>12183318</v>
          </cell>
          <cell r="AG303">
            <v>956690</v>
          </cell>
          <cell r="AH303">
            <v>1912439</v>
          </cell>
          <cell r="AI303">
            <v>2927475</v>
          </cell>
          <cell r="AJ303">
            <v>4321135</v>
          </cell>
          <cell r="AK303">
            <v>5343773</v>
          </cell>
          <cell r="AL303">
            <v>6365286</v>
          </cell>
          <cell r="AM303">
            <v>7382100</v>
          </cell>
          <cell r="AN303">
            <v>8398736.8899999987</v>
          </cell>
        </row>
        <row r="304">
          <cell r="G304">
            <v>9826</v>
          </cell>
          <cell r="H304" t="str">
            <v>YTD Total Personnel</v>
          </cell>
          <cell r="I304">
            <v>3274526</v>
          </cell>
          <cell r="J304">
            <v>6514617</v>
          </cell>
          <cell r="K304">
            <v>9856448</v>
          </cell>
          <cell r="L304">
            <v>13153708</v>
          </cell>
          <cell r="M304">
            <v>17607789</v>
          </cell>
          <cell r="N304">
            <v>20926738</v>
          </cell>
          <cell r="O304">
            <v>24264485</v>
          </cell>
          <cell r="P304">
            <v>27599500</v>
          </cell>
          <cell r="Q304">
            <v>30764811</v>
          </cell>
          <cell r="R304">
            <v>33986449</v>
          </cell>
          <cell r="S304">
            <v>38346361</v>
          </cell>
          <cell r="T304">
            <v>41591425</v>
          </cell>
          <cell r="U304">
            <v>3236992</v>
          </cell>
          <cell r="V304">
            <v>6429244</v>
          </cell>
          <cell r="W304">
            <v>9761018</v>
          </cell>
          <cell r="X304">
            <v>14144168</v>
          </cell>
          <cell r="Y304">
            <v>17445498</v>
          </cell>
          <cell r="Z304">
            <v>20883756</v>
          </cell>
          <cell r="AA304">
            <v>24171620</v>
          </cell>
          <cell r="AB304">
            <v>19428797.93</v>
          </cell>
          <cell r="AC304">
            <v>30812086</v>
          </cell>
          <cell r="AD304">
            <v>34273368</v>
          </cell>
          <cell r="AE304">
            <v>38408864</v>
          </cell>
          <cell r="AF304">
            <v>41672621</v>
          </cell>
          <cell r="AG304">
            <v>3266369</v>
          </cell>
          <cell r="AH304">
            <v>6709227</v>
          </cell>
          <cell r="AI304">
            <v>10068396</v>
          </cell>
          <cell r="AJ304">
            <v>14595687</v>
          </cell>
          <cell r="AK304">
            <v>18046714</v>
          </cell>
          <cell r="AL304">
            <v>21409102</v>
          </cell>
          <cell r="AM304">
            <v>24732390</v>
          </cell>
          <cell r="AN304">
            <v>28077356.420000002</v>
          </cell>
        </row>
        <row r="305">
          <cell r="G305">
            <v>9827</v>
          </cell>
          <cell r="H305" t="str">
            <v>YTD Target Empl_Benefits</v>
          </cell>
          <cell r="I305">
            <v>973581</v>
          </cell>
          <cell r="J305">
            <v>1933471</v>
          </cell>
          <cell r="K305">
            <v>292616</v>
          </cell>
          <cell r="L305">
            <v>3939774</v>
          </cell>
          <cell r="M305">
            <v>5284207</v>
          </cell>
          <cell r="N305">
            <v>6260950</v>
          </cell>
          <cell r="O305">
            <v>7260619</v>
          </cell>
          <cell r="P305">
            <v>8253200</v>
          </cell>
          <cell r="Q305">
            <v>9254865</v>
          </cell>
          <cell r="R305">
            <v>10249687</v>
          </cell>
          <cell r="S305">
            <v>11592205</v>
          </cell>
          <cell r="T305">
            <v>12591744</v>
          </cell>
          <cell r="U305">
            <v>939648</v>
          </cell>
          <cell r="V305">
            <v>2376710</v>
          </cell>
          <cell r="W305">
            <v>2856009</v>
          </cell>
          <cell r="X305">
            <v>4182227</v>
          </cell>
          <cell r="Y305">
            <v>5185675</v>
          </cell>
          <cell r="Z305">
            <v>6184823</v>
          </cell>
          <cell r="AA305">
            <v>7187455</v>
          </cell>
          <cell r="AB305">
            <v>8182914</v>
          </cell>
          <cell r="AC305">
            <v>9174640</v>
          </cell>
          <cell r="AD305">
            <v>10165788</v>
          </cell>
          <cell r="AE305">
            <v>11497660</v>
          </cell>
          <cell r="AF305">
            <v>12496291</v>
          </cell>
          <cell r="AG305">
            <v>929201</v>
          </cell>
          <cell r="AH305">
            <v>1860101</v>
          </cell>
          <cell r="AI305">
            <v>2869137</v>
          </cell>
          <cell r="AJ305">
            <v>4225082</v>
          </cell>
          <cell r="AK305">
            <v>5230549</v>
          </cell>
          <cell r="AL305">
            <v>6245703</v>
          </cell>
          <cell r="AM305">
            <v>7248651</v>
          </cell>
          <cell r="AN305">
            <v>8252668.3200000003</v>
          </cell>
        </row>
        <row r="306">
          <cell r="G306">
            <v>9828</v>
          </cell>
          <cell r="H306" t="str">
            <v>YTD Target Total Personnel</v>
          </cell>
          <cell r="I306">
            <v>3376124</v>
          </cell>
          <cell r="J306">
            <v>6695491</v>
          </cell>
          <cell r="K306">
            <v>10153393</v>
          </cell>
          <cell r="L306">
            <v>13624232</v>
          </cell>
          <cell r="M306">
            <v>18178704</v>
          </cell>
          <cell r="N306">
            <v>21526368</v>
          </cell>
          <cell r="O306">
            <v>24953918</v>
          </cell>
          <cell r="P306">
            <v>28353726</v>
          </cell>
          <cell r="Q306">
            <v>31791796</v>
          </cell>
          <cell r="R306">
            <v>35193739</v>
          </cell>
          <cell r="S306">
            <v>39722102</v>
          </cell>
          <cell r="T306">
            <v>43152424</v>
          </cell>
          <cell r="U306">
            <v>3277995</v>
          </cell>
          <cell r="V306">
            <v>7062992</v>
          </cell>
          <cell r="W306">
            <v>9901390</v>
          </cell>
          <cell r="X306">
            <v>14310969</v>
          </cell>
          <cell r="Y306">
            <v>17732892</v>
          </cell>
          <cell r="Z306">
            <v>21145561</v>
          </cell>
          <cell r="AA306">
            <v>24556099</v>
          </cell>
          <cell r="AB306">
            <v>27926492</v>
          </cell>
          <cell r="AC306">
            <v>31279742</v>
          </cell>
          <cell r="AD306">
            <v>34625824</v>
          </cell>
          <cell r="AE306">
            <v>39041270</v>
          </cell>
          <cell r="AF306">
            <v>42429603</v>
          </cell>
          <cell r="AG306">
            <v>3176505</v>
          </cell>
          <cell r="AH306">
            <v>6524460</v>
          </cell>
          <cell r="AI306">
            <v>9869493</v>
          </cell>
          <cell r="AJ306">
            <v>14210194</v>
          </cell>
          <cell r="AK306">
            <v>17498379</v>
          </cell>
          <cell r="AL306">
            <v>20843637</v>
          </cell>
          <cell r="AM306">
            <v>24128670</v>
          </cell>
          <cell r="AN306">
            <v>27417600.800000001</v>
          </cell>
        </row>
        <row r="307">
          <cell r="G307">
            <v>9829</v>
          </cell>
          <cell r="H307" t="str">
            <v>Actual</v>
          </cell>
          <cell r="I307">
            <v>7733838</v>
          </cell>
          <cell r="J307">
            <v>56661429</v>
          </cell>
          <cell r="K307">
            <v>-4637272</v>
          </cell>
          <cell r="L307">
            <v>-5711324</v>
          </cell>
          <cell r="M307">
            <v>-5382778</v>
          </cell>
          <cell r="N307">
            <v>-5326113</v>
          </cell>
          <cell r="O307">
            <v>-4927318</v>
          </cell>
          <cell r="P307">
            <v>-832389</v>
          </cell>
          <cell r="Q307">
            <v>-4477731</v>
          </cell>
          <cell r="R307">
            <v>-5395875</v>
          </cell>
          <cell r="S307">
            <v>-6202508</v>
          </cell>
          <cell r="T307">
            <v>-3981063</v>
          </cell>
          <cell r="U307">
            <v>5760326</v>
          </cell>
          <cell r="V307">
            <v>57612038</v>
          </cell>
          <cell r="W307">
            <v>-4810171</v>
          </cell>
          <cell r="X307">
            <v>-6269887</v>
          </cell>
          <cell r="Y307">
            <v>-5463258</v>
          </cell>
          <cell r="Z307">
            <v>308958</v>
          </cell>
          <cell r="AA307">
            <v>-5439851</v>
          </cell>
          <cell r="AB307">
            <v>-4844756.21</v>
          </cell>
          <cell r="AC307">
            <v>-4604484</v>
          </cell>
          <cell r="AD307">
            <v>-5788171</v>
          </cell>
          <cell r="AE307">
            <v>-6145046</v>
          </cell>
          <cell r="AF307">
            <v>-4114465</v>
          </cell>
          <cell r="AG307">
            <v>-28749</v>
          </cell>
          <cell r="AH307">
            <v>54422803</v>
          </cell>
          <cell r="AI307">
            <v>-4960020</v>
          </cell>
          <cell r="AJ307">
            <v>-6565122</v>
          </cell>
          <cell r="AK307">
            <v>-4864293</v>
          </cell>
          <cell r="AL307">
            <v>-949519</v>
          </cell>
          <cell r="AM307">
            <v>-5406561</v>
          </cell>
          <cell r="AN307">
            <v>-3904401.2399999993</v>
          </cell>
        </row>
        <row r="308">
          <cell r="G308">
            <v>9830</v>
          </cell>
          <cell r="H308" t="str">
            <v>Target (Budget)</v>
          </cell>
          <cell r="I308">
            <v>7601071</v>
          </cell>
          <cell r="J308">
            <v>57042417</v>
          </cell>
          <cell r="K308">
            <v>-5394618</v>
          </cell>
          <cell r="L308">
            <v>-5665129</v>
          </cell>
          <cell r="M308">
            <v>7044835</v>
          </cell>
          <cell r="N308">
            <v>-5460865</v>
          </cell>
          <cell r="O308">
            <v>-5816267</v>
          </cell>
          <cell r="P308">
            <v>-1303297</v>
          </cell>
          <cell r="Q308">
            <v>-5134753</v>
          </cell>
          <cell r="R308">
            <v>-5465948</v>
          </cell>
          <cell r="S308">
            <v>-6448280</v>
          </cell>
          <cell r="T308">
            <v>-4503148</v>
          </cell>
          <cell r="U308">
            <v>5325247</v>
          </cell>
          <cell r="V308">
            <v>57245909</v>
          </cell>
          <cell r="W308">
            <v>-4976602</v>
          </cell>
          <cell r="X308">
            <v>-6808026</v>
          </cell>
          <cell r="Y308">
            <v>-5399081</v>
          </cell>
          <cell r="Z308">
            <v>-362223</v>
          </cell>
          <cell r="AA308">
            <v>-5490006</v>
          </cell>
          <cell r="AB308">
            <v>-5621807</v>
          </cell>
          <cell r="AC308">
            <v>-4610219</v>
          </cell>
          <cell r="AD308">
            <v>-5697374</v>
          </cell>
          <cell r="AE308">
            <v>-6566477</v>
          </cell>
          <cell r="AF308">
            <v>-6526135</v>
          </cell>
          <cell r="AG308">
            <v>-509906</v>
          </cell>
          <cell r="AH308">
            <v>54629291</v>
          </cell>
          <cell r="AI308">
            <v>-5272164</v>
          </cell>
          <cell r="AJ308">
            <v>-6068890</v>
          </cell>
          <cell r="AK308">
            <v>-4975561</v>
          </cell>
          <cell r="AL308">
            <v>-973665</v>
          </cell>
          <cell r="AM308">
            <v>-5041389</v>
          </cell>
          <cell r="AN308">
            <v>-4001599.79</v>
          </cell>
        </row>
        <row r="309">
          <cell r="G309">
            <v>9833</v>
          </cell>
          <cell r="H309" t="str">
            <v>YTD Actual</v>
          </cell>
          <cell r="I309">
            <v>7733838</v>
          </cell>
          <cell r="J309">
            <v>64396485</v>
          </cell>
          <cell r="K309">
            <v>59759212</v>
          </cell>
          <cell r="L309">
            <v>54047888</v>
          </cell>
          <cell r="M309">
            <v>48665110</v>
          </cell>
          <cell r="N309">
            <v>43338996</v>
          </cell>
          <cell r="O309">
            <v>38411678</v>
          </cell>
          <cell r="P309">
            <v>37579290</v>
          </cell>
          <cell r="Q309">
            <v>32638302</v>
          </cell>
          <cell r="R309">
            <v>27793567</v>
          </cell>
          <cell r="S309">
            <v>21591059</v>
          </cell>
          <cell r="T309">
            <v>14772251</v>
          </cell>
          <cell r="U309">
            <v>5760326</v>
          </cell>
          <cell r="V309">
            <v>63357999</v>
          </cell>
          <cell r="W309">
            <v>58557707</v>
          </cell>
          <cell r="X309">
            <v>52287820</v>
          </cell>
          <cell r="Y309">
            <v>46824561</v>
          </cell>
          <cell r="Z309">
            <v>47133519</v>
          </cell>
          <cell r="AA309">
            <v>41693657</v>
          </cell>
          <cell r="AB309">
            <v>36839660.939999998</v>
          </cell>
          <cell r="AC309">
            <v>32244421</v>
          </cell>
          <cell r="AD309">
            <v>26456249</v>
          </cell>
          <cell r="AE309">
            <v>20311203</v>
          </cell>
          <cell r="AF309">
            <v>16196727</v>
          </cell>
          <cell r="AG309">
            <v>-28749</v>
          </cell>
          <cell r="AH309">
            <v>54352049</v>
          </cell>
          <cell r="AI309">
            <v>49392028</v>
          </cell>
          <cell r="AJ309">
            <v>42826906</v>
          </cell>
          <cell r="AK309">
            <v>37962614</v>
          </cell>
          <cell r="AL309">
            <v>37013094</v>
          </cell>
          <cell r="AM309">
            <v>31606533</v>
          </cell>
          <cell r="AN309">
            <v>27688590.229999989</v>
          </cell>
        </row>
        <row r="310">
          <cell r="G310">
            <v>9834</v>
          </cell>
          <cell r="H310" t="str">
            <v>YTD Target (Budget)</v>
          </cell>
          <cell r="I310">
            <v>7601071</v>
          </cell>
          <cell r="J310">
            <v>64730034</v>
          </cell>
          <cell r="K310">
            <v>59322149</v>
          </cell>
          <cell r="L310">
            <v>53856784</v>
          </cell>
          <cell r="M310">
            <v>46804611</v>
          </cell>
          <cell r="N310">
            <v>41340375</v>
          </cell>
          <cell r="O310">
            <v>35524109</v>
          </cell>
          <cell r="P310">
            <v>34220812</v>
          </cell>
          <cell r="Q310">
            <v>28569127</v>
          </cell>
          <cell r="R310">
            <v>23714695</v>
          </cell>
          <cell r="S310">
            <v>17266415</v>
          </cell>
          <cell r="T310">
            <v>9823194</v>
          </cell>
          <cell r="U310">
            <v>5325247</v>
          </cell>
          <cell r="V310">
            <v>62307141</v>
          </cell>
          <cell r="W310">
            <v>57886247</v>
          </cell>
          <cell r="X310">
            <v>51078221</v>
          </cell>
          <cell r="Y310">
            <v>45681989</v>
          </cell>
          <cell r="Z310">
            <v>45065605</v>
          </cell>
          <cell r="AA310">
            <v>39575599</v>
          </cell>
          <cell r="AB310">
            <v>33953792</v>
          </cell>
          <cell r="AC310">
            <v>29343572</v>
          </cell>
          <cell r="AD310">
            <v>23646199</v>
          </cell>
          <cell r="AE310">
            <v>17079722</v>
          </cell>
          <cell r="AF310">
            <v>10553587</v>
          </cell>
          <cell r="AG310">
            <v>-509906</v>
          </cell>
          <cell r="AH310">
            <v>54038564</v>
          </cell>
          <cell r="AI310">
            <v>48895015</v>
          </cell>
          <cell r="AJ310">
            <v>43041714</v>
          </cell>
          <cell r="AK310">
            <v>37983653</v>
          </cell>
          <cell r="AL310">
            <v>36956358</v>
          </cell>
          <cell r="AM310">
            <v>31914969</v>
          </cell>
          <cell r="AN310">
            <v>27885238.579999998</v>
          </cell>
        </row>
        <row r="311">
          <cell r="G311">
            <v>9841</v>
          </cell>
          <cell r="H311" t="str">
            <v>Actual</v>
          </cell>
          <cell r="I311">
            <v>7389374</v>
          </cell>
          <cell r="J311">
            <v>56680026</v>
          </cell>
          <cell r="K311">
            <v>-4998705</v>
          </cell>
          <cell r="L311">
            <v>-5938780</v>
          </cell>
          <cell r="M311">
            <v>-5730423</v>
          </cell>
          <cell r="N311">
            <v>-5464632</v>
          </cell>
          <cell r="O311">
            <v>-5001420</v>
          </cell>
          <cell r="P311">
            <v>-1094527</v>
          </cell>
          <cell r="Q311">
            <v>-4948422</v>
          </cell>
          <cell r="R311">
            <v>-5555936</v>
          </cell>
          <cell r="S311">
            <v>-6685464</v>
          </cell>
          <cell r="T311">
            <v>-4085773</v>
          </cell>
          <cell r="U311">
            <v>5803392</v>
          </cell>
          <cell r="V311">
            <v>57274946</v>
          </cell>
          <cell r="W311">
            <v>-5112358</v>
          </cell>
          <cell r="X311">
            <v>-7345575</v>
          </cell>
          <cell r="Y311">
            <v>-5979502</v>
          </cell>
          <cell r="Z311">
            <v>-2341026</v>
          </cell>
          <cell r="AA311">
            <v>-7033585</v>
          </cell>
          <cell r="AB311">
            <v>-5028333.8</v>
          </cell>
          <cell r="AC311">
            <v>-4969722</v>
          </cell>
          <cell r="AD311">
            <v>-6730590</v>
          </cell>
          <cell r="AE311">
            <v>-7058453</v>
          </cell>
          <cell r="AF311">
            <v>-6764670</v>
          </cell>
          <cell r="AG311">
            <v>-74689</v>
          </cell>
          <cell r="AH311">
            <v>54343926</v>
          </cell>
          <cell r="AI311">
            <v>-5509470</v>
          </cell>
          <cell r="AJ311">
            <v>-6591919</v>
          </cell>
          <cell r="AK311">
            <v>-4907114</v>
          </cell>
          <cell r="AL311">
            <v>-1016770</v>
          </cell>
          <cell r="AM311">
            <v>-5710462</v>
          </cell>
          <cell r="AN311">
            <v>-3732084.5799999991</v>
          </cell>
        </row>
        <row r="312">
          <cell r="G312">
            <v>9842</v>
          </cell>
          <cell r="H312" t="str">
            <v>Target (Budget)</v>
          </cell>
          <cell r="I312">
            <v>7388573</v>
          </cell>
          <cell r="J312">
            <v>57042881</v>
          </cell>
          <cell r="K312">
            <v>-6321452</v>
          </cell>
          <cell r="L312">
            <v>-5957410</v>
          </cell>
          <cell r="M312">
            <v>-7137893</v>
          </cell>
          <cell r="N312">
            <v>-6459128</v>
          </cell>
          <cell r="O312">
            <v>-5988630</v>
          </cell>
          <cell r="P312">
            <v>-1390355</v>
          </cell>
          <cell r="Q312">
            <v>-6039333</v>
          </cell>
          <cell r="R312">
            <v>-5523806</v>
          </cell>
          <cell r="S312">
            <v>-6545139</v>
          </cell>
          <cell r="T312">
            <v>-5376610</v>
          </cell>
          <cell r="U312">
            <v>5077005</v>
          </cell>
          <cell r="V312">
            <v>56823890</v>
          </cell>
          <cell r="W312">
            <v>-5524613</v>
          </cell>
          <cell r="X312">
            <v>-6887299</v>
          </cell>
          <cell r="Y312">
            <v>-5710901</v>
          </cell>
          <cell r="Z312">
            <v>-2975227</v>
          </cell>
          <cell r="AA312">
            <v>-5773641</v>
          </cell>
          <cell r="AB312">
            <v>-5944426</v>
          </cell>
          <cell r="AC312">
            <v>-4907530</v>
          </cell>
          <cell r="AD312">
            <v>-6026614</v>
          </cell>
          <cell r="AE312">
            <v>-6899688</v>
          </cell>
          <cell r="AF312">
            <v>-6876554</v>
          </cell>
          <cell r="AG312">
            <v>-542190</v>
          </cell>
          <cell r="AH312">
            <v>54561421</v>
          </cell>
          <cell r="AI312">
            <v>-5523388</v>
          </cell>
          <cell r="AJ312">
            <v>-6109473</v>
          </cell>
          <cell r="AK312">
            <v>-5042944</v>
          </cell>
          <cell r="AL312">
            <v>-2396886</v>
          </cell>
          <cell r="AM312">
            <v>-5111371</v>
          </cell>
          <cell r="AN312">
            <v>-4073932.52</v>
          </cell>
        </row>
        <row r="313">
          <cell r="G313">
            <v>9845</v>
          </cell>
          <cell r="H313" t="str">
            <v>YTD Actual</v>
          </cell>
          <cell r="I313">
            <v>7389374</v>
          </cell>
          <cell r="J313">
            <v>64069400</v>
          </cell>
          <cell r="K313">
            <v>59070695</v>
          </cell>
          <cell r="L313">
            <v>53131915</v>
          </cell>
          <cell r="M313">
            <v>47401492</v>
          </cell>
          <cell r="N313">
            <v>41936860</v>
          </cell>
          <cell r="O313">
            <v>36935440</v>
          </cell>
          <cell r="P313">
            <v>35840913</v>
          </cell>
          <cell r="Q313">
            <v>30892491</v>
          </cell>
          <cell r="R313">
            <v>25336555</v>
          </cell>
          <cell r="S313">
            <v>18651091</v>
          </cell>
          <cell r="T313">
            <v>11727573</v>
          </cell>
          <cell r="U313">
            <v>5803392</v>
          </cell>
          <cell r="V313">
            <v>63063973</v>
          </cell>
          <cell r="W313">
            <v>57961495</v>
          </cell>
          <cell r="X313">
            <v>50615901</v>
          </cell>
          <cell r="Y313">
            <v>44636399</v>
          </cell>
          <cell r="Z313">
            <v>42295372</v>
          </cell>
          <cell r="AA313">
            <v>35261776</v>
          </cell>
          <cell r="AB313">
            <v>30224202.620000001</v>
          </cell>
          <cell r="AC313">
            <v>25263725</v>
          </cell>
          <cell r="AD313">
            <v>18533135</v>
          </cell>
          <cell r="AE313">
            <v>11474682</v>
          </cell>
          <cell r="AF313">
            <v>4710001</v>
          </cell>
          <cell r="AG313">
            <v>-74689</v>
          </cell>
          <cell r="AH313">
            <v>54227231</v>
          </cell>
          <cell r="AI313">
            <v>48717761</v>
          </cell>
          <cell r="AJ313">
            <v>42125842</v>
          </cell>
          <cell r="AK313">
            <v>37218728</v>
          </cell>
          <cell r="AL313">
            <v>36201958</v>
          </cell>
          <cell r="AM313">
            <v>30491496</v>
          </cell>
          <cell r="AN313">
            <v>26745869.93999999</v>
          </cell>
        </row>
        <row r="314">
          <cell r="G314">
            <v>9846</v>
          </cell>
          <cell r="H314" t="str">
            <v>YTD Target (Budget)</v>
          </cell>
          <cell r="I314">
            <v>7388573</v>
          </cell>
          <cell r="J314">
            <v>64517999</v>
          </cell>
          <cell r="K314">
            <v>58343982</v>
          </cell>
          <cell r="L314">
            <v>52586336</v>
          </cell>
          <cell r="M314">
            <v>45441104</v>
          </cell>
          <cell r="N314">
            <v>38978606</v>
          </cell>
          <cell r="O314">
            <v>32989976</v>
          </cell>
          <cell r="P314">
            <v>31599621</v>
          </cell>
          <cell r="Q314">
            <v>25560288</v>
          </cell>
          <cell r="R314">
            <v>20036482</v>
          </cell>
          <cell r="S314">
            <v>13491343</v>
          </cell>
          <cell r="T314">
            <v>5174662</v>
          </cell>
          <cell r="U314">
            <v>5077005</v>
          </cell>
          <cell r="V314">
            <v>61636598</v>
          </cell>
          <cell r="W314">
            <v>56667693</v>
          </cell>
          <cell r="X314">
            <v>49780393</v>
          </cell>
          <cell r="Y314">
            <v>44072359</v>
          </cell>
          <cell r="Z314">
            <v>40926371</v>
          </cell>
          <cell r="AA314">
            <v>35152730</v>
          </cell>
          <cell r="AB314">
            <v>29198304</v>
          </cell>
          <cell r="AC314">
            <v>24290774</v>
          </cell>
          <cell r="AD314">
            <v>18264160</v>
          </cell>
          <cell r="AE314">
            <v>11364472</v>
          </cell>
          <cell r="AF314">
            <v>4487918</v>
          </cell>
          <cell r="AG314">
            <v>-542190</v>
          </cell>
          <cell r="AH314">
            <v>53938410</v>
          </cell>
          <cell r="AI314">
            <v>48571131</v>
          </cell>
          <cell r="AJ314">
            <v>42643247</v>
          </cell>
          <cell r="AK314">
            <v>37517803</v>
          </cell>
          <cell r="AL314">
            <v>35067287</v>
          </cell>
          <cell r="AM314">
            <v>29955916</v>
          </cell>
          <cell r="AN314">
            <v>25853853.009999998</v>
          </cell>
        </row>
        <row r="315">
          <cell r="G315">
            <v>9853</v>
          </cell>
          <cell r="H315" t="str">
            <v>Actual</v>
          </cell>
          <cell r="Y315">
            <v>69163</v>
          </cell>
          <cell r="Z315">
            <v>86993</v>
          </cell>
          <cell r="AA315">
            <v>77088</v>
          </cell>
          <cell r="AB315">
            <v>76796.22</v>
          </cell>
          <cell r="AC315">
            <v>865243</v>
          </cell>
          <cell r="AD315">
            <v>35662</v>
          </cell>
          <cell r="AE315">
            <v>88704</v>
          </cell>
          <cell r="AF315">
            <v>50571</v>
          </cell>
          <cell r="AG315">
            <v>49356</v>
          </cell>
          <cell r="AH315">
            <v>41488</v>
          </cell>
          <cell r="AI315">
            <v>52335</v>
          </cell>
          <cell r="AJ315">
            <v>81889</v>
          </cell>
          <cell r="AK315">
            <v>57043</v>
          </cell>
          <cell r="AL315">
            <v>56007</v>
          </cell>
          <cell r="AM315">
            <v>47509</v>
          </cell>
          <cell r="AN315">
            <v>49251.029999999992</v>
          </cell>
        </row>
        <row r="316">
          <cell r="G316">
            <v>9854</v>
          </cell>
          <cell r="H316" t="str">
            <v>Target (Budget)</v>
          </cell>
          <cell r="Z316">
            <v>77396</v>
          </cell>
          <cell r="AA316">
            <v>40868</v>
          </cell>
          <cell r="AB316">
            <v>41493</v>
          </cell>
          <cell r="AC316">
            <v>36211</v>
          </cell>
          <cell r="AD316">
            <v>32189</v>
          </cell>
          <cell r="AE316">
            <v>42798</v>
          </cell>
          <cell r="AF316">
            <v>41609</v>
          </cell>
          <cell r="AG316">
            <v>45283</v>
          </cell>
          <cell r="AH316">
            <v>56128</v>
          </cell>
          <cell r="AI316">
            <v>65416</v>
          </cell>
          <cell r="AJ316">
            <v>70502</v>
          </cell>
          <cell r="AK316">
            <v>67416</v>
          </cell>
          <cell r="AL316">
            <v>59415</v>
          </cell>
          <cell r="AM316">
            <v>73387</v>
          </cell>
          <cell r="AN316">
            <v>74912.850000000006</v>
          </cell>
        </row>
        <row r="317">
          <cell r="G317">
            <v>9857</v>
          </cell>
          <cell r="H317" t="str">
            <v>YTD Actual</v>
          </cell>
          <cell r="Y317">
            <v>343520</v>
          </cell>
          <cell r="Z317">
            <v>501163</v>
          </cell>
          <cell r="AA317">
            <v>492605</v>
          </cell>
          <cell r="AB317">
            <v>569401.31000000006</v>
          </cell>
          <cell r="AC317">
            <v>655863</v>
          </cell>
          <cell r="AD317">
            <v>691525</v>
          </cell>
          <cell r="AE317">
            <v>780229</v>
          </cell>
          <cell r="AF317">
            <v>830800</v>
          </cell>
          <cell r="AG317">
            <v>49356</v>
          </cell>
          <cell r="AH317">
            <v>91309</v>
          </cell>
          <cell r="AI317">
            <v>143643</v>
          </cell>
          <cell r="AJ317">
            <v>225533</v>
          </cell>
          <cell r="AK317">
            <v>282575</v>
          </cell>
          <cell r="AL317">
            <v>338582</v>
          </cell>
          <cell r="AM317">
            <v>386091</v>
          </cell>
          <cell r="AN317">
            <v>435342.05000000005</v>
          </cell>
        </row>
        <row r="318">
          <cell r="G318">
            <v>9858</v>
          </cell>
          <cell r="H318" t="str">
            <v>YTD Target (Budget)</v>
          </cell>
          <cell r="Z318">
            <v>450461</v>
          </cell>
          <cell r="AA318">
            <v>395808</v>
          </cell>
          <cell r="AB318">
            <v>437301</v>
          </cell>
          <cell r="AC318">
            <v>473512</v>
          </cell>
          <cell r="AD318">
            <v>505701</v>
          </cell>
          <cell r="AE318">
            <v>548500</v>
          </cell>
          <cell r="AF318">
            <v>590108</v>
          </cell>
          <cell r="AG318">
            <v>45283</v>
          </cell>
          <cell r="AH318">
            <v>101411</v>
          </cell>
          <cell r="AI318">
            <v>166828</v>
          </cell>
          <cell r="AJ318">
            <v>237330</v>
          </cell>
          <cell r="AK318">
            <v>304746</v>
          </cell>
          <cell r="AL318">
            <v>364161</v>
          </cell>
          <cell r="AM318">
            <v>437548</v>
          </cell>
          <cell r="AN318">
            <v>512460.5</v>
          </cell>
        </row>
        <row r="319">
          <cell r="G319">
            <v>10118</v>
          </cell>
          <cell r="H319" t="str">
            <v>Actual</v>
          </cell>
          <cell r="I319">
            <v>161041</v>
          </cell>
          <cell r="J319">
            <v>200109</v>
          </cell>
          <cell r="K319">
            <v>2906082</v>
          </cell>
          <cell r="L319">
            <v>407477</v>
          </cell>
          <cell r="M319">
            <v>197028</v>
          </cell>
          <cell r="N319">
            <v>2060460</v>
          </cell>
          <cell r="O319">
            <v>178125</v>
          </cell>
          <cell r="P319">
            <v>140449</v>
          </cell>
          <cell r="Q319">
            <v>1575923</v>
          </cell>
          <cell r="R319">
            <v>153483</v>
          </cell>
          <cell r="S319">
            <v>167656</v>
          </cell>
          <cell r="T319">
            <v>1632885</v>
          </cell>
          <cell r="U319">
            <v>286194</v>
          </cell>
          <cell r="V319">
            <v>241342</v>
          </cell>
          <cell r="W319">
            <v>3391084</v>
          </cell>
          <cell r="X319">
            <v>90642</v>
          </cell>
          <cell r="Y319">
            <v>132527</v>
          </cell>
          <cell r="Z319">
            <v>1486188</v>
          </cell>
          <cell r="AA319">
            <v>219693</v>
          </cell>
          <cell r="AB319">
            <v>177458.81</v>
          </cell>
          <cell r="AC319">
            <v>1524164</v>
          </cell>
          <cell r="AD319">
            <v>128870</v>
          </cell>
          <cell r="AE319">
            <v>194345</v>
          </cell>
          <cell r="AF319">
            <v>1737777</v>
          </cell>
          <cell r="AG319">
            <v>267371</v>
          </cell>
          <cell r="AH319">
            <v>239656</v>
          </cell>
          <cell r="AI319">
            <v>1529207</v>
          </cell>
          <cell r="AJ319">
            <v>250749</v>
          </cell>
          <cell r="AK319">
            <v>359191</v>
          </cell>
          <cell r="AL319">
            <v>1248210</v>
          </cell>
          <cell r="AM319">
            <v>152502</v>
          </cell>
          <cell r="AN319">
            <v>263922.84000000003</v>
          </cell>
        </row>
        <row r="320">
          <cell r="G320">
            <v>10119</v>
          </cell>
          <cell r="H320" t="str">
            <v>Target (Budget)</v>
          </cell>
          <cell r="I320">
            <v>182720</v>
          </cell>
          <cell r="J320">
            <v>283763</v>
          </cell>
          <cell r="K320">
            <v>2150009</v>
          </cell>
          <cell r="L320">
            <v>376317</v>
          </cell>
          <cell r="M320">
            <v>237848</v>
          </cell>
          <cell r="N320">
            <v>1976436</v>
          </cell>
          <cell r="O320">
            <v>257389</v>
          </cell>
          <cell r="P320">
            <v>171948</v>
          </cell>
          <cell r="Q320">
            <v>1490294</v>
          </cell>
          <cell r="R320">
            <v>191444</v>
          </cell>
          <cell r="S320">
            <v>213993</v>
          </cell>
          <cell r="T320">
            <v>2360308</v>
          </cell>
          <cell r="U320">
            <v>540828</v>
          </cell>
          <cell r="V320">
            <v>231533</v>
          </cell>
          <cell r="W320">
            <v>2849912</v>
          </cell>
          <cell r="X320">
            <v>234500</v>
          </cell>
          <cell r="Y320">
            <v>229824</v>
          </cell>
          <cell r="Z320">
            <v>1522314</v>
          </cell>
          <cell r="AA320">
            <v>215341</v>
          </cell>
          <cell r="AB320">
            <v>212940</v>
          </cell>
          <cell r="AC320">
            <v>1479621</v>
          </cell>
          <cell r="AD320">
            <v>170043</v>
          </cell>
          <cell r="AE320">
            <v>208451</v>
          </cell>
          <cell r="AF320">
            <v>1497048</v>
          </cell>
          <cell r="AG320">
            <v>194068</v>
          </cell>
          <cell r="AH320">
            <v>153271</v>
          </cell>
          <cell r="AI320">
            <v>1733832</v>
          </cell>
          <cell r="AJ320">
            <v>230000</v>
          </cell>
          <cell r="AK320">
            <v>151179</v>
          </cell>
          <cell r="AL320">
            <v>1671837</v>
          </cell>
          <cell r="AM320">
            <v>184129</v>
          </cell>
          <cell r="AN320">
            <v>142305</v>
          </cell>
        </row>
        <row r="321">
          <cell r="G321">
            <v>10122</v>
          </cell>
          <cell r="H321" t="str">
            <v>YTD Actual</v>
          </cell>
          <cell r="I321">
            <v>161041</v>
          </cell>
          <cell r="J321">
            <v>361149</v>
          </cell>
          <cell r="K321">
            <v>3267232</v>
          </cell>
          <cell r="L321">
            <v>3674709</v>
          </cell>
          <cell r="M321">
            <v>3871737</v>
          </cell>
          <cell r="N321">
            <v>5932197</v>
          </cell>
          <cell r="O321">
            <v>6110321</v>
          </cell>
          <cell r="P321">
            <v>6250771</v>
          </cell>
          <cell r="Q321">
            <v>7826693</v>
          </cell>
          <cell r="R321">
            <v>7980177</v>
          </cell>
          <cell r="S321">
            <v>8147832</v>
          </cell>
          <cell r="T321">
            <v>9780717</v>
          </cell>
          <cell r="U321">
            <v>286194</v>
          </cell>
          <cell r="V321">
            <v>527537</v>
          </cell>
          <cell r="W321">
            <v>3918620</v>
          </cell>
          <cell r="X321">
            <v>4009262</v>
          </cell>
          <cell r="Y321">
            <v>4141789</v>
          </cell>
          <cell r="Z321">
            <v>5627977</v>
          </cell>
          <cell r="AA321">
            <v>5847670</v>
          </cell>
          <cell r="AB321">
            <v>6025128.5499999998</v>
          </cell>
          <cell r="AC321">
            <v>7549292</v>
          </cell>
          <cell r="AD321">
            <v>7678162</v>
          </cell>
          <cell r="AE321">
            <v>7872507</v>
          </cell>
          <cell r="AF321">
            <v>9610284</v>
          </cell>
          <cell r="AG321">
            <v>267371</v>
          </cell>
          <cell r="AH321">
            <v>507027</v>
          </cell>
          <cell r="AI321">
            <v>2036234</v>
          </cell>
          <cell r="AJ321">
            <v>2286983</v>
          </cell>
          <cell r="AK321">
            <v>2646174</v>
          </cell>
          <cell r="AL321">
            <v>3894384</v>
          </cell>
          <cell r="AM321">
            <v>4046887</v>
          </cell>
          <cell r="AN321">
            <v>4310809.3499999987</v>
          </cell>
        </row>
        <row r="322">
          <cell r="G322">
            <v>10123</v>
          </cell>
          <cell r="H322" t="str">
            <v>YTD Target (Budget)</v>
          </cell>
          <cell r="I322">
            <v>182720</v>
          </cell>
          <cell r="J322">
            <v>466483</v>
          </cell>
          <cell r="K322">
            <v>2616492</v>
          </cell>
          <cell r="L322">
            <v>2992809</v>
          </cell>
          <cell r="M322">
            <v>3599243</v>
          </cell>
          <cell r="N322">
            <v>5575679</v>
          </cell>
          <cell r="O322">
            <v>5833068</v>
          </cell>
          <cell r="P322">
            <v>6005016</v>
          </cell>
          <cell r="Q322">
            <v>7495310</v>
          </cell>
          <cell r="R322">
            <v>7686754</v>
          </cell>
          <cell r="S322">
            <v>7900747</v>
          </cell>
          <cell r="T322">
            <v>10261055</v>
          </cell>
          <cell r="U322">
            <v>540828</v>
          </cell>
          <cell r="V322">
            <v>378622</v>
          </cell>
          <cell r="W322">
            <v>3228534</v>
          </cell>
          <cell r="X322">
            <v>3463034</v>
          </cell>
          <cell r="Y322">
            <v>3692858</v>
          </cell>
          <cell r="Z322">
            <v>5215172</v>
          </cell>
          <cell r="AA322">
            <v>5430513</v>
          </cell>
          <cell r="AB322">
            <v>5643453</v>
          </cell>
          <cell r="AC322">
            <v>7123074</v>
          </cell>
          <cell r="AD322">
            <v>7293117</v>
          </cell>
          <cell r="AE322">
            <v>7501568</v>
          </cell>
          <cell r="AF322">
            <v>8998616</v>
          </cell>
          <cell r="AG322">
            <v>194068</v>
          </cell>
          <cell r="AH322">
            <v>347339</v>
          </cell>
          <cell r="AI322">
            <v>2081091</v>
          </cell>
          <cell r="AJ322">
            <v>2311091</v>
          </cell>
          <cell r="AK322">
            <v>2462270</v>
          </cell>
          <cell r="AL322">
            <v>4134107</v>
          </cell>
          <cell r="AM322">
            <v>4318236</v>
          </cell>
          <cell r="AN322">
            <v>4460541</v>
          </cell>
        </row>
        <row r="323">
          <cell r="G323">
            <v>10130</v>
          </cell>
          <cell r="H323" t="str">
            <v>Actual</v>
          </cell>
          <cell r="I323">
            <v>443689</v>
          </cell>
          <cell r="J323">
            <v>482173</v>
          </cell>
          <cell r="K323">
            <v>514029</v>
          </cell>
          <cell r="L323">
            <v>502707</v>
          </cell>
          <cell r="M323">
            <v>502819</v>
          </cell>
          <cell r="N323">
            <v>456693</v>
          </cell>
          <cell r="O323">
            <v>459463</v>
          </cell>
          <cell r="P323">
            <v>461305</v>
          </cell>
          <cell r="Q323">
            <v>633182</v>
          </cell>
          <cell r="R323">
            <v>530385</v>
          </cell>
          <cell r="S323">
            <v>461437</v>
          </cell>
          <cell r="T323">
            <v>513385</v>
          </cell>
          <cell r="U323">
            <v>510256</v>
          </cell>
          <cell r="V323">
            <v>540721</v>
          </cell>
          <cell r="W323">
            <v>552617</v>
          </cell>
          <cell r="X323">
            <v>558742</v>
          </cell>
          <cell r="Y323">
            <v>503470</v>
          </cell>
          <cell r="Z323">
            <v>536711</v>
          </cell>
          <cell r="AA323">
            <v>555291</v>
          </cell>
          <cell r="AB323">
            <v>562449.69999999995</v>
          </cell>
          <cell r="AC323">
            <v>546749</v>
          </cell>
          <cell r="AD323">
            <v>545263</v>
          </cell>
          <cell r="AE323">
            <v>552518</v>
          </cell>
          <cell r="AF323">
            <v>600599</v>
          </cell>
          <cell r="AG323">
            <v>585726</v>
          </cell>
          <cell r="AH323">
            <v>510496</v>
          </cell>
          <cell r="AI323">
            <v>430393</v>
          </cell>
          <cell r="AJ323">
            <v>527421</v>
          </cell>
          <cell r="AK323">
            <v>516108</v>
          </cell>
          <cell r="AL323">
            <v>611482</v>
          </cell>
          <cell r="AM323">
            <v>686746</v>
          </cell>
          <cell r="AN323">
            <v>397862.88999999996</v>
          </cell>
        </row>
        <row r="324">
          <cell r="G324">
            <v>10131</v>
          </cell>
          <cell r="H324" t="str">
            <v>Target (Budget)</v>
          </cell>
          <cell r="I324">
            <v>599723</v>
          </cell>
          <cell r="J324">
            <v>607661</v>
          </cell>
          <cell r="K324">
            <v>691720</v>
          </cell>
          <cell r="L324">
            <v>661203</v>
          </cell>
          <cell r="M324">
            <v>572474</v>
          </cell>
          <cell r="N324">
            <v>671801</v>
          </cell>
          <cell r="O324">
            <v>638786</v>
          </cell>
          <cell r="P324">
            <v>595640</v>
          </cell>
          <cell r="Q324">
            <v>604454</v>
          </cell>
          <cell r="R324">
            <v>553335</v>
          </cell>
          <cell r="S324">
            <v>566541</v>
          </cell>
          <cell r="T324">
            <v>647187</v>
          </cell>
          <cell r="U324">
            <v>457129</v>
          </cell>
          <cell r="V324">
            <v>514443</v>
          </cell>
          <cell r="W324">
            <v>633723</v>
          </cell>
          <cell r="X324">
            <v>553471</v>
          </cell>
          <cell r="Y324">
            <v>548940</v>
          </cell>
          <cell r="Z324">
            <v>603071</v>
          </cell>
          <cell r="AA324">
            <v>652495</v>
          </cell>
          <cell r="AB324">
            <v>648137</v>
          </cell>
          <cell r="AC324">
            <v>684900</v>
          </cell>
          <cell r="AD324">
            <v>637111</v>
          </cell>
          <cell r="AE324">
            <v>628551</v>
          </cell>
          <cell r="AF324">
            <v>696875</v>
          </cell>
          <cell r="AG324">
            <v>483939</v>
          </cell>
          <cell r="AH324">
            <v>520711</v>
          </cell>
          <cell r="AI324">
            <v>605446</v>
          </cell>
          <cell r="AJ324">
            <v>506661</v>
          </cell>
          <cell r="AK324">
            <v>495423</v>
          </cell>
          <cell r="AL324">
            <v>613167</v>
          </cell>
          <cell r="AM324">
            <v>567595</v>
          </cell>
          <cell r="AN324">
            <v>556939</v>
          </cell>
        </row>
        <row r="325">
          <cell r="G325">
            <v>10134</v>
          </cell>
          <cell r="H325" t="str">
            <v>YTD Actual</v>
          </cell>
          <cell r="I325">
            <v>443689</v>
          </cell>
          <cell r="J325">
            <v>925862</v>
          </cell>
          <cell r="K325">
            <v>1439890</v>
          </cell>
          <cell r="L325">
            <v>1942597</v>
          </cell>
          <cell r="M325">
            <v>2445416</v>
          </cell>
          <cell r="N325">
            <v>2902109</v>
          </cell>
          <cell r="O325">
            <v>3361572</v>
          </cell>
          <cell r="P325">
            <v>3822877</v>
          </cell>
          <cell r="Q325">
            <v>4456059</v>
          </cell>
          <cell r="R325">
            <v>4986445</v>
          </cell>
          <cell r="S325">
            <v>5447881</v>
          </cell>
          <cell r="T325">
            <v>5961266</v>
          </cell>
          <cell r="U325">
            <v>510256</v>
          </cell>
          <cell r="V325">
            <v>1050977</v>
          </cell>
          <cell r="W325">
            <v>1603594</v>
          </cell>
          <cell r="X325">
            <v>2162336</v>
          </cell>
          <cell r="Y325">
            <v>2665806</v>
          </cell>
          <cell r="Z325">
            <v>3202517</v>
          </cell>
          <cell r="AA325">
            <v>3757807</v>
          </cell>
          <cell r="AB325">
            <v>4320257.09</v>
          </cell>
          <cell r="AC325">
            <v>4867006</v>
          </cell>
          <cell r="AD325">
            <v>5412269</v>
          </cell>
          <cell r="AE325">
            <v>5964787</v>
          </cell>
          <cell r="AF325">
            <v>6565386</v>
          </cell>
          <cell r="AG325">
            <v>585726</v>
          </cell>
          <cell r="AH325">
            <v>1096222</v>
          </cell>
          <cell r="AI325">
            <v>1526615</v>
          </cell>
          <cell r="AJ325">
            <v>2054036</v>
          </cell>
          <cell r="AK325">
            <v>2570143</v>
          </cell>
          <cell r="AL325">
            <v>3181625</v>
          </cell>
          <cell r="AM325">
            <v>3868371</v>
          </cell>
          <cell r="AN325">
            <v>4266234.33</v>
          </cell>
        </row>
        <row r="326">
          <cell r="G326">
            <v>10135</v>
          </cell>
          <cell r="H326" t="str">
            <v>YTD Target (Budget)</v>
          </cell>
          <cell r="I326">
            <v>566723</v>
          </cell>
          <cell r="J326">
            <v>1174384</v>
          </cell>
          <cell r="K326">
            <v>1866104</v>
          </cell>
          <cell r="L326">
            <v>2527307</v>
          </cell>
          <cell r="M326">
            <v>3066781</v>
          </cell>
          <cell r="N326">
            <v>3752517</v>
          </cell>
          <cell r="O326">
            <v>4391303</v>
          </cell>
          <cell r="P326">
            <v>4986943</v>
          </cell>
          <cell r="Q326">
            <v>5591397</v>
          </cell>
          <cell r="R326">
            <v>6144732</v>
          </cell>
          <cell r="S326">
            <v>6711273</v>
          </cell>
          <cell r="T326">
            <v>7358460</v>
          </cell>
          <cell r="U326">
            <v>457129</v>
          </cell>
          <cell r="V326">
            <v>1033899</v>
          </cell>
          <cell r="W326">
            <v>1667622</v>
          </cell>
          <cell r="X326">
            <v>2221093</v>
          </cell>
          <cell r="Y326">
            <v>2770033</v>
          </cell>
          <cell r="Z326">
            <v>3373050</v>
          </cell>
          <cell r="AA326">
            <v>4025545</v>
          </cell>
          <cell r="AB326">
            <v>4673682</v>
          </cell>
          <cell r="AC326">
            <v>5358582</v>
          </cell>
          <cell r="AD326">
            <v>5995693</v>
          </cell>
          <cell r="AE326">
            <v>6624244</v>
          </cell>
          <cell r="AF326">
            <v>7321119</v>
          </cell>
          <cell r="AG326">
            <v>483939</v>
          </cell>
          <cell r="AH326">
            <v>1004650</v>
          </cell>
          <cell r="AI326">
            <v>1612140</v>
          </cell>
          <cell r="AJ326">
            <v>2118801</v>
          </cell>
          <cell r="AK326">
            <v>2614224</v>
          </cell>
          <cell r="AL326">
            <v>3227391</v>
          </cell>
          <cell r="AM326">
            <v>3794986</v>
          </cell>
          <cell r="AN326">
            <v>4351925</v>
          </cell>
        </row>
        <row r="327">
          <cell r="G327">
            <v>10154</v>
          </cell>
          <cell r="H327" t="str">
            <v>Empl_Benefits</v>
          </cell>
          <cell r="I327">
            <v>90551</v>
          </cell>
          <cell r="J327">
            <v>96322</v>
          </cell>
          <cell r="K327">
            <v>102621</v>
          </cell>
          <cell r="L327">
            <v>102545</v>
          </cell>
          <cell r="M327">
            <v>100716</v>
          </cell>
          <cell r="N327">
            <v>100738</v>
          </cell>
          <cell r="O327">
            <v>100633</v>
          </cell>
          <cell r="P327">
            <v>98399</v>
          </cell>
          <cell r="Q327">
            <v>120655</v>
          </cell>
          <cell r="R327">
            <v>100301</v>
          </cell>
          <cell r="S327">
            <v>98516</v>
          </cell>
          <cell r="T327">
            <v>99293</v>
          </cell>
          <cell r="U327">
            <v>113415</v>
          </cell>
          <cell r="V327">
            <v>113416</v>
          </cell>
          <cell r="W327">
            <v>118239</v>
          </cell>
          <cell r="X327">
            <v>118202</v>
          </cell>
          <cell r="Y327">
            <v>118193</v>
          </cell>
          <cell r="Z327">
            <v>119768</v>
          </cell>
          <cell r="AA327">
            <v>113789</v>
          </cell>
          <cell r="AB327">
            <v>113965.75</v>
          </cell>
          <cell r="AC327">
            <v>112393</v>
          </cell>
          <cell r="AD327">
            <v>112062</v>
          </cell>
          <cell r="AE327">
            <v>111039</v>
          </cell>
          <cell r="AF327">
            <v>112491</v>
          </cell>
          <cell r="AG327">
            <v>108817</v>
          </cell>
          <cell r="AH327">
            <v>110852</v>
          </cell>
          <cell r="AI327">
            <v>115358</v>
          </cell>
          <cell r="AJ327">
            <v>115429</v>
          </cell>
          <cell r="AK327">
            <v>114319</v>
          </cell>
          <cell r="AL327">
            <v>114353</v>
          </cell>
          <cell r="AM327">
            <v>112048</v>
          </cell>
          <cell r="AN327">
            <v>111125.39999999998</v>
          </cell>
        </row>
        <row r="328">
          <cell r="G328">
            <v>10155</v>
          </cell>
          <cell r="H328" t="str">
            <v>Total Personnel</v>
          </cell>
          <cell r="I328">
            <v>377130</v>
          </cell>
          <cell r="J328">
            <v>374950</v>
          </cell>
          <cell r="K328">
            <v>408231</v>
          </cell>
          <cell r="L328">
            <v>397320</v>
          </cell>
          <cell r="M328">
            <v>391496</v>
          </cell>
          <cell r="N328">
            <v>388952</v>
          </cell>
          <cell r="O328">
            <v>389922</v>
          </cell>
          <cell r="P328">
            <v>388364</v>
          </cell>
          <cell r="Q328">
            <v>500855</v>
          </cell>
          <cell r="R328">
            <v>402597</v>
          </cell>
          <cell r="S328">
            <v>382283</v>
          </cell>
          <cell r="T328">
            <v>387891</v>
          </cell>
          <cell r="U328">
            <v>439533</v>
          </cell>
          <cell r="V328">
            <v>439644</v>
          </cell>
          <cell r="W328">
            <v>456586</v>
          </cell>
          <cell r="X328">
            <v>451909</v>
          </cell>
          <cell r="Y328">
            <v>450881</v>
          </cell>
          <cell r="Z328">
            <v>462117</v>
          </cell>
          <cell r="AA328">
            <v>434422</v>
          </cell>
          <cell r="AB328">
            <v>323637.84000000003</v>
          </cell>
          <cell r="AC328">
            <v>437835</v>
          </cell>
          <cell r="AD328">
            <v>430315</v>
          </cell>
          <cell r="AE328">
            <v>421959</v>
          </cell>
          <cell r="AF328">
            <v>434097</v>
          </cell>
          <cell r="AG328">
            <v>406364</v>
          </cell>
          <cell r="AH328">
            <v>421032</v>
          </cell>
          <cell r="AI328">
            <v>439896</v>
          </cell>
          <cell r="AJ328">
            <v>432486</v>
          </cell>
          <cell r="AK328">
            <v>425748</v>
          </cell>
          <cell r="AL328">
            <v>425698</v>
          </cell>
          <cell r="AM328">
            <v>424846</v>
          </cell>
          <cell r="AN328">
            <v>415702.07999999996</v>
          </cell>
        </row>
        <row r="329">
          <cell r="G329">
            <v>10156</v>
          </cell>
          <cell r="H329" t="str">
            <v>Target Empl_Benefits</v>
          </cell>
          <cell r="I329">
            <v>102700</v>
          </cell>
          <cell r="J329">
            <v>102700</v>
          </cell>
          <cell r="K329">
            <v>115534</v>
          </cell>
          <cell r="L329">
            <v>102697</v>
          </cell>
          <cell r="M329">
            <v>102697</v>
          </cell>
          <cell r="N329">
            <v>116334</v>
          </cell>
          <cell r="O329">
            <v>103408</v>
          </cell>
          <cell r="P329">
            <v>103408</v>
          </cell>
          <cell r="Q329">
            <v>116334</v>
          </cell>
          <cell r="R329">
            <v>103408</v>
          </cell>
          <cell r="S329">
            <v>103408</v>
          </cell>
          <cell r="T329">
            <v>116341</v>
          </cell>
          <cell r="U329">
            <v>95653</v>
          </cell>
          <cell r="V329">
            <v>112108</v>
          </cell>
          <cell r="W329">
            <v>126165</v>
          </cell>
          <cell r="X329">
            <v>112108</v>
          </cell>
          <cell r="Y329">
            <v>112108</v>
          </cell>
          <cell r="Z329">
            <v>126120</v>
          </cell>
          <cell r="AA329">
            <v>112108</v>
          </cell>
          <cell r="AB329">
            <v>112108</v>
          </cell>
          <cell r="AC329">
            <v>126120</v>
          </cell>
          <cell r="AD329">
            <v>112108</v>
          </cell>
          <cell r="AE329">
            <v>112108</v>
          </cell>
          <cell r="AF329">
            <v>126115</v>
          </cell>
          <cell r="AG329">
            <v>113073</v>
          </cell>
          <cell r="AH329">
            <v>113073</v>
          </cell>
          <cell r="AI329">
            <v>128358</v>
          </cell>
          <cell r="AJ329">
            <v>114095</v>
          </cell>
          <cell r="AK329">
            <v>114095</v>
          </cell>
          <cell r="AL329">
            <v>128358</v>
          </cell>
          <cell r="AM329">
            <v>114095</v>
          </cell>
          <cell r="AN329">
            <v>114095</v>
          </cell>
        </row>
        <row r="330">
          <cell r="G330">
            <v>10157</v>
          </cell>
          <cell r="H330" t="str">
            <v>Target Total Personnel</v>
          </cell>
          <cell r="I330">
            <v>411748</v>
          </cell>
          <cell r="J330">
            <v>400534</v>
          </cell>
          <cell r="K330">
            <v>450598</v>
          </cell>
          <cell r="L330">
            <v>400531</v>
          </cell>
          <cell r="M330">
            <v>400531</v>
          </cell>
          <cell r="N330">
            <v>453657</v>
          </cell>
          <cell r="O330">
            <v>403250</v>
          </cell>
          <cell r="P330">
            <v>403250</v>
          </cell>
          <cell r="Q330">
            <v>453657</v>
          </cell>
          <cell r="R330">
            <v>403250</v>
          </cell>
          <cell r="S330">
            <v>403250</v>
          </cell>
          <cell r="T330">
            <v>453667</v>
          </cell>
          <cell r="U330">
            <v>368247</v>
          </cell>
          <cell r="V330">
            <v>430574</v>
          </cell>
          <cell r="W330">
            <v>492758</v>
          </cell>
          <cell r="X330">
            <v>430574</v>
          </cell>
          <cell r="Y330">
            <v>430574</v>
          </cell>
          <cell r="Z330">
            <v>484167</v>
          </cell>
          <cell r="AA330">
            <v>430574</v>
          </cell>
          <cell r="AB330">
            <v>430574</v>
          </cell>
          <cell r="AC330">
            <v>484167</v>
          </cell>
          <cell r="AD330">
            <v>430574</v>
          </cell>
          <cell r="AE330">
            <v>430574</v>
          </cell>
          <cell r="AF330">
            <v>484167</v>
          </cell>
          <cell r="AG330">
            <v>425717</v>
          </cell>
          <cell r="AH330">
            <v>425717</v>
          </cell>
          <cell r="AI330">
            <v>480081</v>
          </cell>
          <cell r="AJ330">
            <v>426739</v>
          </cell>
          <cell r="AK330">
            <v>426739</v>
          </cell>
          <cell r="AL330">
            <v>480081</v>
          </cell>
          <cell r="AM330">
            <v>426739</v>
          </cell>
          <cell r="AN330">
            <v>426739</v>
          </cell>
        </row>
        <row r="331">
          <cell r="G331">
            <v>10158</v>
          </cell>
          <cell r="H331" t="str">
            <v>YTD Empl_Benefits</v>
          </cell>
          <cell r="I331">
            <v>90551</v>
          </cell>
          <cell r="J331">
            <v>186873</v>
          </cell>
          <cell r="K331">
            <v>289493</v>
          </cell>
          <cell r="L331">
            <v>392038</v>
          </cell>
          <cell r="M331">
            <v>492754</v>
          </cell>
          <cell r="N331">
            <v>593493</v>
          </cell>
          <cell r="O331">
            <v>694125</v>
          </cell>
          <cell r="P331">
            <v>792524</v>
          </cell>
          <cell r="Q331">
            <v>913178</v>
          </cell>
          <cell r="R331">
            <v>1013479</v>
          </cell>
          <cell r="S331">
            <v>1111995</v>
          </cell>
          <cell r="T331">
            <v>1211288</v>
          </cell>
          <cell r="U331">
            <v>113415</v>
          </cell>
          <cell r="V331">
            <v>226830</v>
          </cell>
          <cell r="W331">
            <v>345069</v>
          </cell>
          <cell r="X331">
            <v>463270</v>
          </cell>
          <cell r="Y331">
            <v>581464</v>
          </cell>
          <cell r="Z331">
            <v>701232</v>
          </cell>
          <cell r="AA331">
            <v>815021</v>
          </cell>
          <cell r="AB331">
            <v>928986.92</v>
          </cell>
          <cell r="AC331">
            <v>1041380</v>
          </cell>
          <cell r="AD331">
            <v>1153442</v>
          </cell>
          <cell r="AE331">
            <v>1264480</v>
          </cell>
          <cell r="AF331">
            <v>1376972</v>
          </cell>
          <cell r="AG331">
            <v>108817</v>
          </cell>
          <cell r="AH331">
            <v>219670</v>
          </cell>
          <cell r="AI331">
            <v>335028</v>
          </cell>
          <cell r="AJ331">
            <v>450457</v>
          </cell>
          <cell r="AK331">
            <v>564776</v>
          </cell>
          <cell r="AL331">
            <v>679128</v>
          </cell>
          <cell r="AM331">
            <v>791176</v>
          </cell>
          <cell r="AN331">
            <v>902301.44000000006</v>
          </cell>
        </row>
        <row r="332">
          <cell r="G332">
            <v>10159</v>
          </cell>
          <cell r="H332" t="str">
            <v>YTD Total Personnel</v>
          </cell>
          <cell r="I332">
            <v>377130</v>
          </cell>
          <cell r="J332">
            <v>752080</v>
          </cell>
          <cell r="K332">
            <v>1160311</v>
          </cell>
          <cell r="L332">
            <v>1557631</v>
          </cell>
          <cell r="M332">
            <v>1949128</v>
          </cell>
          <cell r="N332">
            <v>2338079</v>
          </cell>
          <cell r="O332">
            <v>2728001</v>
          </cell>
          <cell r="P332">
            <v>3116365</v>
          </cell>
          <cell r="Q332">
            <v>3617220</v>
          </cell>
          <cell r="R332">
            <v>4019817</v>
          </cell>
          <cell r="S332">
            <v>4402100</v>
          </cell>
          <cell r="T332">
            <v>4789991</v>
          </cell>
          <cell r="U332">
            <v>439533</v>
          </cell>
          <cell r="V332">
            <v>879178</v>
          </cell>
          <cell r="W332">
            <v>1335764</v>
          </cell>
          <cell r="X332">
            <v>1787673</v>
          </cell>
          <cell r="Y332">
            <v>2238554</v>
          </cell>
          <cell r="Z332">
            <v>2700671</v>
          </cell>
          <cell r="AA332">
            <v>3135093</v>
          </cell>
          <cell r="AB332">
            <v>2643709.4700000002</v>
          </cell>
          <cell r="AC332">
            <v>4010532</v>
          </cell>
          <cell r="AD332">
            <v>4440846</v>
          </cell>
          <cell r="AE332">
            <v>4862805</v>
          </cell>
          <cell r="AF332">
            <v>5296902</v>
          </cell>
          <cell r="AG332">
            <v>406364</v>
          </cell>
          <cell r="AH332">
            <v>827396</v>
          </cell>
          <cell r="AI332">
            <v>1267292</v>
          </cell>
          <cell r="AJ332">
            <v>1699778</v>
          </cell>
          <cell r="AK332">
            <v>2125526</v>
          </cell>
          <cell r="AL332">
            <v>2551224</v>
          </cell>
          <cell r="AM332">
            <v>2976070</v>
          </cell>
          <cell r="AN332">
            <v>3391772.1</v>
          </cell>
        </row>
        <row r="333">
          <cell r="G333">
            <v>10160</v>
          </cell>
          <cell r="H333" t="str">
            <v>YTD Target Empl_Benefits</v>
          </cell>
          <cell r="I333">
            <v>102700</v>
          </cell>
          <cell r="J333">
            <v>205400</v>
          </cell>
          <cell r="K333">
            <v>320934</v>
          </cell>
          <cell r="L333">
            <v>423631</v>
          </cell>
          <cell r="M333">
            <v>526328</v>
          </cell>
          <cell r="N333">
            <v>646306</v>
          </cell>
          <cell r="O333">
            <v>749714</v>
          </cell>
          <cell r="P333">
            <v>853122</v>
          </cell>
          <cell r="Q333">
            <v>969456</v>
          </cell>
          <cell r="R333">
            <v>1072864</v>
          </cell>
          <cell r="S333">
            <v>176272</v>
          </cell>
          <cell r="T333">
            <v>1292613</v>
          </cell>
          <cell r="U333">
            <v>95653</v>
          </cell>
          <cell r="V333">
            <v>224216</v>
          </cell>
          <cell r="W333">
            <v>350381</v>
          </cell>
          <cell r="X333">
            <v>462489</v>
          </cell>
          <cell r="Y333">
            <v>574597</v>
          </cell>
          <cell r="Z333">
            <v>700717</v>
          </cell>
          <cell r="AA333">
            <v>812825</v>
          </cell>
          <cell r="AB333">
            <v>924933</v>
          </cell>
          <cell r="AC333">
            <v>1051053</v>
          </cell>
          <cell r="AD333">
            <v>1163161</v>
          </cell>
          <cell r="AE333">
            <v>1275269</v>
          </cell>
          <cell r="AF333">
            <v>1401384</v>
          </cell>
          <cell r="AG333">
            <v>113073</v>
          </cell>
          <cell r="AH333">
            <v>226146</v>
          </cell>
          <cell r="AI333">
            <v>356548</v>
          </cell>
          <cell r="AJ333">
            <v>470643</v>
          </cell>
          <cell r="AK333">
            <v>584738</v>
          </cell>
          <cell r="AL333">
            <v>713096</v>
          </cell>
          <cell r="AM333">
            <v>827191</v>
          </cell>
          <cell r="AN333">
            <v>941286</v>
          </cell>
        </row>
        <row r="334">
          <cell r="G334">
            <v>10161</v>
          </cell>
          <cell r="H334" t="str">
            <v>YTD Target Total Personnel</v>
          </cell>
          <cell r="I334">
            <v>411748</v>
          </cell>
          <cell r="J334">
            <v>812282</v>
          </cell>
          <cell r="K334">
            <v>1262880</v>
          </cell>
          <cell r="L334">
            <v>1663411</v>
          </cell>
          <cell r="M334">
            <v>2063942</v>
          </cell>
          <cell r="N334">
            <v>2531534</v>
          </cell>
          <cell r="O334">
            <v>2934784</v>
          </cell>
          <cell r="P334">
            <v>3338034</v>
          </cell>
          <cell r="Q334">
            <v>3791691</v>
          </cell>
          <cell r="R334">
            <v>4194941</v>
          </cell>
          <cell r="S334">
            <v>4598191</v>
          </cell>
          <cell r="T334">
            <v>5051858</v>
          </cell>
          <cell r="U334">
            <v>368247</v>
          </cell>
          <cell r="V334">
            <v>861148</v>
          </cell>
          <cell r="W334">
            <v>1353906</v>
          </cell>
          <cell r="X334">
            <v>1784480</v>
          </cell>
          <cell r="Y334">
            <v>2215054</v>
          </cell>
          <cell r="Z334">
            <v>2699221</v>
          </cell>
          <cell r="AA334">
            <v>3129795</v>
          </cell>
          <cell r="AB334">
            <v>3560369</v>
          </cell>
          <cell r="AC334">
            <v>4044536</v>
          </cell>
          <cell r="AD334">
            <v>4475110</v>
          </cell>
          <cell r="AE334">
            <v>4905684</v>
          </cell>
          <cell r="AF334">
            <v>5389851</v>
          </cell>
          <cell r="AG334">
            <v>425717</v>
          </cell>
          <cell r="AH334">
            <v>851434</v>
          </cell>
          <cell r="AI334">
            <v>1333559</v>
          </cell>
          <cell r="AJ334">
            <v>1760298</v>
          </cell>
          <cell r="AK334">
            <v>2187037</v>
          </cell>
          <cell r="AL334">
            <v>2667118</v>
          </cell>
          <cell r="AM334">
            <v>3093857</v>
          </cell>
          <cell r="AN334">
            <v>3520596</v>
          </cell>
        </row>
        <row r="335">
          <cell r="G335">
            <v>10162</v>
          </cell>
          <cell r="H335" t="str">
            <v>Actual</v>
          </cell>
          <cell r="I335">
            <v>-435505</v>
          </cell>
          <cell r="J335">
            <v>-282064</v>
          </cell>
          <cell r="K335">
            <v>2392054</v>
          </cell>
          <cell r="L335">
            <v>-95230</v>
          </cell>
          <cell r="M335">
            <v>-305791</v>
          </cell>
          <cell r="N335">
            <v>1603768</v>
          </cell>
          <cell r="O335">
            <v>-281339</v>
          </cell>
          <cell r="P335">
            <v>-320855</v>
          </cell>
          <cell r="Q335">
            <v>942740</v>
          </cell>
          <cell r="R335">
            <v>-376902</v>
          </cell>
          <cell r="S335">
            <v>-293781</v>
          </cell>
          <cell r="T335">
            <v>1119500</v>
          </cell>
          <cell r="U335">
            <v>-224062</v>
          </cell>
          <cell r="V335">
            <v>-299379</v>
          </cell>
          <cell r="W335">
            <v>2838467</v>
          </cell>
          <cell r="X335">
            <v>-468101</v>
          </cell>
          <cell r="Y335">
            <v>-370943</v>
          </cell>
          <cell r="Z335">
            <v>949478</v>
          </cell>
          <cell r="AA335">
            <v>-335598</v>
          </cell>
          <cell r="AB335">
            <v>-384990.89</v>
          </cell>
          <cell r="AC335">
            <v>977415</v>
          </cell>
          <cell r="AD335">
            <v>-416393</v>
          </cell>
          <cell r="AE335">
            <v>-358173</v>
          </cell>
          <cell r="AF335">
            <v>1137178</v>
          </cell>
          <cell r="AG335">
            <v>-318355</v>
          </cell>
          <cell r="AH335">
            <v>-270840</v>
          </cell>
          <cell r="AI335">
            <v>1098814</v>
          </cell>
          <cell r="AJ335">
            <v>-276672</v>
          </cell>
          <cell r="AK335">
            <v>-156917</v>
          </cell>
          <cell r="AL335">
            <v>636729</v>
          </cell>
          <cell r="AM335">
            <v>-534244</v>
          </cell>
          <cell r="AN335">
            <v>-133940.04999999993</v>
          </cell>
        </row>
        <row r="336">
          <cell r="G336">
            <v>10163</v>
          </cell>
          <cell r="H336" t="str">
            <v>Target (Budget)</v>
          </cell>
          <cell r="I336">
            <v>-495246</v>
          </cell>
          <cell r="J336">
            <v>-323898</v>
          </cell>
          <cell r="K336">
            <v>1458289</v>
          </cell>
          <cell r="L336">
            <v>-284886</v>
          </cell>
          <cell r="M336">
            <v>-334626</v>
          </cell>
          <cell r="N336">
            <v>1304635</v>
          </cell>
          <cell r="O336">
            <v>-381397</v>
          </cell>
          <cell r="P336">
            <v>-423692</v>
          </cell>
          <cell r="Q336">
            <v>885840</v>
          </cell>
          <cell r="R336">
            <v>-361891</v>
          </cell>
          <cell r="S336">
            <v>-352548</v>
          </cell>
          <cell r="T336">
            <v>1713121</v>
          </cell>
          <cell r="U336">
            <v>83699</v>
          </cell>
          <cell r="V336">
            <v>-282910</v>
          </cell>
          <cell r="W336">
            <v>2216189</v>
          </cell>
          <cell r="X336">
            <v>-318971</v>
          </cell>
          <cell r="Y336">
            <v>-319116</v>
          </cell>
          <cell r="Z336">
            <v>919297</v>
          </cell>
          <cell r="AA336">
            <v>-437154</v>
          </cell>
          <cell r="AB336">
            <v>-435197</v>
          </cell>
          <cell r="AC336">
            <v>794721</v>
          </cell>
          <cell r="AD336">
            <v>-467068</v>
          </cell>
          <cell r="AE336">
            <v>-420100</v>
          </cell>
          <cell r="AF336">
            <v>800173</v>
          </cell>
          <cell r="AG336">
            <v>-289871</v>
          </cell>
          <cell r="AH336">
            <v>-367440</v>
          </cell>
          <cell r="AI336">
            <v>1128386</v>
          </cell>
          <cell r="AJ336">
            <v>-276661</v>
          </cell>
          <cell r="AK336">
            <v>-344244</v>
          </cell>
          <cell r="AL336">
            <v>1058670</v>
          </cell>
          <cell r="AM336">
            <v>-383466</v>
          </cell>
          <cell r="AN336">
            <v>-414634</v>
          </cell>
        </row>
        <row r="337">
          <cell r="G337">
            <v>10166</v>
          </cell>
          <cell r="H337" t="str">
            <v>YTD Actual</v>
          </cell>
          <cell r="I337">
            <v>-435505</v>
          </cell>
          <cell r="J337">
            <v>-564712</v>
          </cell>
          <cell r="K337">
            <v>1827341</v>
          </cell>
          <cell r="L337">
            <v>1732112</v>
          </cell>
          <cell r="M337">
            <v>1426320</v>
          </cell>
          <cell r="N337">
            <v>2902109</v>
          </cell>
          <cell r="O337">
            <v>2748749</v>
          </cell>
          <cell r="P337">
            <v>2427894</v>
          </cell>
          <cell r="Q337">
            <v>3370634</v>
          </cell>
          <cell r="R337">
            <v>2993732</v>
          </cell>
          <cell r="S337">
            <v>2699951</v>
          </cell>
          <cell r="T337">
            <v>3819451</v>
          </cell>
          <cell r="U337">
            <v>-224062</v>
          </cell>
          <cell r="V337">
            <v>-523441</v>
          </cell>
          <cell r="W337">
            <v>2315026</v>
          </cell>
          <cell r="X337">
            <v>1846926</v>
          </cell>
          <cell r="Y337">
            <v>1475983</v>
          </cell>
          <cell r="Z337">
            <v>2425460</v>
          </cell>
          <cell r="AA337">
            <v>2089862</v>
          </cell>
          <cell r="AB337">
            <v>1704871.46</v>
          </cell>
          <cell r="AC337">
            <v>2682286</v>
          </cell>
          <cell r="AD337">
            <v>2265893</v>
          </cell>
          <cell r="AE337">
            <v>1907720</v>
          </cell>
          <cell r="AF337">
            <v>3044898</v>
          </cell>
          <cell r="AG337">
            <v>-318355</v>
          </cell>
          <cell r="AH337">
            <v>-589195</v>
          </cell>
          <cell r="AI337">
            <v>509619</v>
          </cell>
          <cell r="AJ337">
            <v>232948</v>
          </cell>
          <cell r="AK337">
            <v>76031</v>
          </cell>
          <cell r="AL337">
            <v>712759</v>
          </cell>
          <cell r="AM337">
            <v>178515</v>
          </cell>
          <cell r="AN337">
            <v>44575.019999998622</v>
          </cell>
        </row>
        <row r="338">
          <cell r="G338">
            <v>10167</v>
          </cell>
          <cell r="H338" t="str">
            <v>YTD Target (Budget)</v>
          </cell>
          <cell r="I338">
            <v>-495246</v>
          </cell>
          <cell r="J338">
            <v>-707901</v>
          </cell>
          <cell r="K338">
            <v>750388</v>
          </cell>
          <cell r="L338">
            <v>465502</v>
          </cell>
          <cell r="M338">
            <v>532462</v>
          </cell>
          <cell r="N338">
            <v>3752517</v>
          </cell>
          <cell r="O338">
            <v>1441765</v>
          </cell>
          <cell r="P338">
            <v>1018073</v>
          </cell>
          <cell r="Q338">
            <v>1903913</v>
          </cell>
          <cell r="R338">
            <v>1542022</v>
          </cell>
          <cell r="S338">
            <v>1189474</v>
          </cell>
          <cell r="T338">
            <v>2902595</v>
          </cell>
          <cell r="U338">
            <v>83699</v>
          </cell>
          <cell r="V338">
            <v>-655277</v>
          </cell>
          <cell r="W338">
            <v>1560912</v>
          </cell>
          <cell r="X338">
            <v>1241941</v>
          </cell>
          <cell r="Y338">
            <v>922825</v>
          </cell>
          <cell r="Z338">
            <v>1842122</v>
          </cell>
          <cell r="AA338">
            <v>1404968</v>
          </cell>
          <cell r="AB338">
            <v>969771</v>
          </cell>
          <cell r="AC338">
            <v>1764492</v>
          </cell>
          <cell r="AD338">
            <v>1297424</v>
          </cell>
          <cell r="AE338">
            <v>877324</v>
          </cell>
          <cell r="AF338">
            <v>1677497</v>
          </cell>
          <cell r="AG338">
            <v>-289871</v>
          </cell>
          <cell r="AH338">
            <v>-657311</v>
          </cell>
          <cell r="AI338">
            <v>468951</v>
          </cell>
          <cell r="AJ338">
            <v>192290</v>
          </cell>
          <cell r="AK338">
            <v>-151954</v>
          </cell>
          <cell r="AL338">
            <v>906716</v>
          </cell>
          <cell r="AM338">
            <v>523250</v>
          </cell>
          <cell r="AN338">
            <v>108616</v>
          </cell>
        </row>
        <row r="339">
          <cell r="G339">
            <v>10174</v>
          </cell>
          <cell r="H339" t="str">
            <v>Actual</v>
          </cell>
          <cell r="I339">
            <v>-517905</v>
          </cell>
          <cell r="J339">
            <v>-550761</v>
          </cell>
          <cell r="K339">
            <v>2075527</v>
          </cell>
          <cell r="L339">
            <v>-271136</v>
          </cell>
          <cell r="M339">
            <v>-447671</v>
          </cell>
          <cell r="N339">
            <v>1386719</v>
          </cell>
          <cell r="O339">
            <v>-385260</v>
          </cell>
          <cell r="P339">
            <v>-393725</v>
          </cell>
          <cell r="Q339">
            <v>760662</v>
          </cell>
          <cell r="R339">
            <v>-478307</v>
          </cell>
          <cell r="S339">
            <v>-428508</v>
          </cell>
          <cell r="T339">
            <v>-643765</v>
          </cell>
          <cell r="U339">
            <v>-256447</v>
          </cell>
          <cell r="V339">
            <v>-501505</v>
          </cell>
          <cell r="W339">
            <v>2547347</v>
          </cell>
          <cell r="X339">
            <v>-530942</v>
          </cell>
          <cell r="Y339">
            <v>-401049</v>
          </cell>
          <cell r="Z339">
            <v>653226</v>
          </cell>
          <cell r="AA339">
            <v>-471320</v>
          </cell>
          <cell r="AB339">
            <v>-654122.67000000004</v>
          </cell>
          <cell r="AC339">
            <v>913228</v>
          </cell>
          <cell r="AD339">
            <v>-507589</v>
          </cell>
          <cell r="AE339">
            <v>-444970</v>
          </cell>
          <cell r="AF339">
            <v>-1131289</v>
          </cell>
          <cell r="AG339">
            <v>-441869</v>
          </cell>
          <cell r="AH339">
            <v>-297805</v>
          </cell>
          <cell r="AI339">
            <v>851769</v>
          </cell>
          <cell r="AJ339">
            <v>-362670</v>
          </cell>
          <cell r="AK339">
            <v>-304810</v>
          </cell>
          <cell r="AL339">
            <v>438924</v>
          </cell>
          <cell r="AM339">
            <v>-600086</v>
          </cell>
          <cell r="AN339">
            <v>-211459.67999999993</v>
          </cell>
        </row>
        <row r="340">
          <cell r="G340">
            <v>10175</v>
          </cell>
          <cell r="H340" t="str">
            <v>Target (Budget)</v>
          </cell>
          <cell r="I340">
            <v>-506446</v>
          </cell>
          <cell r="J340">
            <v>-550391</v>
          </cell>
          <cell r="K340">
            <v>1199714</v>
          </cell>
          <cell r="L340">
            <v>-264265</v>
          </cell>
          <cell r="M340">
            <v>-463935</v>
          </cell>
          <cell r="N340">
            <v>1046060</v>
          </cell>
          <cell r="O340">
            <v>-522343</v>
          </cell>
          <cell r="P340">
            <v>-556817</v>
          </cell>
          <cell r="Q340">
            <v>647789</v>
          </cell>
          <cell r="R340">
            <v>-496596</v>
          </cell>
          <cell r="S340">
            <v>-488285</v>
          </cell>
          <cell r="T340">
            <v>951337</v>
          </cell>
          <cell r="U340">
            <v>-57140</v>
          </cell>
          <cell r="V340">
            <v>-465122</v>
          </cell>
          <cell r="W340">
            <v>1978271</v>
          </cell>
          <cell r="X340">
            <v>-412858</v>
          </cell>
          <cell r="Y340">
            <v>-414066</v>
          </cell>
          <cell r="Z340">
            <v>528681</v>
          </cell>
          <cell r="AA340">
            <v>-531041</v>
          </cell>
          <cell r="AB340">
            <v>-517349</v>
          </cell>
          <cell r="AC340">
            <v>650630</v>
          </cell>
          <cell r="AD340">
            <v>-535290</v>
          </cell>
          <cell r="AE340">
            <v>-502244</v>
          </cell>
          <cell r="AF340">
            <v>-1456843</v>
          </cell>
          <cell r="AG340">
            <v>-334383</v>
          </cell>
          <cell r="AH340">
            <v>-454952</v>
          </cell>
          <cell r="AI340">
            <v>915859</v>
          </cell>
          <cell r="AJ340">
            <v>-352267</v>
          </cell>
          <cell r="AK340">
            <v>-392554</v>
          </cell>
          <cell r="AL340">
            <v>872626</v>
          </cell>
          <cell r="AM340">
            <v>-432967</v>
          </cell>
          <cell r="AN340">
            <v>-454280</v>
          </cell>
        </row>
        <row r="341">
          <cell r="G341">
            <v>10178</v>
          </cell>
          <cell r="H341" t="str">
            <v>YTD Actual</v>
          </cell>
          <cell r="I341">
            <v>-517905</v>
          </cell>
          <cell r="J341">
            <v>-1068666</v>
          </cell>
          <cell r="K341">
            <v>1006860</v>
          </cell>
          <cell r="L341">
            <v>735724</v>
          </cell>
          <cell r="M341">
            <v>288054</v>
          </cell>
          <cell r="N341">
            <v>1674772</v>
          </cell>
          <cell r="O341">
            <v>1289512</v>
          </cell>
          <cell r="P341">
            <v>895787</v>
          </cell>
          <cell r="Q341">
            <v>1904866</v>
          </cell>
          <cell r="R341">
            <v>1164632</v>
          </cell>
          <cell r="S341">
            <v>736125</v>
          </cell>
          <cell r="T341">
            <v>92360</v>
          </cell>
          <cell r="U341">
            <v>-256447</v>
          </cell>
          <cell r="V341">
            <v>-757952</v>
          </cell>
          <cell r="W341">
            <v>1789395</v>
          </cell>
          <cell r="X341">
            <v>1258453</v>
          </cell>
          <cell r="Y341">
            <v>857404</v>
          </cell>
          <cell r="Z341">
            <v>1510630</v>
          </cell>
          <cell r="AA341">
            <v>1039310</v>
          </cell>
          <cell r="AB341">
            <v>385187.7</v>
          </cell>
          <cell r="AC341">
            <v>1298416</v>
          </cell>
          <cell r="AD341">
            <v>790827</v>
          </cell>
          <cell r="AE341">
            <v>345857</v>
          </cell>
          <cell r="AF341">
            <v>-785431</v>
          </cell>
          <cell r="AG341">
            <v>-441869</v>
          </cell>
          <cell r="AH341">
            <v>-739674</v>
          </cell>
          <cell r="AI341">
            <v>112095</v>
          </cell>
          <cell r="AJ341">
            <v>-250575</v>
          </cell>
          <cell r="AK341">
            <v>-555385</v>
          </cell>
          <cell r="AL341">
            <v>-116461</v>
          </cell>
          <cell r="AM341">
            <v>-716546</v>
          </cell>
          <cell r="AN341">
            <v>-928005.97000000125</v>
          </cell>
        </row>
        <row r="342">
          <cell r="G342">
            <v>10179</v>
          </cell>
          <cell r="H342" t="str">
            <v>YTD Target (Budget)</v>
          </cell>
          <cell r="I342">
            <v>-506446</v>
          </cell>
          <cell r="J342">
            <v>1056837</v>
          </cell>
          <cell r="K342">
            <v>142877</v>
          </cell>
          <cell r="L342">
            <v>-121388</v>
          </cell>
          <cell r="M342">
            <v>-183737</v>
          </cell>
          <cell r="N342">
            <v>848388</v>
          </cell>
          <cell r="O342">
            <v>326045</v>
          </cell>
          <cell r="P342">
            <v>-230772</v>
          </cell>
          <cell r="Q342">
            <v>473435</v>
          </cell>
          <cell r="R342">
            <v>-99188</v>
          </cell>
          <cell r="S342">
            <v>-587473</v>
          </cell>
          <cell r="T342">
            <v>363864</v>
          </cell>
          <cell r="U342">
            <v>-57140</v>
          </cell>
          <cell r="V342">
            <v>-918638</v>
          </cell>
          <cell r="W342">
            <v>1059633</v>
          </cell>
          <cell r="X342">
            <v>646775</v>
          </cell>
          <cell r="Y342">
            <v>232709</v>
          </cell>
          <cell r="Z342">
            <v>817190</v>
          </cell>
          <cell r="AA342">
            <v>286149</v>
          </cell>
          <cell r="AB342">
            <v>-231200</v>
          </cell>
          <cell r="AC342">
            <v>419430</v>
          </cell>
          <cell r="AD342">
            <v>-115860</v>
          </cell>
          <cell r="AE342">
            <v>-618104</v>
          </cell>
          <cell r="AF342">
            <v>-2074947</v>
          </cell>
          <cell r="AG342">
            <v>-334383</v>
          </cell>
          <cell r="AH342">
            <v>-842135</v>
          </cell>
          <cell r="AI342">
            <v>149780</v>
          </cell>
          <cell r="AJ342">
            <v>-202487</v>
          </cell>
          <cell r="AK342">
            <v>-595041</v>
          </cell>
          <cell r="AL342">
            <v>277585</v>
          </cell>
          <cell r="AM342">
            <v>-155382</v>
          </cell>
          <cell r="AN342">
            <v>-609662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Worksheet"/>
      <sheetName val="FinancialData"/>
      <sheetName val="Data"/>
      <sheetName val="Key Graphic"/>
      <sheetName val="Old Definitions"/>
      <sheetName val="Admin"/>
      <sheetName val="Definitions"/>
      <sheetName val="Consol GF"/>
      <sheetName val="CABS"/>
      <sheetName val="Fleet"/>
      <sheetName val="Paratransit"/>
      <sheetName val="WMC Parking"/>
      <sheetName val="ConsolEF"/>
      <sheetName val="Motorpool"/>
      <sheetName val="Charter"/>
      <sheetName val="Vehicle"/>
      <sheetName val="Traff"/>
      <sheetName val="UOS Checklist"/>
      <sheetName val="TTM CampusPop"/>
    </sheetNames>
    <sheetDataSet>
      <sheetData sheetId="0"/>
      <sheetData sheetId="1">
        <row r="1">
          <cell r="G1">
            <v>0</v>
          </cell>
          <cell r="H1">
            <v>0</v>
          </cell>
          <cell r="I1">
            <v>0</v>
          </cell>
          <cell r="J1">
            <v>0</v>
          </cell>
          <cell r="K1">
            <v>0</v>
          </cell>
          <cell r="L1">
            <v>0</v>
          </cell>
          <cell r="M1">
            <v>0</v>
          </cell>
          <cell r="N1">
            <v>0</v>
          </cell>
          <cell r="O1">
            <v>0</v>
          </cell>
          <cell r="P1">
            <v>0</v>
          </cell>
          <cell r="Q1">
            <v>0</v>
          </cell>
          <cell r="R1">
            <v>0</v>
          </cell>
          <cell r="S1">
            <v>0</v>
          </cell>
          <cell r="T1">
            <v>0</v>
          </cell>
        </row>
        <row r="2">
          <cell r="G2">
            <v>0</v>
          </cell>
          <cell r="H2">
            <v>0</v>
          </cell>
          <cell r="I2">
            <v>0</v>
          </cell>
          <cell r="J2">
            <v>0</v>
          </cell>
          <cell r="K2">
            <v>0</v>
          </cell>
          <cell r="L2">
            <v>0</v>
          </cell>
          <cell r="M2">
            <v>0</v>
          </cell>
          <cell r="N2">
            <v>0</v>
          </cell>
          <cell r="O2">
            <v>0</v>
          </cell>
          <cell r="P2">
            <v>0</v>
          </cell>
          <cell r="Q2">
            <v>0</v>
          </cell>
          <cell r="R2">
            <v>0</v>
          </cell>
          <cell r="S2">
            <v>0</v>
          </cell>
          <cell r="T2">
            <v>0</v>
          </cell>
        </row>
        <row r="3">
          <cell r="G3">
            <v>0</v>
          </cell>
          <cell r="H3">
            <v>0</v>
          </cell>
          <cell r="I3">
            <v>0</v>
          </cell>
          <cell r="J3">
            <v>0</v>
          </cell>
          <cell r="K3">
            <v>0</v>
          </cell>
          <cell r="L3">
            <v>0</v>
          </cell>
          <cell r="M3">
            <v>0</v>
          </cell>
          <cell r="N3">
            <v>0</v>
          </cell>
          <cell r="O3">
            <v>0</v>
          </cell>
          <cell r="P3">
            <v>0</v>
          </cell>
          <cell r="Q3">
            <v>0</v>
          </cell>
          <cell r="R3">
            <v>0</v>
          </cell>
          <cell r="S3">
            <v>0</v>
          </cell>
          <cell r="T3">
            <v>0</v>
          </cell>
        </row>
        <row r="4">
          <cell r="G4">
            <v>0</v>
          </cell>
          <cell r="H4">
            <v>0</v>
          </cell>
          <cell r="I4">
            <v>0</v>
          </cell>
          <cell r="J4">
            <v>0</v>
          </cell>
          <cell r="K4">
            <v>0</v>
          </cell>
          <cell r="L4">
            <v>0</v>
          </cell>
          <cell r="M4">
            <v>0</v>
          </cell>
          <cell r="N4">
            <v>0</v>
          </cell>
          <cell r="O4">
            <v>0</v>
          </cell>
          <cell r="P4">
            <v>0</v>
          </cell>
          <cell r="Q4">
            <v>0</v>
          </cell>
          <cell r="R4">
            <v>0</v>
          </cell>
          <cell r="S4">
            <v>0</v>
          </cell>
          <cell r="T4">
            <v>0</v>
          </cell>
        </row>
        <row r="5">
          <cell r="G5">
            <v>0</v>
          </cell>
          <cell r="H5">
            <v>0</v>
          </cell>
          <cell r="I5" t="str">
            <v>FY17-Jul</v>
          </cell>
          <cell r="J5" t="str">
            <v>FY17-Aug</v>
          </cell>
          <cell r="K5" t="str">
            <v>FY17-Sept</v>
          </cell>
          <cell r="L5" t="str">
            <v>FY17-Oct</v>
          </cell>
          <cell r="M5" t="str">
            <v>FY17-Nov</v>
          </cell>
          <cell r="N5" t="str">
            <v>FY17-Dec</v>
          </cell>
          <cell r="O5" t="str">
            <v>FY17-Jan</v>
          </cell>
          <cell r="P5" t="str">
            <v>FY17-Feb</v>
          </cell>
          <cell r="Q5" t="str">
            <v>FY17-Mar</v>
          </cell>
          <cell r="R5" t="str">
            <v>FY17-Apr</v>
          </cell>
          <cell r="S5" t="str">
            <v>FY17-May</v>
          </cell>
          <cell r="T5" t="str">
            <v>FY17-Jun</v>
          </cell>
          <cell r="U5" t="str">
            <v>FY18-Jul</v>
          </cell>
          <cell r="V5" t="str">
            <v>FY18-Aug</v>
          </cell>
          <cell r="W5" t="str">
            <v>FY18-Sept</v>
          </cell>
          <cell r="X5" t="str">
            <v>FY18-Oct</v>
          </cell>
          <cell r="Y5" t="str">
            <v>FY18-Nov</v>
          </cell>
          <cell r="Z5" t="str">
            <v>FY18-Dec</v>
          </cell>
          <cell r="AA5" t="str">
            <v>FY18-Jan</v>
          </cell>
          <cell r="AB5" t="str">
            <v>FY18-Feb</v>
          </cell>
          <cell r="AC5" t="str">
            <v>FY18-Mar</v>
          </cell>
          <cell r="AD5" t="str">
            <v>FY18-Apr</v>
          </cell>
          <cell r="AE5" t="str">
            <v>FY18-May</v>
          </cell>
          <cell r="AF5" t="str">
            <v>FY18-Jun</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row>
        <row r="6">
          <cell r="G6" t="str">
            <v>LUNo</v>
          </cell>
          <cell r="H6" t="str">
            <v>MetricDetail</v>
          </cell>
          <cell r="I6">
            <v>201701</v>
          </cell>
          <cell r="J6">
            <v>201702</v>
          </cell>
          <cell r="K6">
            <v>201703</v>
          </cell>
          <cell r="L6">
            <v>201704</v>
          </cell>
          <cell r="M6">
            <v>201705</v>
          </cell>
          <cell r="N6">
            <v>201706</v>
          </cell>
          <cell r="O6">
            <v>201707</v>
          </cell>
          <cell r="P6">
            <v>201708</v>
          </cell>
          <cell r="Q6">
            <v>201709</v>
          </cell>
          <cell r="R6">
            <v>201710</v>
          </cell>
          <cell r="S6">
            <v>201711</v>
          </cell>
          <cell r="T6">
            <v>201712</v>
          </cell>
          <cell r="U6">
            <v>201801</v>
          </cell>
          <cell r="V6">
            <v>201802</v>
          </cell>
          <cell r="W6">
            <v>201803</v>
          </cell>
          <cell r="X6">
            <v>201804</v>
          </cell>
          <cell r="Y6">
            <v>201805</v>
          </cell>
          <cell r="Z6">
            <v>201806</v>
          </cell>
          <cell r="AA6">
            <v>201807</v>
          </cell>
          <cell r="AB6">
            <v>201808</v>
          </cell>
          <cell r="AC6">
            <v>201809</v>
          </cell>
          <cell r="AD6">
            <v>201810</v>
          </cell>
          <cell r="AE6">
            <v>201811</v>
          </cell>
          <cell r="AF6">
            <v>201812</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row>
        <row r="7">
          <cell r="G7">
            <v>1</v>
          </cell>
          <cell r="H7" t="str">
            <v>Actual</v>
          </cell>
          <cell r="I7">
            <v>882347.9</v>
          </cell>
          <cell r="J7">
            <v>938856.72</v>
          </cell>
          <cell r="K7">
            <v>1774590.8</v>
          </cell>
          <cell r="L7">
            <v>1069960.4899999998</v>
          </cell>
          <cell r="M7">
            <v>983056.8600000001</v>
          </cell>
          <cell r="N7">
            <v>854256.40999999992</v>
          </cell>
          <cell r="O7">
            <v>870844.72</v>
          </cell>
          <cell r="P7">
            <v>906405.34000000008</v>
          </cell>
          <cell r="Q7">
            <v>976018.76000000013</v>
          </cell>
          <cell r="R7">
            <v>1090931.6499999999</v>
          </cell>
          <cell r="S7">
            <v>937877.81</v>
          </cell>
          <cell r="T7">
            <v>1245951.58</v>
          </cell>
          <cell r="U7">
            <v>3930594.6799999997</v>
          </cell>
          <cell r="V7">
            <v>1641331.8499999999</v>
          </cell>
          <cell r="W7">
            <v>2177141.3900000006</v>
          </cell>
          <cell r="X7">
            <v>1188037.8499999999</v>
          </cell>
          <cell r="Y7">
            <v>1030965.93</v>
          </cell>
          <cell r="Z7">
            <v>1198191.01</v>
          </cell>
          <cell r="AA7">
            <v>689007.13</v>
          </cell>
          <cell r="AB7">
            <v>1434033.8399999999</v>
          </cell>
          <cell r="AC7">
            <v>1253189.1600000001</v>
          </cell>
          <cell r="AD7">
            <v>1272078.47</v>
          </cell>
          <cell r="AE7">
            <v>0</v>
          </cell>
          <cell r="AF7">
            <v>0</v>
          </cell>
        </row>
        <row r="8">
          <cell r="G8">
            <v>2</v>
          </cell>
          <cell r="H8" t="str">
            <v>Target (Budget)</v>
          </cell>
          <cell r="I8">
            <v>936748.55</v>
          </cell>
          <cell r="J8">
            <v>991196.55</v>
          </cell>
          <cell r="K8">
            <v>1476400.65</v>
          </cell>
          <cell r="L8">
            <v>979062.85</v>
          </cell>
          <cell r="M8">
            <v>1007387.75</v>
          </cell>
          <cell r="N8">
            <v>1149325.75</v>
          </cell>
          <cell r="O8">
            <v>1159440.75</v>
          </cell>
          <cell r="P8">
            <v>1019725.75</v>
          </cell>
          <cell r="Q8">
            <v>1193247.55</v>
          </cell>
          <cell r="R8">
            <v>989067.55</v>
          </cell>
          <cell r="S8">
            <v>989212.75</v>
          </cell>
          <cell r="T8">
            <v>945938.55</v>
          </cell>
          <cell r="U8">
            <v>5130248.76</v>
          </cell>
          <cell r="V8">
            <v>1410264.79</v>
          </cell>
          <cell r="W8">
            <v>1821754.4100000001</v>
          </cell>
          <cell r="X8">
            <v>1030442.75</v>
          </cell>
          <cell r="Y8">
            <v>1035957.75</v>
          </cell>
          <cell r="Z8">
            <v>1022942.63</v>
          </cell>
          <cell r="AA8">
            <v>1074447.46</v>
          </cell>
          <cell r="AB8">
            <v>1051094.6400000001</v>
          </cell>
          <cell r="AC8">
            <v>1277867.8399999999</v>
          </cell>
          <cell r="AD8">
            <v>1037957.1499999999</v>
          </cell>
          <cell r="AE8">
            <v>0</v>
          </cell>
          <cell r="AF8">
            <v>0</v>
          </cell>
        </row>
        <row r="9">
          <cell r="G9">
            <v>5</v>
          </cell>
          <cell r="H9" t="str">
            <v>YTD Actual</v>
          </cell>
          <cell r="I9">
            <v>882347.9</v>
          </cell>
          <cell r="J9">
            <v>1821204.62</v>
          </cell>
          <cell r="K9">
            <v>3595795.4200000004</v>
          </cell>
          <cell r="L9">
            <v>4665755.91</v>
          </cell>
          <cell r="M9">
            <v>5648812.7700000014</v>
          </cell>
          <cell r="N9">
            <v>6503069.1799999997</v>
          </cell>
          <cell r="O9">
            <v>7373913.9000000004</v>
          </cell>
          <cell r="P9">
            <v>8280319.2400000002</v>
          </cell>
          <cell r="Q9">
            <v>9256337.9999999981</v>
          </cell>
          <cell r="R9">
            <v>10347269.649999999</v>
          </cell>
          <cell r="S9">
            <v>11285147.459999999</v>
          </cell>
          <cell r="T9">
            <v>12531099.039999999</v>
          </cell>
          <cell r="U9">
            <v>3930594.6799999997</v>
          </cell>
          <cell r="V9">
            <v>5571926.5300000012</v>
          </cell>
          <cell r="W9">
            <v>7749067.9199999999</v>
          </cell>
          <cell r="X9">
            <v>8937105.7699999996</v>
          </cell>
          <cell r="Y9">
            <v>9968071.7000000011</v>
          </cell>
          <cell r="Z9">
            <v>11166262.710000001</v>
          </cell>
          <cell r="AA9">
            <v>11855269.84</v>
          </cell>
          <cell r="AB9">
            <v>13289303.68</v>
          </cell>
          <cell r="AC9">
            <v>14542492.84</v>
          </cell>
          <cell r="AD9">
            <v>15814571.310000002</v>
          </cell>
          <cell r="AE9">
            <v>0</v>
          </cell>
          <cell r="AF9">
            <v>0</v>
          </cell>
        </row>
        <row r="10">
          <cell r="G10">
            <v>6</v>
          </cell>
          <cell r="H10" t="str">
            <v>YTD Target (Budget)</v>
          </cell>
          <cell r="I10">
            <v>936748.55</v>
          </cell>
          <cell r="J10">
            <v>1899857.1</v>
          </cell>
          <cell r="K10">
            <v>3376257.75</v>
          </cell>
          <cell r="L10">
            <v>4356735.5999999996</v>
          </cell>
          <cell r="M10">
            <v>5364123.3499999996</v>
          </cell>
          <cell r="N10">
            <v>6513449.0999999996</v>
          </cell>
          <cell r="O10">
            <v>7672889.8499999996</v>
          </cell>
          <cell r="P10">
            <v>8692615.5999999996</v>
          </cell>
          <cell r="Q10">
            <v>9885863.1500000004</v>
          </cell>
          <cell r="R10">
            <v>10874930.699999999</v>
          </cell>
          <cell r="S10">
            <v>11864143.449999999</v>
          </cell>
          <cell r="T10">
            <v>12810082</v>
          </cell>
          <cell r="U10">
            <v>5130248.76</v>
          </cell>
          <cell r="V10">
            <v>6540513.5499999998</v>
          </cell>
          <cell r="W10">
            <v>8362267.96</v>
          </cell>
          <cell r="X10">
            <v>9392710.7100000009</v>
          </cell>
          <cell r="Y10">
            <v>10437931.460000001</v>
          </cell>
          <cell r="Z10">
            <v>11460874.09</v>
          </cell>
          <cell r="AA10">
            <v>12535321.550000001</v>
          </cell>
          <cell r="AB10">
            <v>13586416.189999999</v>
          </cell>
          <cell r="AC10">
            <v>14864284.030000001</v>
          </cell>
          <cell r="AD10">
            <v>15902241.18</v>
          </cell>
          <cell r="AE10">
            <v>0</v>
          </cell>
          <cell r="AF10">
            <v>0</v>
          </cell>
        </row>
        <row r="11">
          <cell r="G11">
            <v>3055</v>
          </cell>
          <cell r="H11" t="str">
            <v>Empl_Benefits</v>
          </cell>
          <cell r="I11">
            <v>107215.37</v>
          </cell>
          <cell r="J11">
            <v>105940.65</v>
          </cell>
          <cell r="K11">
            <v>150747.32999999999</v>
          </cell>
          <cell r="L11">
            <v>107911.83999999997</v>
          </cell>
          <cell r="M11">
            <v>107559.27</v>
          </cell>
          <cell r="N11">
            <v>110674.87999999998</v>
          </cell>
          <cell r="O11">
            <v>109737.28999999995</v>
          </cell>
          <cell r="P11">
            <v>110910.91000000002</v>
          </cell>
          <cell r="Q11">
            <v>149687.42000000001</v>
          </cell>
          <cell r="R11">
            <v>108479.54999999999</v>
          </cell>
          <cell r="S11">
            <v>102870.06</v>
          </cell>
          <cell r="T11">
            <v>110789.99</v>
          </cell>
          <cell r="U11">
            <v>105578.34999999998</v>
          </cell>
          <cell r="V11">
            <v>101119.67999999999</v>
          </cell>
          <cell r="W11">
            <v>172055.43999999994</v>
          </cell>
          <cell r="X11">
            <v>123588.38000000002</v>
          </cell>
          <cell r="Y11">
            <v>134310.62</v>
          </cell>
          <cell r="Z11">
            <v>138390.58000000002</v>
          </cell>
          <cell r="AA11">
            <v>135260.58000000002</v>
          </cell>
          <cell r="AB11">
            <v>139958.14000000001</v>
          </cell>
          <cell r="AC11">
            <v>197742.41999999998</v>
          </cell>
          <cell r="AD11">
            <v>136660.25</v>
          </cell>
          <cell r="AE11">
            <v>0</v>
          </cell>
          <cell r="AF11">
            <v>0</v>
          </cell>
        </row>
        <row r="12">
          <cell r="G12">
            <v>3056</v>
          </cell>
          <cell r="H12" t="str">
            <v>Total Personnel</v>
          </cell>
          <cell r="I12">
            <v>356198.9</v>
          </cell>
          <cell r="J12">
            <v>350048.86</v>
          </cell>
          <cell r="K12">
            <v>555016.02</v>
          </cell>
          <cell r="L12">
            <v>412882.42999999993</v>
          </cell>
          <cell r="M12">
            <v>399129.67</v>
          </cell>
          <cell r="N12">
            <v>411635.06999999995</v>
          </cell>
          <cell r="O12">
            <v>388612.51</v>
          </cell>
          <cell r="P12">
            <v>420425.85000000003</v>
          </cell>
          <cell r="Q12">
            <v>561403.63000000012</v>
          </cell>
          <cell r="R12">
            <v>406611.88</v>
          </cell>
          <cell r="S12">
            <v>377264.24000000005</v>
          </cell>
          <cell r="T12">
            <v>386000.67</v>
          </cell>
          <cell r="U12">
            <v>368379.42</v>
          </cell>
          <cell r="V12">
            <v>366832.68</v>
          </cell>
          <cell r="W12">
            <v>618869.8600000001</v>
          </cell>
          <cell r="X12">
            <v>459349.42000000004</v>
          </cell>
          <cell r="Y12">
            <v>505501.9</v>
          </cell>
          <cell r="Z12">
            <v>527597.77</v>
          </cell>
          <cell r="AA12">
            <v>488922.43</v>
          </cell>
          <cell r="AB12">
            <v>530946.98</v>
          </cell>
          <cell r="AC12">
            <v>754968.96</v>
          </cell>
          <cell r="AD12">
            <v>528329.51</v>
          </cell>
          <cell r="AE12">
            <v>0</v>
          </cell>
          <cell r="AF12">
            <v>0</v>
          </cell>
        </row>
        <row r="13">
          <cell r="G13">
            <v>3057</v>
          </cell>
          <cell r="H13" t="str">
            <v>Target Empl_Benefits</v>
          </cell>
          <cell r="I13">
            <v>122276</v>
          </cell>
          <cell r="J13">
            <v>115343</v>
          </cell>
          <cell r="K13">
            <v>155749</v>
          </cell>
          <cell r="L13">
            <v>111351</v>
          </cell>
          <cell r="M13">
            <v>111769</v>
          </cell>
          <cell r="N13">
            <v>111640</v>
          </cell>
          <cell r="O13">
            <v>108521</v>
          </cell>
          <cell r="P13">
            <v>111197</v>
          </cell>
          <cell r="Q13">
            <v>154152</v>
          </cell>
          <cell r="R13">
            <v>111096</v>
          </cell>
          <cell r="S13">
            <v>110190</v>
          </cell>
          <cell r="T13">
            <v>110869</v>
          </cell>
          <cell r="U13">
            <v>142016</v>
          </cell>
          <cell r="V13">
            <v>141276</v>
          </cell>
          <cell r="W13">
            <v>203064</v>
          </cell>
          <cell r="X13">
            <v>142651</v>
          </cell>
          <cell r="Y13">
            <v>144429</v>
          </cell>
          <cell r="Z13">
            <v>143560</v>
          </cell>
          <cell r="AA13">
            <v>143360</v>
          </cell>
          <cell r="AB13">
            <v>143481</v>
          </cell>
          <cell r="AC13">
            <v>203615</v>
          </cell>
          <cell r="AD13">
            <v>142883</v>
          </cell>
          <cell r="AE13">
            <v>0</v>
          </cell>
          <cell r="AF13">
            <v>0</v>
          </cell>
        </row>
        <row r="14">
          <cell r="G14">
            <v>3058</v>
          </cell>
          <cell r="H14" t="str">
            <v>Target Total Personnel</v>
          </cell>
          <cell r="I14">
            <v>409600</v>
          </cell>
          <cell r="J14">
            <v>389829</v>
          </cell>
          <cell r="K14">
            <v>605287</v>
          </cell>
          <cell r="L14">
            <v>407599</v>
          </cell>
          <cell r="M14">
            <v>432701</v>
          </cell>
          <cell r="N14">
            <v>429779</v>
          </cell>
          <cell r="O14">
            <v>392005</v>
          </cell>
          <cell r="P14">
            <v>434351</v>
          </cell>
          <cell r="Q14">
            <v>597154</v>
          </cell>
          <cell r="R14">
            <v>436599</v>
          </cell>
          <cell r="S14">
            <v>421344</v>
          </cell>
          <cell r="T14">
            <v>383483</v>
          </cell>
          <cell r="U14">
            <v>482145</v>
          </cell>
          <cell r="V14">
            <v>476040</v>
          </cell>
          <cell r="W14">
            <v>708799</v>
          </cell>
          <cell r="X14">
            <v>510944</v>
          </cell>
          <cell r="Y14">
            <v>524415</v>
          </cell>
          <cell r="Z14">
            <v>515982</v>
          </cell>
          <cell r="AA14">
            <v>501526</v>
          </cell>
          <cell r="AB14">
            <v>510176</v>
          </cell>
          <cell r="AC14">
            <v>717690</v>
          </cell>
          <cell r="AD14">
            <v>508956</v>
          </cell>
          <cell r="AE14">
            <v>0</v>
          </cell>
          <cell r="AF14">
            <v>0</v>
          </cell>
        </row>
        <row r="15">
          <cell r="G15">
            <v>3059</v>
          </cell>
          <cell r="H15" t="str">
            <v>YTD Empl_Benefits</v>
          </cell>
          <cell r="I15">
            <v>107215.37</v>
          </cell>
          <cell r="J15">
            <v>213156.02000000005</v>
          </cell>
          <cell r="K15">
            <v>363903.35000000009</v>
          </cell>
          <cell r="L15">
            <v>471815.18999999994</v>
          </cell>
          <cell r="M15">
            <v>579374.4600000002</v>
          </cell>
          <cell r="N15">
            <v>690049.33999999985</v>
          </cell>
          <cell r="O15">
            <v>799786.63000000012</v>
          </cell>
          <cell r="P15">
            <v>910697.54000000015</v>
          </cell>
          <cell r="Q15">
            <v>1060384.9599999995</v>
          </cell>
          <cell r="R15">
            <v>1168864.51</v>
          </cell>
          <cell r="S15">
            <v>1271734.5699999996</v>
          </cell>
          <cell r="T15">
            <v>1382524.5599999994</v>
          </cell>
          <cell r="U15">
            <v>105578.34999999998</v>
          </cell>
          <cell r="V15">
            <v>206698.03</v>
          </cell>
          <cell r="W15">
            <v>378753.47</v>
          </cell>
          <cell r="X15">
            <v>502341.85</v>
          </cell>
          <cell r="Y15">
            <v>636652.47</v>
          </cell>
          <cell r="Z15">
            <v>775043.05000000028</v>
          </cell>
          <cell r="AA15">
            <v>910303.63</v>
          </cell>
          <cell r="AB15">
            <v>1050261.7699999998</v>
          </cell>
          <cell r="AC15">
            <v>1248004.1900000004</v>
          </cell>
          <cell r="AD15">
            <v>1384664.4400000002</v>
          </cell>
          <cell r="AE15">
            <v>0</v>
          </cell>
          <cell r="AF15">
            <v>0</v>
          </cell>
        </row>
        <row r="16">
          <cell r="G16">
            <v>3060</v>
          </cell>
          <cell r="H16" t="str">
            <v>YTD Total Personnel</v>
          </cell>
          <cell r="I16">
            <v>356198.9</v>
          </cell>
          <cell r="J16">
            <v>706247.76</v>
          </cell>
          <cell r="K16">
            <v>1261263.7800000003</v>
          </cell>
          <cell r="L16">
            <v>1674146.21</v>
          </cell>
          <cell r="M16">
            <v>2073275.8800000004</v>
          </cell>
          <cell r="N16">
            <v>2484910.9499999997</v>
          </cell>
          <cell r="O16">
            <v>2873523.4600000004</v>
          </cell>
          <cell r="P16">
            <v>3293949.31</v>
          </cell>
          <cell r="Q16">
            <v>3855352.939999999</v>
          </cell>
          <cell r="R16">
            <v>4261964.8199999994</v>
          </cell>
          <cell r="S16">
            <v>4639229.0599999996</v>
          </cell>
          <cell r="T16">
            <v>5025229.7299999995</v>
          </cell>
          <cell r="U16">
            <v>368379.42</v>
          </cell>
          <cell r="V16">
            <v>735212.10000000009</v>
          </cell>
          <cell r="W16">
            <v>1354081.96</v>
          </cell>
          <cell r="X16">
            <v>1813431.38</v>
          </cell>
          <cell r="Y16">
            <v>2318933.2799999998</v>
          </cell>
          <cell r="Z16">
            <v>2846531.0500000003</v>
          </cell>
          <cell r="AA16">
            <v>3335453.4799999995</v>
          </cell>
          <cell r="AB16">
            <v>3866400.46</v>
          </cell>
          <cell r="AC16">
            <v>4621369.4200000009</v>
          </cell>
          <cell r="AD16">
            <v>5149698.9300000006</v>
          </cell>
          <cell r="AE16">
            <v>0</v>
          </cell>
          <cell r="AF16">
            <v>0</v>
          </cell>
        </row>
        <row r="17">
          <cell r="G17">
            <v>3061</v>
          </cell>
          <cell r="H17" t="str">
            <v>YTD Target Empl_Benefits</v>
          </cell>
          <cell r="I17">
            <v>122276</v>
          </cell>
          <cell r="J17">
            <v>229752</v>
          </cell>
          <cell r="K17">
            <v>385501</v>
          </cell>
          <cell r="L17">
            <v>497224</v>
          </cell>
          <cell r="M17">
            <v>608993</v>
          </cell>
          <cell r="N17">
            <v>720633</v>
          </cell>
          <cell r="O17">
            <v>829154</v>
          </cell>
          <cell r="P17">
            <v>940351</v>
          </cell>
          <cell r="Q17">
            <v>1094503</v>
          </cell>
          <cell r="R17">
            <v>1205599</v>
          </cell>
          <cell r="S17">
            <v>1315789</v>
          </cell>
          <cell r="T17">
            <v>1426658</v>
          </cell>
          <cell r="U17">
            <v>142016</v>
          </cell>
          <cell r="V17">
            <v>283292</v>
          </cell>
          <cell r="W17">
            <v>486356</v>
          </cell>
          <cell r="X17">
            <v>629007</v>
          </cell>
          <cell r="Y17">
            <v>773436</v>
          </cell>
          <cell r="Z17">
            <v>916996</v>
          </cell>
          <cell r="AA17">
            <v>1060356</v>
          </cell>
          <cell r="AB17">
            <v>1203837</v>
          </cell>
          <cell r="AC17">
            <v>1407452</v>
          </cell>
          <cell r="AD17">
            <v>1550335</v>
          </cell>
          <cell r="AE17">
            <v>0</v>
          </cell>
          <cell r="AF17">
            <v>0</v>
          </cell>
        </row>
        <row r="18">
          <cell r="G18">
            <v>3062</v>
          </cell>
          <cell r="H18" t="str">
            <v>YTD Target Total Personnel</v>
          </cell>
          <cell r="I18">
            <v>409600</v>
          </cell>
          <cell r="J18">
            <v>772813</v>
          </cell>
          <cell r="K18">
            <v>1378100</v>
          </cell>
          <cell r="L18">
            <v>1787114</v>
          </cell>
          <cell r="M18">
            <v>2219815</v>
          </cell>
          <cell r="N18">
            <v>2649594</v>
          </cell>
          <cell r="O18">
            <v>3041599</v>
          </cell>
          <cell r="P18">
            <v>3475950</v>
          </cell>
          <cell r="Q18">
            <v>4073104</v>
          </cell>
          <cell r="R18">
            <v>4509703</v>
          </cell>
          <cell r="S18">
            <v>4931047</v>
          </cell>
          <cell r="T18">
            <v>5314530</v>
          </cell>
          <cell r="U18">
            <v>482145</v>
          </cell>
          <cell r="V18">
            <v>958185</v>
          </cell>
          <cell r="W18">
            <v>1666984</v>
          </cell>
          <cell r="X18">
            <v>2177928</v>
          </cell>
          <cell r="Y18">
            <v>2702343</v>
          </cell>
          <cell r="Z18">
            <v>3218325</v>
          </cell>
          <cell r="AA18">
            <v>3719851</v>
          </cell>
          <cell r="AB18">
            <v>4230027</v>
          </cell>
          <cell r="AC18">
            <v>4947717</v>
          </cell>
          <cell r="AD18">
            <v>5456673</v>
          </cell>
          <cell r="AE18">
            <v>0</v>
          </cell>
          <cell r="AF18">
            <v>0</v>
          </cell>
        </row>
        <row r="19">
          <cell r="G19">
            <v>14</v>
          </cell>
          <cell r="H19" t="str">
            <v>Actual</v>
          </cell>
          <cell r="I19">
            <v>1815469.7100000046</v>
          </cell>
          <cell r="J19">
            <v>-743883.92999999993</v>
          </cell>
          <cell r="K19">
            <v>5163502.45</v>
          </cell>
          <cell r="L19">
            <v>-919960.48999999976</v>
          </cell>
          <cell r="M19">
            <v>-983056.8600000001</v>
          </cell>
          <cell r="N19">
            <v>-809256.40999999992</v>
          </cell>
          <cell r="O19">
            <v>-870844.72</v>
          </cell>
          <cell r="P19">
            <v>-906405.34000000008</v>
          </cell>
          <cell r="Q19">
            <v>-976018.76000000013</v>
          </cell>
          <cell r="R19">
            <v>-1090931.6499999999</v>
          </cell>
          <cell r="S19">
            <v>-937877.81</v>
          </cell>
          <cell r="T19">
            <v>-1245951.58</v>
          </cell>
          <cell r="U19">
            <v>-47148.079999999609</v>
          </cell>
          <cell r="V19">
            <v>-1446359.0599999998</v>
          </cell>
          <cell r="W19">
            <v>-2172628.4700000007</v>
          </cell>
          <cell r="X19">
            <v>-1188037.8499999999</v>
          </cell>
          <cell r="Y19">
            <v>-1030965.93</v>
          </cell>
          <cell r="Z19">
            <v>-1198191.01</v>
          </cell>
          <cell r="AA19">
            <v>-189007.13</v>
          </cell>
          <cell r="AB19">
            <v>-1434033.8399999999</v>
          </cell>
          <cell r="AC19">
            <v>-1253189.1600000001</v>
          </cell>
          <cell r="AD19">
            <v>-1379015.47</v>
          </cell>
          <cell r="AE19">
            <v>0</v>
          </cell>
          <cell r="AF19">
            <v>0</v>
          </cell>
        </row>
        <row r="20">
          <cell r="G20">
            <v>15</v>
          </cell>
          <cell r="H20" t="str">
            <v>Target (Budget)</v>
          </cell>
          <cell r="I20">
            <v>1761069.0600000045</v>
          </cell>
          <cell r="J20">
            <v>-796223.76</v>
          </cell>
          <cell r="K20">
            <v>5461692.5999999996</v>
          </cell>
          <cell r="L20">
            <v>-829062.85</v>
          </cell>
          <cell r="M20">
            <v>-1007387.75</v>
          </cell>
          <cell r="N20">
            <v>-1104325.75</v>
          </cell>
          <cell r="O20">
            <v>-1159440.75</v>
          </cell>
          <cell r="P20">
            <v>-1019725.75</v>
          </cell>
          <cell r="Q20">
            <v>-1193247.55</v>
          </cell>
          <cell r="R20">
            <v>-989067.55</v>
          </cell>
          <cell r="S20">
            <v>-989212.75</v>
          </cell>
          <cell r="T20">
            <v>-945938.55</v>
          </cell>
          <cell r="U20">
            <v>-1246802.1599999997</v>
          </cell>
          <cell r="V20">
            <v>-1215292</v>
          </cell>
          <cell r="W20">
            <v>-1817241.4900000002</v>
          </cell>
          <cell r="X20">
            <v>-1030442.75</v>
          </cell>
          <cell r="Y20">
            <v>-1035957.75</v>
          </cell>
          <cell r="Z20">
            <v>-1022942.63</v>
          </cell>
          <cell r="AA20">
            <v>-574447.46</v>
          </cell>
          <cell r="AB20">
            <v>-1051094.6400000001</v>
          </cell>
          <cell r="AC20">
            <v>-1277867.8399999999</v>
          </cell>
          <cell r="AD20">
            <v>-1144894.1499999999</v>
          </cell>
          <cell r="AE20">
            <v>0</v>
          </cell>
          <cell r="AF20">
            <v>0</v>
          </cell>
        </row>
        <row r="21">
          <cell r="G21">
            <v>18</v>
          </cell>
          <cell r="H21" t="str">
            <v>YTD Actual</v>
          </cell>
          <cell r="I21">
            <v>1815469.7100000046</v>
          </cell>
          <cell r="J21">
            <v>1071585.7800000045</v>
          </cell>
          <cell r="K21">
            <v>6235088.2300000042</v>
          </cell>
          <cell r="L21">
            <v>5315127.7400000039</v>
          </cell>
          <cell r="M21">
            <v>4332070.8800000027</v>
          </cell>
          <cell r="N21">
            <v>3522814.4700000044</v>
          </cell>
          <cell r="O21">
            <v>2651969.7500000037</v>
          </cell>
          <cell r="P21">
            <v>1745564.4100000039</v>
          </cell>
          <cell r="Q21">
            <v>769545.65000000596</v>
          </cell>
          <cell r="R21">
            <v>-321385.99999999441</v>
          </cell>
          <cell r="S21">
            <v>-1259263.8099999949</v>
          </cell>
          <cell r="T21">
            <v>-2505215.389999995</v>
          </cell>
          <cell r="U21">
            <v>-47148.079999999609</v>
          </cell>
          <cell r="V21">
            <v>-1493507.1400000011</v>
          </cell>
          <cell r="W21">
            <v>-3666135.61</v>
          </cell>
          <cell r="X21">
            <v>-4854173.459999999</v>
          </cell>
          <cell r="Y21">
            <v>-5885139.3900000006</v>
          </cell>
          <cell r="Z21">
            <v>-7083330.4000000004</v>
          </cell>
          <cell r="AA21">
            <v>-7272337.5299999993</v>
          </cell>
          <cell r="AB21">
            <v>-8706371.3699999992</v>
          </cell>
          <cell r="AC21">
            <v>-9959560.5299999993</v>
          </cell>
          <cell r="AD21">
            <v>-11338576.000000002</v>
          </cell>
          <cell r="AE21">
            <v>0</v>
          </cell>
          <cell r="AF21">
            <v>0</v>
          </cell>
        </row>
        <row r="22">
          <cell r="G22">
            <v>19</v>
          </cell>
          <cell r="H22" t="str">
            <v>YTD Target (Budget)</v>
          </cell>
          <cell r="I22">
            <v>1761069.0600000045</v>
          </cell>
          <cell r="J22">
            <v>992933.30000000587</v>
          </cell>
          <cell r="K22">
            <v>6454625.9000000041</v>
          </cell>
          <cell r="L22">
            <v>5624148.0500000045</v>
          </cell>
          <cell r="M22">
            <v>4616760.3000000045</v>
          </cell>
          <cell r="N22">
            <v>3512434.5500000045</v>
          </cell>
          <cell r="O22">
            <v>2352993.8000000045</v>
          </cell>
          <cell r="P22">
            <v>1333268.0500000045</v>
          </cell>
          <cell r="Q22">
            <v>140020.50000000373</v>
          </cell>
          <cell r="R22">
            <v>-849047.04999999516</v>
          </cell>
          <cell r="S22">
            <v>-1838259.7999999952</v>
          </cell>
          <cell r="T22">
            <v>-2784198.3499999959</v>
          </cell>
          <cell r="U22">
            <v>-1246802.1599999997</v>
          </cell>
          <cell r="V22">
            <v>-2462094.1599999997</v>
          </cell>
          <cell r="W22">
            <v>-4279335.6500000004</v>
          </cell>
          <cell r="X22">
            <v>-5309778.4000000004</v>
          </cell>
          <cell r="Y22">
            <v>-6354999.1500000004</v>
          </cell>
          <cell r="Z22">
            <v>-7377941.7799999993</v>
          </cell>
          <cell r="AA22">
            <v>-7952389.2400000002</v>
          </cell>
          <cell r="AB22">
            <v>-9003483.879999999</v>
          </cell>
          <cell r="AC22">
            <v>-10281351.720000001</v>
          </cell>
          <cell r="AD22">
            <v>-11426245.869999999</v>
          </cell>
          <cell r="AE22">
            <v>0</v>
          </cell>
          <cell r="AF22">
            <v>0</v>
          </cell>
        </row>
        <row r="23">
          <cell r="G23">
            <v>27</v>
          </cell>
          <cell r="H23" t="str">
            <v>Actual</v>
          </cell>
          <cell r="I23">
            <v>2344715.4600000046</v>
          </cell>
          <cell r="J23">
            <v>-291190.35999999993</v>
          </cell>
          <cell r="K23">
            <v>6244548.6200000001</v>
          </cell>
          <cell r="L23">
            <v>-585744.10999999975</v>
          </cell>
          <cell r="M23">
            <v>-529834.3600000001</v>
          </cell>
          <cell r="N23">
            <v>-502780.43999999994</v>
          </cell>
          <cell r="O23">
            <v>-547042.31999999995</v>
          </cell>
          <cell r="P23">
            <v>-585300.26000000013</v>
          </cell>
          <cell r="Q23">
            <v>-606538.20000000007</v>
          </cell>
          <cell r="R23">
            <v>-789677.03999999992</v>
          </cell>
          <cell r="S23">
            <v>-626522.77</v>
          </cell>
          <cell r="T23">
            <v>358812.37999999989</v>
          </cell>
          <cell r="U23">
            <v>352485.14000000036</v>
          </cell>
          <cell r="V23">
            <v>-510969.47999999986</v>
          </cell>
          <cell r="W23">
            <v>-574750.56000000087</v>
          </cell>
          <cell r="X23">
            <v>-674843.91999999981</v>
          </cell>
          <cell r="Y23">
            <v>6437469.8300000001</v>
          </cell>
          <cell r="Z23">
            <v>-600956.81000000006</v>
          </cell>
          <cell r="AA23">
            <v>481796.06000000006</v>
          </cell>
          <cell r="AB23">
            <v>-979094.0399999998</v>
          </cell>
          <cell r="AC23">
            <v>-662763.55000000016</v>
          </cell>
          <cell r="AD23">
            <v>-832239.40999999992</v>
          </cell>
          <cell r="AE23">
            <v>0</v>
          </cell>
          <cell r="AF23">
            <v>0</v>
          </cell>
        </row>
        <row r="24">
          <cell r="G24">
            <v>28</v>
          </cell>
          <cell r="H24" t="str">
            <v>Target (Budget)</v>
          </cell>
          <cell r="I24">
            <v>2134040.0600000042</v>
          </cell>
          <cell r="J24">
            <v>-466699.76</v>
          </cell>
          <cell r="K24">
            <v>12600629.6</v>
          </cell>
          <cell r="L24">
            <v>-474898.85</v>
          </cell>
          <cell r="M24">
            <v>-653222.75</v>
          </cell>
          <cell r="N24">
            <v>-750162.75</v>
          </cell>
          <cell r="O24">
            <v>-805279.75</v>
          </cell>
          <cell r="P24">
            <v>-665563.75</v>
          </cell>
          <cell r="Q24">
            <v>-839085.55</v>
          </cell>
          <cell r="R24">
            <v>-634904.55000000005</v>
          </cell>
          <cell r="S24">
            <v>-635050.75</v>
          </cell>
          <cell r="T24">
            <v>1596641.45</v>
          </cell>
          <cell r="U24">
            <v>-378765.39999999967</v>
          </cell>
          <cell r="V24">
            <v>-103324.20999999996</v>
          </cell>
          <cell r="W24">
            <v>-908810.08000000019</v>
          </cell>
          <cell r="X24">
            <v>-531249</v>
          </cell>
          <cell r="Y24">
            <v>-540347</v>
          </cell>
          <cell r="Z24">
            <v>-531759</v>
          </cell>
          <cell r="AA24">
            <v>-57000</v>
          </cell>
          <cell r="AB24">
            <v>-550091.00000000012</v>
          </cell>
          <cell r="AC24">
            <v>-712891.99999999977</v>
          </cell>
          <cell r="AD24">
            <v>-633309.99999999988</v>
          </cell>
          <cell r="AE24">
            <v>0</v>
          </cell>
          <cell r="AF24">
            <v>0</v>
          </cell>
        </row>
        <row r="25">
          <cell r="G25">
            <v>31</v>
          </cell>
          <cell r="H25" t="str">
            <v>YTD Actual</v>
          </cell>
          <cell r="I25">
            <v>2344715.4600000046</v>
          </cell>
          <cell r="J25">
            <v>2053525.1000000045</v>
          </cell>
          <cell r="K25">
            <v>8298073.7200000035</v>
          </cell>
          <cell r="L25">
            <v>7712329.6100000041</v>
          </cell>
          <cell r="M25">
            <v>7182495.2500000028</v>
          </cell>
          <cell r="N25">
            <v>6679714.8100000042</v>
          </cell>
          <cell r="O25">
            <v>6132672.4900000039</v>
          </cell>
          <cell r="P25">
            <v>5547372.2300000042</v>
          </cell>
          <cell r="Q25">
            <v>4940834.0300000058</v>
          </cell>
          <cell r="R25">
            <v>4151156.9900000058</v>
          </cell>
          <cell r="S25">
            <v>3524634.2200000053</v>
          </cell>
          <cell r="T25">
            <v>3883446.6000000052</v>
          </cell>
          <cell r="U25">
            <v>352485.14000000036</v>
          </cell>
          <cell r="V25">
            <v>-158484.34000000107</v>
          </cell>
          <cell r="W25">
            <v>-733234.89999999979</v>
          </cell>
          <cell r="X25">
            <v>-1408078.8199999996</v>
          </cell>
          <cell r="Y25">
            <v>5029391.009999997</v>
          </cell>
          <cell r="Z25">
            <v>4428434.1999999983</v>
          </cell>
          <cell r="AA25">
            <v>4910230.2600000007</v>
          </cell>
          <cell r="AB25">
            <v>3931136.22</v>
          </cell>
          <cell r="AC25">
            <v>3268372.67</v>
          </cell>
          <cell r="AD25">
            <v>2436133.2599999979</v>
          </cell>
          <cell r="AE25">
            <v>0</v>
          </cell>
          <cell r="AF25">
            <v>0</v>
          </cell>
        </row>
        <row r="26">
          <cell r="G26">
            <v>32</v>
          </cell>
          <cell r="H26" t="str">
            <v>YTD Target (Budget)</v>
          </cell>
          <cell r="I26">
            <v>2134040.0600000042</v>
          </cell>
          <cell r="J26">
            <v>1676621.3000000059</v>
          </cell>
          <cell r="K26">
            <v>14277250.900000004</v>
          </cell>
          <cell r="L26">
            <v>13800937.050000004</v>
          </cell>
          <cell r="M26">
            <v>6529477.3000000045</v>
          </cell>
          <cell r="N26">
            <v>5779314.5500000045</v>
          </cell>
          <cell r="O26">
            <v>4974034.8000000045</v>
          </cell>
          <cell r="P26">
            <v>4308471.0500000045</v>
          </cell>
          <cell r="Q26">
            <v>3469385.5000000037</v>
          </cell>
          <cell r="R26">
            <v>2834480.9500000048</v>
          </cell>
          <cell r="S26">
            <v>2199430.2000000048</v>
          </cell>
          <cell r="T26">
            <v>3796071.6500000041</v>
          </cell>
          <cell r="U26">
            <v>-378765.39999999967</v>
          </cell>
          <cell r="V26">
            <v>-482089.60999999964</v>
          </cell>
          <cell r="W26">
            <v>-1390899.6900000004</v>
          </cell>
          <cell r="X26">
            <v>-1944771.6900000004</v>
          </cell>
          <cell r="Y26">
            <v>-2494381.6900000004</v>
          </cell>
          <cell r="Z26">
            <v>-3026140.6899999995</v>
          </cell>
          <cell r="AA26">
            <v>-3083140.6900000004</v>
          </cell>
          <cell r="AB26">
            <v>-3633231.6899999985</v>
          </cell>
          <cell r="AC26">
            <v>-4346123.6900000004</v>
          </cell>
          <cell r="AD26">
            <v>-4979433.6899999995</v>
          </cell>
          <cell r="AE26">
            <v>0</v>
          </cell>
          <cell r="AF26">
            <v>0</v>
          </cell>
        </row>
        <row r="27">
          <cell r="G27">
            <v>3136</v>
          </cell>
          <cell r="H27" t="str">
            <v>Actual</v>
          </cell>
          <cell r="I27">
            <v>1941.4499999999998</v>
          </cell>
          <cell r="J27">
            <v>785.04</v>
          </cell>
          <cell r="K27">
            <v>31646.44</v>
          </cell>
          <cell r="L27">
            <v>26972.37</v>
          </cell>
          <cell r="M27">
            <v>26372.720000000001</v>
          </cell>
          <cell r="N27">
            <v>26022.510000000002</v>
          </cell>
          <cell r="O27">
            <v>7064.7000000000007</v>
          </cell>
          <cell r="P27">
            <v>29297.190000000002</v>
          </cell>
          <cell r="Q27">
            <v>35344.959999999999</v>
          </cell>
          <cell r="R27">
            <v>23238.080000000002</v>
          </cell>
          <cell r="S27">
            <v>12172.88</v>
          </cell>
          <cell r="T27">
            <v>5394.86</v>
          </cell>
          <cell r="U27">
            <v>3586.97</v>
          </cell>
          <cell r="V27">
            <v>5890.91</v>
          </cell>
          <cell r="W27">
            <v>32980.68</v>
          </cell>
          <cell r="X27">
            <v>30416.629999999997</v>
          </cell>
          <cell r="Y27">
            <v>41971.390000000007</v>
          </cell>
          <cell r="Z27">
            <v>45766.66</v>
          </cell>
          <cell r="AA27">
            <v>24543.57</v>
          </cell>
          <cell r="AB27">
            <v>42419.040000000001</v>
          </cell>
          <cell r="AC27">
            <v>59951.189999999995</v>
          </cell>
          <cell r="AD27">
            <v>40020.289999999994</v>
          </cell>
          <cell r="AE27">
            <v>0</v>
          </cell>
          <cell r="AF27">
            <v>0</v>
          </cell>
        </row>
        <row r="28">
          <cell r="G28">
            <v>3137</v>
          </cell>
          <cell r="H28" t="str">
            <v>Target (Budget)</v>
          </cell>
          <cell r="I28">
            <v>6085</v>
          </cell>
          <cell r="J28">
            <v>5019</v>
          </cell>
          <cell r="K28">
            <v>33140</v>
          </cell>
          <cell r="L28">
            <v>13581</v>
          </cell>
          <cell r="M28">
            <v>21244</v>
          </cell>
          <cell r="N28">
            <v>19097</v>
          </cell>
          <cell r="O28">
            <v>5186</v>
          </cell>
          <cell r="P28">
            <v>15904</v>
          </cell>
          <cell r="Q28">
            <v>19348</v>
          </cell>
          <cell r="R28">
            <v>14185</v>
          </cell>
          <cell r="S28">
            <v>12474</v>
          </cell>
          <cell r="T28">
            <v>7995</v>
          </cell>
          <cell r="U28">
            <v>10995</v>
          </cell>
          <cell r="V28">
            <v>7353</v>
          </cell>
          <cell r="W28">
            <v>18367</v>
          </cell>
          <cell r="X28">
            <v>11074</v>
          </cell>
          <cell r="Y28">
            <v>21005</v>
          </cell>
          <cell r="Z28">
            <v>15836</v>
          </cell>
          <cell r="AA28">
            <v>15316</v>
          </cell>
          <cell r="AB28">
            <v>10947</v>
          </cell>
          <cell r="AC28">
            <v>14925</v>
          </cell>
          <cell r="AD28">
            <v>9749</v>
          </cell>
          <cell r="AE28">
            <v>0</v>
          </cell>
          <cell r="AF28">
            <v>0</v>
          </cell>
        </row>
        <row r="29">
          <cell r="G29">
            <v>3140</v>
          </cell>
          <cell r="H29" t="str">
            <v>YTD Actual</v>
          </cell>
          <cell r="I29">
            <v>1941.4499999999998</v>
          </cell>
          <cell r="J29">
            <v>2726.4900000000002</v>
          </cell>
          <cell r="K29">
            <v>34372.93</v>
          </cell>
          <cell r="L29">
            <v>61345.299999999996</v>
          </cell>
          <cell r="M29">
            <v>87718.01999999999</v>
          </cell>
          <cell r="N29">
            <v>113740.53</v>
          </cell>
          <cell r="O29">
            <v>120805.23</v>
          </cell>
          <cell r="P29">
            <v>150102.42000000001</v>
          </cell>
          <cell r="Q29">
            <v>185447.38</v>
          </cell>
          <cell r="R29">
            <v>208685.46000000002</v>
          </cell>
          <cell r="S29">
            <v>220858.34</v>
          </cell>
          <cell r="T29">
            <v>226253.19999999998</v>
          </cell>
          <cell r="U29">
            <v>3586.97</v>
          </cell>
          <cell r="V29">
            <v>9477.8799999999992</v>
          </cell>
          <cell r="W29">
            <v>42458.559999999998</v>
          </cell>
          <cell r="X29">
            <v>72875.19</v>
          </cell>
          <cell r="Y29">
            <v>114846.58</v>
          </cell>
          <cell r="Z29">
            <v>160613.24</v>
          </cell>
          <cell r="AA29">
            <v>185156.81</v>
          </cell>
          <cell r="AB29">
            <v>227575.85</v>
          </cell>
          <cell r="AC29">
            <v>287527.04000000004</v>
          </cell>
          <cell r="AD29">
            <v>327547.33000000007</v>
          </cell>
          <cell r="AE29">
            <v>0</v>
          </cell>
          <cell r="AF29">
            <v>0</v>
          </cell>
        </row>
        <row r="30">
          <cell r="G30">
            <v>3141</v>
          </cell>
          <cell r="H30" t="str">
            <v>YTD Target (Budget)</v>
          </cell>
          <cell r="I30">
            <v>6085</v>
          </cell>
          <cell r="J30">
            <v>9985</v>
          </cell>
          <cell r="K30">
            <v>43125</v>
          </cell>
          <cell r="L30">
            <v>56706</v>
          </cell>
          <cell r="M30">
            <v>77950</v>
          </cell>
          <cell r="N30">
            <v>97047</v>
          </cell>
          <cell r="O30">
            <v>102233</v>
          </cell>
          <cell r="P30">
            <v>118137</v>
          </cell>
          <cell r="Q30">
            <v>137485</v>
          </cell>
          <cell r="R30">
            <v>151670</v>
          </cell>
          <cell r="S30">
            <v>164144</v>
          </cell>
          <cell r="T30">
            <v>172139</v>
          </cell>
          <cell r="U30">
            <v>10995</v>
          </cell>
          <cell r="V30">
            <v>18348</v>
          </cell>
          <cell r="W30">
            <v>36715</v>
          </cell>
          <cell r="X30">
            <v>47789</v>
          </cell>
          <cell r="Y30">
            <v>68794</v>
          </cell>
          <cell r="Z30">
            <v>84630</v>
          </cell>
          <cell r="AA30">
            <v>99946</v>
          </cell>
          <cell r="AB30">
            <v>110893</v>
          </cell>
          <cell r="AC30">
            <v>125818</v>
          </cell>
          <cell r="AD30">
            <v>135567</v>
          </cell>
          <cell r="AE30">
            <v>0</v>
          </cell>
          <cell r="AF30">
            <v>0</v>
          </cell>
        </row>
        <row r="31">
          <cell r="G31">
            <v>198</v>
          </cell>
          <cell r="H31" t="str">
            <v>Actual</v>
          </cell>
          <cell r="I31">
            <v>55316.48000000001</v>
          </cell>
          <cell r="J31">
            <v>56942.229999999996</v>
          </cell>
          <cell r="K31">
            <v>64924.67</v>
          </cell>
          <cell r="L31">
            <v>223390.57</v>
          </cell>
          <cell r="M31">
            <v>51133.919999999998</v>
          </cell>
          <cell r="N31">
            <v>48935.59</v>
          </cell>
          <cell r="O31">
            <v>40277.22</v>
          </cell>
          <cell r="P31">
            <v>49465.49</v>
          </cell>
          <cell r="Q31">
            <v>18412.259999999995</v>
          </cell>
          <cell r="R31">
            <v>50867.159999999989</v>
          </cell>
          <cell r="S31">
            <v>47012.84</v>
          </cell>
          <cell r="T31">
            <v>80202.97</v>
          </cell>
          <cell r="U31">
            <v>51258.280000000006</v>
          </cell>
          <cell r="V31">
            <v>62139.77</v>
          </cell>
          <cell r="W31">
            <v>56694.280000000006</v>
          </cell>
          <cell r="X31">
            <v>221710.02</v>
          </cell>
          <cell r="Y31">
            <v>49874.159999999996</v>
          </cell>
          <cell r="Z31">
            <v>50026.31</v>
          </cell>
          <cell r="AA31">
            <v>49319.78</v>
          </cell>
          <cell r="AB31">
            <v>50160.670000000006</v>
          </cell>
          <cell r="AC31">
            <v>51123.729999999996</v>
          </cell>
          <cell r="AD31">
            <v>50288.7</v>
          </cell>
          <cell r="AE31">
            <v>0</v>
          </cell>
          <cell r="AF31">
            <v>0</v>
          </cell>
        </row>
        <row r="32">
          <cell r="G32">
            <v>199</v>
          </cell>
          <cell r="H32" t="str">
            <v>Target (Budget)</v>
          </cell>
          <cell r="I32">
            <v>82870</v>
          </cell>
          <cell r="J32">
            <v>84942</v>
          </cell>
          <cell r="K32">
            <v>93762</v>
          </cell>
          <cell r="L32">
            <v>85096</v>
          </cell>
          <cell r="M32">
            <v>83436</v>
          </cell>
          <cell r="N32">
            <v>84011</v>
          </cell>
          <cell r="O32">
            <v>83390</v>
          </cell>
          <cell r="P32">
            <v>83426</v>
          </cell>
          <cell r="Q32">
            <v>90238</v>
          </cell>
          <cell r="R32">
            <v>83914</v>
          </cell>
          <cell r="S32">
            <v>85626</v>
          </cell>
          <cell r="T32">
            <v>85379</v>
          </cell>
          <cell r="U32">
            <v>83627</v>
          </cell>
          <cell r="V32">
            <v>52068</v>
          </cell>
          <cell r="W32">
            <v>237360</v>
          </cell>
          <cell r="X32">
            <v>52353</v>
          </cell>
          <cell r="Y32">
            <v>52722</v>
          </cell>
          <cell r="Z32">
            <v>53142</v>
          </cell>
          <cell r="AA32">
            <v>53350</v>
          </cell>
          <cell r="AB32">
            <v>52017</v>
          </cell>
          <cell r="AC32">
            <v>57009</v>
          </cell>
          <cell r="AD32">
            <v>52797</v>
          </cell>
          <cell r="AE32">
            <v>0</v>
          </cell>
          <cell r="AF32">
            <v>0</v>
          </cell>
        </row>
        <row r="33">
          <cell r="G33">
            <v>202</v>
          </cell>
          <cell r="H33" t="str">
            <v>YTD Actual</v>
          </cell>
          <cell r="I33">
            <v>55316.48000000001</v>
          </cell>
          <cell r="J33">
            <v>112258.70999999999</v>
          </cell>
          <cell r="K33">
            <v>177183.38</v>
          </cell>
          <cell r="L33">
            <v>400573.94999999995</v>
          </cell>
          <cell r="M33">
            <v>451707.87</v>
          </cell>
          <cell r="N33">
            <v>500643.46</v>
          </cell>
          <cell r="O33">
            <v>540920.67999999993</v>
          </cell>
          <cell r="P33">
            <v>590386.16999999993</v>
          </cell>
          <cell r="Q33">
            <v>608798.43000000005</v>
          </cell>
          <cell r="R33">
            <v>659665.59</v>
          </cell>
          <cell r="S33">
            <v>706678.43</v>
          </cell>
          <cell r="T33">
            <v>786881.4</v>
          </cell>
          <cell r="U33">
            <v>51258.280000000006</v>
          </cell>
          <cell r="V33">
            <v>113398.05000000002</v>
          </cell>
          <cell r="W33">
            <v>170092.33000000002</v>
          </cell>
          <cell r="X33">
            <v>391802.35</v>
          </cell>
          <cell r="Y33">
            <v>441676.51</v>
          </cell>
          <cell r="Z33">
            <v>491702.82000000007</v>
          </cell>
          <cell r="AA33">
            <v>541022.60000000009</v>
          </cell>
          <cell r="AB33">
            <v>591183.27</v>
          </cell>
          <cell r="AC33">
            <v>642307</v>
          </cell>
          <cell r="AD33">
            <v>692595.7</v>
          </cell>
          <cell r="AE33">
            <v>0</v>
          </cell>
          <cell r="AF33">
            <v>0</v>
          </cell>
        </row>
        <row r="34">
          <cell r="G34">
            <v>203</v>
          </cell>
          <cell r="H34" t="str">
            <v>YTD Target (Budget)</v>
          </cell>
          <cell r="I34">
            <v>82870</v>
          </cell>
          <cell r="J34">
            <v>167812</v>
          </cell>
          <cell r="K34">
            <v>261574</v>
          </cell>
          <cell r="L34">
            <v>346670</v>
          </cell>
          <cell r="M34">
            <v>430106</v>
          </cell>
          <cell r="N34">
            <v>514117</v>
          </cell>
          <cell r="O34">
            <v>597507</v>
          </cell>
          <cell r="P34">
            <v>680933</v>
          </cell>
          <cell r="Q34">
            <v>771171</v>
          </cell>
          <cell r="R34">
            <v>855085</v>
          </cell>
          <cell r="S34">
            <v>940711</v>
          </cell>
          <cell r="T34">
            <v>1026090</v>
          </cell>
          <cell r="U34">
            <v>83627</v>
          </cell>
          <cell r="V34">
            <v>135695</v>
          </cell>
          <cell r="W34">
            <v>373055</v>
          </cell>
          <cell r="X34">
            <v>425408</v>
          </cell>
          <cell r="Y34">
            <v>478130</v>
          </cell>
          <cell r="Z34">
            <v>531272</v>
          </cell>
          <cell r="AA34">
            <v>584622</v>
          </cell>
          <cell r="AB34">
            <v>636639</v>
          </cell>
          <cell r="AC34">
            <v>693648</v>
          </cell>
          <cell r="AD34">
            <v>746445</v>
          </cell>
          <cell r="AE34">
            <v>0</v>
          </cell>
          <cell r="AF34">
            <v>0</v>
          </cell>
        </row>
        <row r="35">
          <cell r="G35">
            <v>3063</v>
          </cell>
          <cell r="H35" t="str">
            <v>Empl_Benefits</v>
          </cell>
          <cell r="I35">
            <v>10822.62</v>
          </cell>
          <cell r="J35">
            <v>10827.53</v>
          </cell>
          <cell r="K35">
            <v>11719.369999999999</v>
          </cell>
          <cell r="L35">
            <v>14498.02</v>
          </cell>
          <cell r="M35">
            <v>11576.599999999999</v>
          </cell>
          <cell r="N35">
            <v>11576.369999999999</v>
          </cell>
          <cell r="O35">
            <v>11576.36</v>
          </cell>
          <cell r="P35">
            <v>11575.789999999999</v>
          </cell>
          <cell r="Q35">
            <v>12708.849999999999</v>
          </cell>
          <cell r="R35">
            <v>11575.989999999998</v>
          </cell>
          <cell r="S35">
            <v>11576.439999999999</v>
          </cell>
          <cell r="T35">
            <v>13281.72</v>
          </cell>
          <cell r="U35">
            <v>13225.58</v>
          </cell>
          <cell r="V35">
            <v>13245.779999999999</v>
          </cell>
          <cell r="W35">
            <v>14232.2</v>
          </cell>
          <cell r="X35">
            <v>7263.24</v>
          </cell>
          <cell r="Y35">
            <v>11651.719999999998</v>
          </cell>
          <cell r="Z35">
            <v>11650.71</v>
          </cell>
          <cell r="AA35">
            <v>11650.89</v>
          </cell>
          <cell r="AB35">
            <v>11651.73</v>
          </cell>
          <cell r="AC35">
            <v>12794.51</v>
          </cell>
          <cell r="AD35">
            <v>11750.35</v>
          </cell>
          <cell r="AE35">
            <v>0</v>
          </cell>
          <cell r="AF35">
            <v>0</v>
          </cell>
        </row>
        <row r="36">
          <cell r="G36">
            <v>3064</v>
          </cell>
          <cell r="H36" t="str">
            <v>Total Personnel</v>
          </cell>
          <cell r="I36">
            <v>38543.310000000005</v>
          </cell>
          <cell r="J36">
            <v>38578.339999999997</v>
          </cell>
          <cell r="K36">
            <v>44646.11</v>
          </cell>
          <cell r="L36">
            <v>52964.430000000008</v>
          </cell>
          <cell r="M36">
            <v>42976.159999999996</v>
          </cell>
          <cell r="N36">
            <v>42937.27</v>
          </cell>
          <cell r="O36">
            <v>42936.4</v>
          </cell>
          <cell r="P36">
            <v>42840.1</v>
          </cell>
          <cell r="Q36">
            <v>46595.929999999993</v>
          </cell>
          <cell r="R36">
            <v>42873.709999999992</v>
          </cell>
          <cell r="S36">
            <v>42949.96</v>
          </cell>
          <cell r="T36">
            <v>49695.96</v>
          </cell>
          <cell r="U36">
            <v>49427.070000000007</v>
          </cell>
          <cell r="V36">
            <v>49571.96</v>
          </cell>
          <cell r="W36">
            <v>52474.850000000006</v>
          </cell>
          <cell r="X36">
            <v>26691.090000000004</v>
          </cell>
          <cell r="Y36">
            <v>43685.7</v>
          </cell>
          <cell r="Z36">
            <v>43514.36</v>
          </cell>
          <cell r="AA36">
            <v>43546.75</v>
          </cell>
          <cell r="AB36">
            <v>43685.3</v>
          </cell>
          <cell r="AC36">
            <v>47310.32</v>
          </cell>
          <cell r="AD36">
            <v>44064.06</v>
          </cell>
          <cell r="AE36">
            <v>0</v>
          </cell>
          <cell r="AF36">
            <v>0</v>
          </cell>
        </row>
        <row r="37">
          <cell r="G37">
            <v>3065</v>
          </cell>
          <cell r="H37" t="str">
            <v>Target Empl_Benefits</v>
          </cell>
          <cell r="I37">
            <v>11901</v>
          </cell>
          <cell r="J37">
            <v>11910</v>
          </cell>
          <cell r="K37">
            <v>13245</v>
          </cell>
          <cell r="L37">
            <v>11635</v>
          </cell>
          <cell r="M37">
            <v>11633</v>
          </cell>
          <cell r="N37">
            <v>11631</v>
          </cell>
          <cell r="O37">
            <v>11628</v>
          </cell>
          <cell r="P37">
            <v>11633</v>
          </cell>
          <cell r="Q37">
            <v>12754</v>
          </cell>
          <cell r="R37">
            <v>11633</v>
          </cell>
          <cell r="S37">
            <v>11659</v>
          </cell>
          <cell r="T37">
            <v>11656</v>
          </cell>
          <cell r="U37">
            <v>11576</v>
          </cell>
          <cell r="V37">
            <v>11576</v>
          </cell>
          <cell r="W37">
            <v>12957</v>
          </cell>
          <cell r="X37">
            <v>11816</v>
          </cell>
          <cell r="Y37">
            <v>11816</v>
          </cell>
          <cell r="Z37">
            <v>11816</v>
          </cell>
          <cell r="AA37">
            <v>11814</v>
          </cell>
          <cell r="AB37">
            <v>11814</v>
          </cell>
          <cell r="AC37">
            <v>12972</v>
          </cell>
          <cell r="AD37">
            <v>11813</v>
          </cell>
          <cell r="AE37">
            <v>0</v>
          </cell>
          <cell r="AF37">
            <v>0</v>
          </cell>
        </row>
        <row r="38">
          <cell r="G38">
            <v>3066</v>
          </cell>
          <cell r="H38" t="str">
            <v>Target Total Personnel</v>
          </cell>
          <cell r="I38">
            <v>42991</v>
          </cell>
          <cell r="J38">
            <v>43053</v>
          </cell>
          <cell r="K38">
            <v>50782</v>
          </cell>
          <cell r="L38">
            <v>43584</v>
          </cell>
          <cell r="M38">
            <v>43574</v>
          </cell>
          <cell r="N38">
            <v>43554</v>
          </cell>
          <cell r="O38">
            <v>43532</v>
          </cell>
          <cell r="P38">
            <v>43571</v>
          </cell>
          <cell r="Q38">
            <v>47385</v>
          </cell>
          <cell r="R38">
            <v>43564</v>
          </cell>
          <cell r="S38">
            <v>43480</v>
          </cell>
          <cell r="T38">
            <v>43461</v>
          </cell>
          <cell r="U38">
            <v>42667</v>
          </cell>
          <cell r="V38">
            <v>42667</v>
          </cell>
          <cell r="W38">
            <v>48716</v>
          </cell>
          <cell r="X38">
            <v>44562</v>
          </cell>
          <cell r="Y38">
            <v>44562</v>
          </cell>
          <cell r="Z38">
            <v>44562</v>
          </cell>
          <cell r="AA38">
            <v>44389</v>
          </cell>
          <cell r="AB38">
            <v>44216</v>
          </cell>
          <cell r="AC38">
            <v>48544</v>
          </cell>
          <cell r="AD38">
            <v>44301</v>
          </cell>
          <cell r="AE38">
            <v>0</v>
          </cell>
          <cell r="AF38">
            <v>0</v>
          </cell>
        </row>
        <row r="39">
          <cell r="G39">
            <v>3067</v>
          </cell>
          <cell r="H39" t="str">
            <v>YTD Empl_Benefits</v>
          </cell>
          <cell r="I39">
            <v>10822.62</v>
          </cell>
          <cell r="J39">
            <v>21650.15</v>
          </cell>
          <cell r="K39">
            <v>33369.520000000004</v>
          </cell>
          <cell r="L39">
            <v>47867.540000000008</v>
          </cell>
          <cell r="M39">
            <v>59444.14</v>
          </cell>
          <cell r="N39">
            <v>71020.509999999995</v>
          </cell>
          <cell r="O39">
            <v>82596.87</v>
          </cell>
          <cell r="P39">
            <v>94172.659999999989</v>
          </cell>
          <cell r="Q39">
            <v>106881.50999999998</v>
          </cell>
          <cell r="R39">
            <v>118457.5</v>
          </cell>
          <cell r="S39">
            <v>130033.93999999999</v>
          </cell>
          <cell r="T39">
            <v>143315.65999999997</v>
          </cell>
          <cell r="U39">
            <v>13225.58</v>
          </cell>
          <cell r="V39">
            <v>26471.360000000001</v>
          </cell>
          <cell r="W39">
            <v>40703.56</v>
          </cell>
          <cell r="X39">
            <v>47966.799999999996</v>
          </cell>
          <cell r="Y39">
            <v>59618.520000000004</v>
          </cell>
          <cell r="Z39">
            <v>71269.23</v>
          </cell>
          <cell r="AA39">
            <v>82920.12000000001</v>
          </cell>
          <cell r="AB39">
            <v>94571.85</v>
          </cell>
          <cell r="AC39">
            <v>107366.36000000002</v>
          </cell>
          <cell r="AD39">
            <v>119116.71</v>
          </cell>
          <cell r="AE39">
            <v>0</v>
          </cell>
          <cell r="AF39">
            <v>0</v>
          </cell>
        </row>
        <row r="40">
          <cell r="G40">
            <v>3068</v>
          </cell>
          <cell r="H40" t="str">
            <v>YTD Total Personnel</v>
          </cell>
          <cell r="I40">
            <v>38543.310000000005</v>
          </cell>
          <cell r="J40">
            <v>77121.649999999994</v>
          </cell>
          <cell r="K40">
            <v>121767.76000000001</v>
          </cell>
          <cell r="L40">
            <v>174732.19</v>
          </cell>
          <cell r="M40">
            <v>217708.34999999998</v>
          </cell>
          <cell r="N40">
            <v>260645.62</v>
          </cell>
          <cell r="O40">
            <v>303582.02</v>
          </cell>
          <cell r="P40">
            <v>346422.12</v>
          </cell>
          <cell r="Q40">
            <v>393018.05000000005</v>
          </cell>
          <cell r="R40">
            <v>435891.76</v>
          </cell>
          <cell r="S40">
            <v>478841.72000000003</v>
          </cell>
          <cell r="T40">
            <v>528537.68000000005</v>
          </cell>
          <cell r="U40">
            <v>49427.070000000007</v>
          </cell>
          <cell r="V40">
            <v>98999.030000000013</v>
          </cell>
          <cell r="W40">
            <v>151473.88</v>
          </cell>
          <cell r="X40">
            <v>178164.97</v>
          </cell>
          <cell r="Y40">
            <v>221850.66999999998</v>
          </cell>
          <cell r="Z40">
            <v>265365.03000000003</v>
          </cell>
          <cell r="AA40">
            <v>308911.78000000003</v>
          </cell>
          <cell r="AB40">
            <v>352597.08</v>
          </cell>
          <cell r="AC40">
            <v>399907.4</v>
          </cell>
          <cell r="AD40">
            <v>443971.46</v>
          </cell>
          <cell r="AE40">
            <v>0</v>
          </cell>
          <cell r="AF40">
            <v>0</v>
          </cell>
        </row>
        <row r="41">
          <cell r="G41">
            <v>3069</v>
          </cell>
          <cell r="H41" t="str">
            <v>YTD Target Empl_Benefits</v>
          </cell>
          <cell r="I41">
            <v>11901</v>
          </cell>
          <cell r="J41">
            <v>23811</v>
          </cell>
          <cell r="K41">
            <v>37056</v>
          </cell>
          <cell r="L41">
            <v>48691</v>
          </cell>
          <cell r="M41">
            <v>60324</v>
          </cell>
          <cell r="N41">
            <v>71955</v>
          </cell>
          <cell r="O41">
            <v>83583</v>
          </cell>
          <cell r="P41">
            <v>95216</v>
          </cell>
          <cell r="Q41">
            <v>107970</v>
          </cell>
          <cell r="R41">
            <v>119603</v>
          </cell>
          <cell r="S41">
            <v>131262</v>
          </cell>
          <cell r="T41">
            <v>142918</v>
          </cell>
          <cell r="U41">
            <v>11576</v>
          </cell>
          <cell r="V41">
            <v>23152</v>
          </cell>
          <cell r="W41">
            <v>36109</v>
          </cell>
          <cell r="X41">
            <v>47925</v>
          </cell>
          <cell r="Y41">
            <v>59741</v>
          </cell>
          <cell r="Z41">
            <v>71557</v>
          </cell>
          <cell r="AA41">
            <v>83371</v>
          </cell>
          <cell r="AB41">
            <v>95185</v>
          </cell>
          <cell r="AC41">
            <v>108157</v>
          </cell>
          <cell r="AD41">
            <v>119970</v>
          </cell>
          <cell r="AE41">
            <v>0</v>
          </cell>
          <cell r="AF41">
            <v>0</v>
          </cell>
        </row>
        <row r="42">
          <cell r="G42">
            <v>3070</v>
          </cell>
          <cell r="H42" t="str">
            <v>YTD Target Total Personnel</v>
          </cell>
          <cell r="I42">
            <v>42991</v>
          </cell>
          <cell r="J42">
            <v>86044</v>
          </cell>
          <cell r="K42">
            <v>136826</v>
          </cell>
          <cell r="L42">
            <v>180410</v>
          </cell>
          <cell r="M42">
            <v>223984</v>
          </cell>
          <cell r="N42">
            <v>267538</v>
          </cell>
          <cell r="O42">
            <v>311070</v>
          </cell>
          <cell r="P42">
            <v>354641</v>
          </cell>
          <cell r="Q42">
            <v>402026</v>
          </cell>
          <cell r="R42">
            <v>445590</v>
          </cell>
          <cell r="S42">
            <v>489070</v>
          </cell>
          <cell r="T42">
            <v>532531</v>
          </cell>
          <cell r="U42">
            <v>42667</v>
          </cell>
          <cell r="V42">
            <v>85334</v>
          </cell>
          <cell r="W42">
            <v>134050</v>
          </cell>
          <cell r="X42">
            <v>178612</v>
          </cell>
          <cell r="Y42">
            <v>223174</v>
          </cell>
          <cell r="Z42">
            <v>267736</v>
          </cell>
          <cell r="AA42">
            <v>312125</v>
          </cell>
          <cell r="AB42">
            <v>356341</v>
          </cell>
          <cell r="AC42">
            <v>404885</v>
          </cell>
          <cell r="AD42">
            <v>449186</v>
          </cell>
          <cell r="AE42">
            <v>0</v>
          </cell>
          <cell r="AF42">
            <v>0</v>
          </cell>
        </row>
        <row r="43">
          <cell r="G43">
            <v>211</v>
          </cell>
          <cell r="H43" t="str">
            <v>Actual</v>
          </cell>
          <cell r="I43">
            <v>295443.59000000102</v>
          </cell>
          <cell r="J43">
            <v>-56942.229999999996</v>
          </cell>
          <cell r="K43">
            <v>-64924.67</v>
          </cell>
          <cell r="L43">
            <v>-73390.570000000007</v>
          </cell>
          <cell r="M43">
            <v>-51133.919999999998</v>
          </cell>
          <cell r="N43">
            <v>-48935.59</v>
          </cell>
          <cell r="O43">
            <v>-40277.22</v>
          </cell>
          <cell r="P43">
            <v>-49465.49</v>
          </cell>
          <cell r="Q43">
            <v>-18412.259999999995</v>
          </cell>
          <cell r="R43">
            <v>-50867.159999999989</v>
          </cell>
          <cell r="S43">
            <v>-47012.84</v>
          </cell>
          <cell r="T43">
            <v>-80202.97</v>
          </cell>
          <cell r="U43">
            <v>-51258.150000000933</v>
          </cell>
          <cell r="V43">
            <v>-62139.77</v>
          </cell>
          <cell r="W43">
            <v>-56694.280000000006</v>
          </cell>
          <cell r="X43">
            <v>-221710.02</v>
          </cell>
          <cell r="Y43">
            <v>-49874.159999999996</v>
          </cell>
          <cell r="Z43">
            <v>-50026.31</v>
          </cell>
          <cell r="AA43">
            <v>-49319.78</v>
          </cell>
          <cell r="AB43">
            <v>-50160.670000000006</v>
          </cell>
          <cell r="AC43">
            <v>-51123.729999999996</v>
          </cell>
          <cell r="AD43">
            <v>-50288.7</v>
          </cell>
          <cell r="AE43">
            <v>0</v>
          </cell>
          <cell r="AF43">
            <v>0</v>
          </cell>
        </row>
        <row r="44">
          <cell r="G44">
            <v>212</v>
          </cell>
          <cell r="H44" t="str">
            <v>Target (Budget)</v>
          </cell>
          <cell r="I44">
            <v>267890.070000001</v>
          </cell>
          <cell r="J44">
            <v>-84942</v>
          </cell>
          <cell r="K44">
            <v>-93762</v>
          </cell>
          <cell r="L44">
            <v>64904</v>
          </cell>
          <cell r="M44">
            <v>-83436</v>
          </cell>
          <cell r="N44">
            <v>-84011</v>
          </cell>
          <cell r="O44">
            <v>-83390</v>
          </cell>
          <cell r="P44">
            <v>-83426</v>
          </cell>
          <cell r="Q44">
            <v>-90238</v>
          </cell>
          <cell r="R44">
            <v>-83914</v>
          </cell>
          <cell r="S44">
            <v>-85626</v>
          </cell>
          <cell r="T44">
            <v>-85379</v>
          </cell>
          <cell r="U44">
            <v>-83626.870000000927</v>
          </cell>
          <cell r="V44">
            <v>-52068</v>
          </cell>
          <cell r="W44">
            <v>-237360</v>
          </cell>
          <cell r="X44">
            <v>-52353</v>
          </cell>
          <cell r="Y44">
            <v>-52722</v>
          </cell>
          <cell r="Z44">
            <v>-53142</v>
          </cell>
          <cell r="AA44">
            <v>-53350</v>
          </cell>
          <cell r="AB44">
            <v>-52017</v>
          </cell>
          <cell r="AC44">
            <v>-57009</v>
          </cell>
          <cell r="AD44">
            <v>-52797</v>
          </cell>
          <cell r="AE44">
            <v>0</v>
          </cell>
          <cell r="AF44">
            <v>0</v>
          </cell>
        </row>
        <row r="45">
          <cell r="G45">
            <v>215</v>
          </cell>
          <cell r="H45" t="str">
            <v>YTD Actual</v>
          </cell>
          <cell r="I45">
            <v>295443.59000000102</v>
          </cell>
          <cell r="J45">
            <v>238501.360000001</v>
          </cell>
          <cell r="K45">
            <v>173576.69000000099</v>
          </cell>
          <cell r="L45">
            <v>100186.12000000104</v>
          </cell>
          <cell r="M45">
            <v>49052.200000001001</v>
          </cell>
          <cell r="N45">
            <v>116.61000000097556</v>
          </cell>
          <cell r="O45">
            <v>-40160.609999998938</v>
          </cell>
          <cell r="P45">
            <v>-89626.099999998929</v>
          </cell>
          <cell r="Q45">
            <v>-108038.35999999905</v>
          </cell>
          <cell r="R45">
            <v>-158905.51999999897</v>
          </cell>
          <cell r="S45">
            <v>-205918.35999999905</v>
          </cell>
          <cell r="T45">
            <v>-286121.32999999908</v>
          </cell>
          <cell r="U45">
            <v>-51258.150000000933</v>
          </cell>
          <cell r="V45">
            <v>-113397.92000000094</v>
          </cell>
          <cell r="W45">
            <v>-170092.20000000094</v>
          </cell>
          <cell r="X45">
            <v>-391802.2200000009</v>
          </cell>
          <cell r="Y45">
            <v>-441676.38000000094</v>
          </cell>
          <cell r="Z45">
            <v>-491702.69000000099</v>
          </cell>
          <cell r="AA45">
            <v>-541022.47000000102</v>
          </cell>
          <cell r="AB45">
            <v>-591183.14000000095</v>
          </cell>
          <cell r="AC45">
            <v>-642306.87000000093</v>
          </cell>
          <cell r="AD45">
            <v>-692595.57000000088</v>
          </cell>
          <cell r="AE45">
            <v>0</v>
          </cell>
          <cell r="AF45">
            <v>0</v>
          </cell>
        </row>
        <row r="46">
          <cell r="G46">
            <v>216</v>
          </cell>
          <cell r="H46" t="str">
            <v>YTD Target (Budget)</v>
          </cell>
          <cell r="I46">
            <v>267890.070000001</v>
          </cell>
          <cell r="J46">
            <v>182948.070000001</v>
          </cell>
          <cell r="K46">
            <v>89186.070000000997</v>
          </cell>
          <cell r="L46">
            <v>154090.070000001</v>
          </cell>
          <cell r="M46">
            <v>70654.070000000997</v>
          </cell>
          <cell r="N46">
            <v>-13356.929999999003</v>
          </cell>
          <cell r="O46">
            <v>-96746.929999999003</v>
          </cell>
          <cell r="P46">
            <v>-180172.929999999</v>
          </cell>
          <cell r="Q46">
            <v>-270410.929999999</v>
          </cell>
          <cell r="R46">
            <v>-354324.929999999</v>
          </cell>
          <cell r="S46">
            <v>-439950.929999999</v>
          </cell>
          <cell r="T46">
            <v>-525329.929999999</v>
          </cell>
          <cell r="U46">
            <v>-83626.870000000927</v>
          </cell>
          <cell r="V46">
            <v>-135694.87000000093</v>
          </cell>
          <cell r="W46">
            <v>-373054.87000000093</v>
          </cell>
          <cell r="X46">
            <v>-425407.87000000093</v>
          </cell>
          <cell r="Y46">
            <v>-478129.87000000093</v>
          </cell>
          <cell r="Z46">
            <v>-531271.87000000093</v>
          </cell>
          <cell r="AA46">
            <v>-584621.87000000093</v>
          </cell>
          <cell r="AB46">
            <v>-636638.87000000093</v>
          </cell>
          <cell r="AC46">
            <v>-693647.87000000093</v>
          </cell>
          <cell r="AD46">
            <v>-746444.87000000093</v>
          </cell>
          <cell r="AE46">
            <v>0</v>
          </cell>
          <cell r="AF46">
            <v>0</v>
          </cell>
        </row>
        <row r="47">
          <cell r="G47">
            <v>224</v>
          </cell>
          <cell r="H47" t="str">
            <v>Actual</v>
          </cell>
          <cell r="I47">
            <v>176529.59000000102</v>
          </cell>
          <cell r="J47">
            <v>-128816.23</v>
          </cell>
          <cell r="K47">
            <v>-146121.21000000002</v>
          </cell>
          <cell r="L47">
            <v>-109314.57</v>
          </cell>
          <cell r="M47">
            <v>-123007.92</v>
          </cell>
          <cell r="N47">
            <v>-120809.59</v>
          </cell>
          <cell r="O47">
            <v>-112151.22</v>
          </cell>
          <cell r="P47">
            <v>-121259.48999999999</v>
          </cell>
          <cell r="Q47">
            <v>-90286.26</v>
          </cell>
          <cell r="R47">
            <v>-122741.15999999999</v>
          </cell>
          <cell r="S47">
            <v>-118886.84</v>
          </cell>
          <cell r="T47">
            <v>1016865.03</v>
          </cell>
          <cell r="U47">
            <v>-117028.15000000093</v>
          </cell>
          <cell r="V47">
            <v>360512.85</v>
          </cell>
          <cell r="W47">
            <v>-122464.28</v>
          </cell>
          <cell r="X47">
            <v>-401047.12</v>
          </cell>
          <cell r="Y47">
            <v>-115644.16</v>
          </cell>
          <cell r="Z47">
            <v>-115796.31</v>
          </cell>
          <cell r="AA47">
            <v>-49271.79</v>
          </cell>
          <cell r="AB47">
            <v>-181700.67</v>
          </cell>
          <cell r="AC47">
            <v>-116893.73</v>
          </cell>
          <cell r="AD47">
            <v>-116058.7</v>
          </cell>
          <cell r="AE47">
            <v>0</v>
          </cell>
          <cell r="AF47">
            <v>0</v>
          </cell>
        </row>
        <row r="48">
          <cell r="G48">
            <v>225</v>
          </cell>
          <cell r="H48" t="str">
            <v>Target (Budget)</v>
          </cell>
          <cell r="I48">
            <v>196049.070000001</v>
          </cell>
          <cell r="J48">
            <v>-156783</v>
          </cell>
          <cell r="K48">
            <v>-165603</v>
          </cell>
          <cell r="L48">
            <v>-6937</v>
          </cell>
          <cell r="M48">
            <v>-155277</v>
          </cell>
          <cell r="N48">
            <v>-155852</v>
          </cell>
          <cell r="O48">
            <v>-155232</v>
          </cell>
          <cell r="P48">
            <v>-155268</v>
          </cell>
          <cell r="Q48">
            <v>-162080</v>
          </cell>
          <cell r="R48">
            <v>-155756</v>
          </cell>
          <cell r="S48">
            <v>-157468</v>
          </cell>
          <cell r="T48">
            <v>1730967</v>
          </cell>
          <cell r="U48">
            <v>-149782.87000000093</v>
          </cell>
          <cell r="V48">
            <v>-118224</v>
          </cell>
          <cell r="W48">
            <v>-303516</v>
          </cell>
          <cell r="X48">
            <v>-118509</v>
          </cell>
          <cell r="Y48">
            <v>-118878</v>
          </cell>
          <cell r="Z48">
            <v>-119298</v>
          </cell>
          <cell r="AA48">
            <v>-119506</v>
          </cell>
          <cell r="AB48">
            <v>-118173</v>
          </cell>
          <cell r="AC48">
            <v>-123165</v>
          </cell>
          <cell r="AD48">
            <v>-118952</v>
          </cell>
          <cell r="AE48">
            <v>0</v>
          </cell>
          <cell r="AF48">
            <v>0</v>
          </cell>
        </row>
        <row r="49">
          <cell r="G49">
            <v>228</v>
          </cell>
          <cell r="H49" t="str">
            <v>YTD Actual</v>
          </cell>
          <cell r="I49">
            <v>176529.59000000102</v>
          </cell>
          <cell r="J49">
            <v>47713.360000001005</v>
          </cell>
          <cell r="K49">
            <v>-98407.849999999016</v>
          </cell>
          <cell r="L49">
            <v>-207722.41999999897</v>
          </cell>
          <cell r="M49">
            <v>-330730.33999999898</v>
          </cell>
          <cell r="N49">
            <v>-451539.929999999</v>
          </cell>
          <cell r="O49">
            <v>-563691.14999999898</v>
          </cell>
          <cell r="P49">
            <v>-684950.63999999897</v>
          </cell>
          <cell r="Q49">
            <v>-775236.89999999909</v>
          </cell>
          <cell r="R49">
            <v>-897978.05999999901</v>
          </cell>
          <cell r="S49">
            <v>-1016864.8999999991</v>
          </cell>
          <cell r="T49">
            <v>0.13000000081956387</v>
          </cell>
          <cell r="U49">
            <v>-117028.15000000093</v>
          </cell>
          <cell r="V49">
            <v>243484.69999999905</v>
          </cell>
          <cell r="W49">
            <v>121020.41999999905</v>
          </cell>
          <cell r="X49">
            <v>-280026.70000000088</v>
          </cell>
          <cell r="Y49">
            <v>-395670.86000000092</v>
          </cell>
          <cell r="Z49">
            <v>-511467.17000000097</v>
          </cell>
          <cell r="AA49">
            <v>-560738.96000000101</v>
          </cell>
          <cell r="AB49">
            <v>-742439.63000000082</v>
          </cell>
          <cell r="AC49">
            <v>-859333.3600000008</v>
          </cell>
          <cell r="AD49">
            <v>-975392.06000000099</v>
          </cell>
          <cell r="AE49">
            <v>0</v>
          </cell>
          <cell r="AF49">
            <v>0</v>
          </cell>
        </row>
        <row r="50">
          <cell r="G50">
            <v>229</v>
          </cell>
          <cell r="H50" t="str">
            <v>YTD Target (Budget)</v>
          </cell>
          <cell r="I50">
            <v>196049.070000001</v>
          </cell>
          <cell r="J50">
            <v>39266.070000000997</v>
          </cell>
          <cell r="K50">
            <v>-126336.929999999</v>
          </cell>
          <cell r="L50">
            <v>-133273.929999999</v>
          </cell>
          <cell r="M50">
            <v>-288550.929999999</v>
          </cell>
          <cell r="N50">
            <v>-444402.929999999</v>
          </cell>
          <cell r="O50">
            <v>-599634.929999999</v>
          </cell>
          <cell r="P50">
            <v>-754902.929999999</v>
          </cell>
          <cell r="Q50">
            <v>-916982.929999999</v>
          </cell>
          <cell r="R50">
            <v>-1072738.929999999</v>
          </cell>
          <cell r="S50">
            <v>-1230206.929999999</v>
          </cell>
          <cell r="T50">
            <v>500760.070000001</v>
          </cell>
          <cell r="U50">
            <v>-149782.87000000093</v>
          </cell>
          <cell r="V50">
            <v>-268006.87000000093</v>
          </cell>
          <cell r="W50">
            <v>-571522.87000000093</v>
          </cell>
          <cell r="X50">
            <v>-690031.87000000093</v>
          </cell>
          <cell r="Y50">
            <v>-808909.87000000093</v>
          </cell>
          <cell r="Z50">
            <v>-928207.87000000093</v>
          </cell>
          <cell r="AA50">
            <v>-1047713.8700000009</v>
          </cell>
          <cell r="AB50">
            <v>-1165886.870000001</v>
          </cell>
          <cell r="AC50">
            <v>-1289051.870000001</v>
          </cell>
          <cell r="AD50">
            <v>-1408003.870000001</v>
          </cell>
          <cell r="AE50">
            <v>0</v>
          </cell>
          <cell r="AF50">
            <v>0</v>
          </cell>
        </row>
        <row r="51">
          <cell r="G51">
            <v>332</v>
          </cell>
          <cell r="H51" t="str">
            <v>Actual</v>
          </cell>
          <cell r="I51">
            <v>337118.45</v>
          </cell>
          <cell r="J51">
            <v>364416.04000000004</v>
          </cell>
          <cell r="K51">
            <v>499466.76</v>
          </cell>
          <cell r="L51">
            <v>433803.98</v>
          </cell>
          <cell r="M51">
            <v>408160.22000000003</v>
          </cell>
          <cell r="N51">
            <v>413436.3</v>
          </cell>
          <cell r="O51">
            <v>429004.18999999994</v>
          </cell>
          <cell r="P51">
            <v>403744.57999999996</v>
          </cell>
          <cell r="Q51">
            <v>528720.56000000006</v>
          </cell>
          <cell r="R51">
            <v>631847.92999999993</v>
          </cell>
          <cell r="S51">
            <v>447107.74000000005</v>
          </cell>
          <cell r="T51">
            <v>823817.39999999991</v>
          </cell>
          <cell r="U51">
            <v>3374699.69</v>
          </cell>
          <cell r="V51">
            <v>850662.65000000014</v>
          </cell>
          <cell r="W51">
            <v>659638.28</v>
          </cell>
          <cell r="X51">
            <v>522781.72000000003</v>
          </cell>
          <cell r="Y51">
            <v>527594.46</v>
          </cell>
          <cell r="Z51">
            <v>700285.13000000012</v>
          </cell>
          <cell r="AA51">
            <v>397007.54000000004</v>
          </cell>
          <cell r="AB51">
            <v>800380.87999999989</v>
          </cell>
          <cell r="AC51">
            <v>709946.85999999987</v>
          </cell>
          <cell r="AD51">
            <v>579234.55000000005</v>
          </cell>
          <cell r="AE51">
            <v>0</v>
          </cell>
          <cell r="AF51">
            <v>0</v>
          </cell>
        </row>
        <row r="52">
          <cell r="G52">
            <v>333</v>
          </cell>
          <cell r="H52" t="str">
            <v>Target (Budget)</v>
          </cell>
          <cell r="I52">
            <v>368763</v>
          </cell>
          <cell r="J52">
            <v>376351</v>
          </cell>
          <cell r="K52">
            <v>871462</v>
          </cell>
          <cell r="L52">
            <v>422654</v>
          </cell>
          <cell r="M52">
            <v>480080</v>
          </cell>
          <cell r="N52">
            <v>422773</v>
          </cell>
          <cell r="O52">
            <v>622009</v>
          </cell>
          <cell r="P52">
            <v>480608</v>
          </cell>
          <cell r="Q52">
            <v>563202</v>
          </cell>
          <cell r="R52">
            <v>448941</v>
          </cell>
          <cell r="S52">
            <v>420289</v>
          </cell>
          <cell r="T52">
            <v>377018</v>
          </cell>
          <cell r="U52">
            <v>3983273</v>
          </cell>
          <cell r="V52">
            <v>530420</v>
          </cell>
          <cell r="W52">
            <v>703446</v>
          </cell>
          <cell r="X52">
            <v>555407</v>
          </cell>
          <cell r="Y52">
            <v>569524</v>
          </cell>
          <cell r="Z52">
            <v>562877</v>
          </cell>
          <cell r="AA52">
            <v>587927</v>
          </cell>
          <cell r="AB52">
            <v>555135</v>
          </cell>
          <cell r="AC52">
            <v>711062</v>
          </cell>
          <cell r="AD52">
            <v>555034</v>
          </cell>
          <cell r="AE52">
            <v>0</v>
          </cell>
          <cell r="AF52">
            <v>0</v>
          </cell>
        </row>
        <row r="53">
          <cell r="G53">
            <v>336</v>
          </cell>
          <cell r="H53" t="str">
            <v>YTD Actual</v>
          </cell>
          <cell r="I53">
            <v>337118.45</v>
          </cell>
          <cell r="J53">
            <v>701534.49000000011</v>
          </cell>
          <cell r="K53">
            <v>1201001.2499999998</v>
          </cell>
          <cell r="L53">
            <v>1634805.23</v>
          </cell>
          <cell r="M53">
            <v>2042965.4500000002</v>
          </cell>
          <cell r="N53">
            <v>2456401.75</v>
          </cell>
          <cell r="O53">
            <v>2885405.94</v>
          </cell>
          <cell r="P53">
            <v>3289150.52</v>
          </cell>
          <cell r="Q53">
            <v>3817871.08</v>
          </cell>
          <cell r="R53">
            <v>4449719.01</v>
          </cell>
          <cell r="S53">
            <v>4896826.75</v>
          </cell>
          <cell r="T53">
            <v>5720644.1499999994</v>
          </cell>
          <cell r="U53">
            <v>3374699.69</v>
          </cell>
          <cell r="V53">
            <v>4225362.34</v>
          </cell>
          <cell r="W53">
            <v>4885000.62</v>
          </cell>
          <cell r="X53">
            <v>5407782.3399999999</v>
          </cell>
          <cell r="Y53">
            <v>5935376.7999999998</v>
          </cell>
          <cell r="Z53">
            <v>6635661.9299999997</v>
          </cell>
          <cell r="AA53">
            <v>7032669.4700000007</v>
          </cell>
          <cell r="AB53">
            <v>7833050.3499999996</v>
          </cell>
          <cell r="AC53">
            <v>8542997.2100000009</v>
          </cell>
          <cell r="AD53">
            <v>9122231.7599999979</v>
          </cell>
          <cell r="AE53">
            <v>0</v>
          </cell>
          <cell r="AF53">
            <v>0</v>
          </cell>
        </row>
        <row r="54">
          <cell r="G54">
            <v>337</v>
          </cell>
          <cell r="H54" t="str">
            <v>YTD Target (Budget)</v>
          </cell>
          <cell r="I54">
            <v>368763</v>
          </cell>
          <cell r="J54">
            <v>745114</v>
          </cell>
          <cell r="K54">
            <v>1616576</v>
          </cell>
          <cell r="L54">
            <v>2039230</v>
          </cell>
          <cell r="M54">
            <v>2519310</v>
          </cell>
          <cell r="N54">
            <v>2942083</v>
          </cell>
          <cell r="O54">
            <v>3564092</v>
          </cell>
          <cell r="P54">
            <v>4044700</v>
          </cell>
          <cell r="Q54">
            <v>4607902</v>
          </cell>
          <cell r="R54">
            <v>5056843</v>
          </cell>
          <cell r="S54">
            <v>5477132</v>
          </cell>
          <cell r="T54">
            <v>5854150</v>
          </cell>
          <cell r="U54">
            <v>3983273</v>
          </cell>
          <cell r="V54">
            <v>4513693</v>
          </cell>
          <cell r="W54">
            <v>5217139</v>
          </cell>
          <cell r="X54">
            <v>5772546</v>
          </cell>
          <cell r="Y54">
            <v>6342070</v>
          </cell>
          <cell r="Z54">
            <v>6904947</v>
          </cell>
          <cell r="AA54">
            <v>7492874</v>
          </cell>
          <cell r="AB54">
            <v>8048009</v>
          </cell>
          <cell r="AC54">
            <v>8759071</v>
          </cell>
          <cell r="AD54">
            <v>9314105</v>
          </cell>
          <cell r="AE54">
            <v>0</v>
          </cell>
          <cell r="AF54">
            <v>0</v>
          </cell>
        </row>
        <row r="55">
          <cell r="G55">
            <v>3071</v>
          </cell>
          <cell r="H55" t="str">
            <v>Empl_Benefits</v>
          </cell>
          <cell r="I55">
            <v>58107.380000000005</v>
          </cell>
          <cell r="J55">
            <v>57328.62999999999</v>
          </cell>
          <cell r="K55">
            <v>90347.940000000017</v>
          </cell>
          <cell r="L55">
            <v>65473.840000000004</v>
          </cell>
          <cell r="M55">
            <v>64226.450000000019</v>
          </cell>
          <cell r="N55">
            <v>66487.399999999994</v>
          </cell>
          <cell r="O55">
            <v>65329.5</v>
          </cell>
          <cell r="P55">
            <v>66989.560000000012</v>
          </cell>
          <cell r="Q55">
            <v>92368.03</v>
          </cell>
          <cell r="R55">
            <v>65863.66</v>
          </cell>
          <cell r="S55">
            <v>60783.26</v>
          </cell>
          <cell r="T55">
            <v>66152.22</v>
          </cell>
          <cell r="U55">
            <v>60877.21</v>
          </cell>
          <cell r="V55">
            <v>56189.94</v>
          </cell>
          <cell r="W55">
            <v>111959.37</v>
          </cell>
          <cell r="X55">
            <v>83928.43</v>
          </cell>
          <cell r="Y55">
            <v>89896.030000000013</v>
          </cell>
          <cell r="Z55">
            <v>93239.16</v>
          </cell>
          <cell r="AA55">
            <v>90680.510000000009</v>
          </cell>
          <cell r="AB55">
            <v>94110.58</v>
          </cell>
          <cell r="AC55">
            <v>136545.4</v>
          </cell>
          <cell r="AD55">
            <v>90922.510000000009</v>
          </cell>
          <cell r="AE55">
            <v>0</v>
          </cell>
          <cell r="AF55">
            <v>0</v>
          </cell>
        </row>
        <row r="56">
          <cell r="G56">
            <v>3072</v>
          </cell>
          <cell r="H56" t="str">
            <v>Total Personnel</v>
          </cell>
          <cell r="I56">
            <v>195049.59000000003</v>
          </cell>
          <cell r="J56">
            <v>191406.33000000002</v>
          </cell>
          <cell r="K56">
            <v>346140.62</v>
          </cell>
          <cell r="L56">
            <v>262968.69</v>
          </cell>
          <cell r="M56">
            <v>258194.83000000002</v>
          </cell>
          <cell r="N56">
            <v>262535.21999999997</v>
          </cell>
          <cell r="O56">
            <v>239329.73999999996</v>
          </cell>
          <cell r="P56">
            <v>270193.12</v>
          </cell>
          <cell r="Q56">
            <v>365860.05000000005</v>
          </cell>
          <cell r="R56">
            <v>260150.57</v>
          </cell>
          <cell r="S56">
            <v>234084.17000000004</v>
          </cell>
          <cell r="T56">
            <v>235071.08000000002</v>
          </cell>
          <cell r="U56">
            <v>216365.83</v>
          </cell>
          <cell r="V56">
            <v>214012.23000000004</v>
          </cell>
          <cell r="W56">
            <v>411291.30000000005</v>
          </cell>
          <cell r="X56">
            <v>322499.41000000003</v>
          </cell>
          <cell r="Y56">
            <v>350554.82</v>
          </cell>
          <cell r="Z56">
            <v>367737.19000000006</v>
          </cell>
          <cell r="AA56">
            <v>335217.92000000004</v>
          </cell>
          <cell r="AB56">
            <v>371306.54</v>
          </cell>
          <cell r="AC56">
            <v>546887.39999999991</v>
          </cell>
          <cell r="AD56">
            <v>369315.26</v>
          </cell>
          <cell r="AE56">
            <v>0</v>
          </cell>
          <cell r="AF56">
            <v>0</v>
          </cell>
        </row>
        <row r="57">
          <cell r="G57">
            <v>3073</v>
          </cell>
          <cell r="H57" t="str">
            <v>Target Empl_Benefits</v>
          </cell>
          <cell r="I57">
            <v>66570</v>
          </cell>
          <cell r="J57">
            <v>67086</v>
          </cell>
          <cell r="K57">
            <v>95190</v>
          </cell>
          <cell r="L57">
            <v>65179</v>
          </cell>
          <cell r="M57">
            <v>65463</v>
          </cell>
          <cell r="N57">
            <v>65459</v>
          </cell>
          <cell r="O57">
            <v>62643</v>
          </cell>
          <cell r="P57">
            <v>65086</v>
          </cell>
          <cell r="Q57">
            <v>93697</v>
          </cell>
          <cell r="R57">
            <v>65018</v>
          </cell>
          <cell r="S57">
            <v>64062</v>
          </cell>
          <cell r="T57">
            <v>64492</v>
          </cell>
          <cell r="U57">
            <v>95936</v>
          </cell>
          <cell r="V57">
            <v>95210</v>
          </cell>
          <cell r="W57">
            <v>140239</v>
          </cell>
          <cell r="X57">
            <v>95266</v>
          </cell>
          <cell r="Y57">
            <v>97154</v>
          </cell>
          <cell r="Z57">
            <v>96543</v>
          </cell>
          <cell r="AA57">
            <v>96451</v>
          </cell>
          <cell r="AB57">
            <v>96128</v>
          </cell>
          <cell r="AC57">
            <v>140558</v>
          </cell>
          <cell r="AD57">
            <v>95715</v>
          </cell>
          <cell r="AE57">
            <v>0</v>
          </cell>
          <cell r="AF57">
            <v>0</v>
          </cell>
        </row>
        <row r="58">
          <cell r="G58">
            <v>3074</v>
          </cell>
          <cell r="H58" t="str">
            <v>Target Total Personnel</v>
          </cell>
          <cell r="I58">
            <v>223770</v>
          </cell>
          <cell r="J58">
            <v>227608</v>
          </cell>
          <cell r="K58">
            <v>397334</v>
          </cell>
          <cell r="L58">
            <v>248490</v>
          </cell>
          <cell r="M58">
            <v>272030</v>
          </cell>
          <cell r="N58">
            <v>270140</v>
          </cell>
          <cell r="O58">
            <v>234711</v>
          </cell>
          <cell r="P58">
            <v>275051</v>
          </cell>
          <cell r="Q58">
            <v>391137</v>
          </cell>
          <cell r="R58">
            <v>277385</v>
          </cell>
          <cell r="S58">
            <v>262118</v>
          </cell>
          <cell r="T58">
            <v>224080</v>
          </cell>
          <cell r="U58">
            <v>323059</v>
          </cell>
          <cell r="V58">
            <v>317854</v>
          </cell>
          <cell r="W58">
            <v>492767</v>
          </cell>
          <cell r="X58">
            <v>344412</v>
          </cell>
          <cell r="Y58">
            <v>359450</v>
          </cell>
          <cell r="Z58">
            <v>352819</v>
          </cell>
          <cell r="AA58">
            <v>338635</v>
          </cell>
          <cell r="AB58">
            <v>345157</v>
          </cell>
          <cell r="AC58">
            <v>501071</v>
          </cell>
          <cell r="AD58">
            <v>344249</v>
          </cell>
          <cell r="AE58">
            <v>0</v>
          </cell>
          <cell r="AF58">
            <v>0</v>
          </cell>
        </row>
        <row r="59">
          <cell r="G59">
            <v>3075</v>
          </cell>
          <cell r="H59" t="str">
            <v>YTD Empl_Benefits</v>
          </cell>
          <cell r="I59">
            <v>58107.380000000005</v>
          </cell>
          <cell r="J59">
            <v>115436.01000000001</v>
          </cell>
          <cell r="K59">
            <v>205783.94999999998</v>
          </cell>
          <cell r="L59">
            <v>271257.79000000004</v>
          </cell>
          <cell r="M59">
            <v>335484.24000000005</v>
          </cell>
          <cell r="N59">
            <v>401971.63999999996</v>
          </cell>
          <cell r="O59">
            <v>467301.13999999996</v>
          </cell>
          <cell r="P59">
            <v>534290.69999999995</v>
          </cell>
          <cell r="Q59">
            <v>626658.72999999986</v>
          </cell>
          <cell r="R59">
            <v>692522.39</v>
          </cell>
          <cell r="S59">
            <v>753305.65</v>
          </cell>
          <cell r="T59">
            <v>819457.87000000011</v>
          </cell>
          <cell r="U59">
            <v>60877.21</v>
          </cell>
          <cell r="V59">
            <v>117067.15</v>
          </cell>
          <cell r="W59">
            <v>229026.52</v>
          </cell>
          <cell r="X59">
            <v>312954.94999999995</v>
          </cell>
          <cell r="Y59">
            <v>402850.98</v>
          </cell>
          <cell r="Z59">
            <v>496090.13999999996</v>
          </cell>
          <cell r="AA59">
            <v>586770.64999999991</v>
          </cell>
          <cell r="AB59">
            <v>680881.22999999986</v>
          </cell>
          <cell r="AC59">
            <v>817426.63</v>
          </cell>
          <cell r="AD59">
            <v>908349.1399999999</v>
          </cell>
          <cell r="AE59">
            <v>0</v>
          </cell>
          <cell r="AF59">
            <v>0</v>
          </cell>
        </row>
        <row r="60">
          <cell r="G60">
            <v>3076</v>
          </cell>
          <cell r="H60" t="str">
            <v>YTD Total Personnel</v>
          </cell>
          <cell r="I60">
            <v>195049.59000000003</v>
          </cell>
          <cell r="J60">
            <v>386455.92000000004</v>
          </cell>
          <cell r="K60">
            <v>732596.5399999998</v>
          </cell>
          <cell r="L60">
            <v>995565.2300000001</v>
          </cell>
          <cell r="M60">
            <v>1253760.06</v>
          </cell>
          <cell r="N60">
            <v>1516295.2799999998</v>
          </cell>
          <cell r="O60">
            <v>1755625.02</v>
          </cell>
          <cell r="P60">
            <v>2025818.1400000001</v>
          </cell>
          <cell r="Q60">
            <v>2391678.19</v>
          </cell>
          <cell r="R60">
            <v>2651828.7599999998</v>
          </cell>
          <cell r="S60">
            <v>2885912.93</v>
          </cell>
          <cell r="T60">
            <v>3120984.01</v>
          </cell>
          <cell r="U60">
            <v>216365.83</v>
          </cell>
          <cell r="V60">
            <v>430378.05999999994</v>
          </cell>
          <cell r="W60">
            <v>841669.36</v>
          </cell>
          <cell r="X60">
            <v>1164168.77</v>
          </cell>
          <cell r="Y60">
            <v>1514723.5899999999</v>
          </cell>
          <cell r="Z60">
            <v>1882460.7799999998</v>
          </cell>
          <cell r="AA60">
            <v>2217678.7000000002</v>
          </cell>
          <cell r="AB60">
            <v>2588985.2399999998</v>
          </cell>
          <cell r="AC60">
            <v>3135872.64</v>
          </cell>
          <cell r="AD60">
            <v>3505187.8999999994</v>
          </cell>
          <cell r="AE60">
            <v>0</v>
          </cell>
          <cell r="AF60">
            <v>0</v>
          </cell>
        </row>
        <row r="61">
          <cell r="G61">
            <v>3077</v>
          </cell>
          <cell r="H61" t="str">
            <v>YTD Target Empl_Benefits</v>
          </cell>
          <cell r="I61">
            <v>66570</v>
          </cell>
          <cell r="J61">
            <v>133656</v>
          </cell>
          <cell r="K61">
            <v>228846</v>
          </cell>
          <cell r="L61">
            <v>294025</v>
          </cell>
          <cell r="M61">
            <v>359488</v>
          </cell>
          <cell r="N61">
            <v>424947</v>
          </cell>
          <cell r="O61">
            <v>487590</v>
          </cell>
          <cell r="P61">
            <v>552676</v>
          </cell>
          <cell r="Q61">
            <v>646373</v>
          </cell>
          <cell r="R61">
            <v>711391</v>
          </cell>
          <cell r="S61">
            <v>775453</v>
          </cell>
          <cell r="T61">
            <v>839945</v>
          </cell>
          <cell r="U61">
            <v>95936</v>
          </cell>
          <cell r="V61">
            <v>191146</v>
          </cell>
          <cell r="W61">
            <v>331385</v>
          </cell>
          <cell r="X61">
            <v>426651</v>
          </cell>
          <cell r="Y61">
            <v>523805</v>
          </cell>
          <cell r="Z61">
            <v>620348</v>
          </cell>
          <cell r="AA61">
            <v>716799</v>
          </cell>
          <cell r="AB61">
            <v>812927</v>
          </cell>
          <cell r="AC61">
            <v>953485</v>
          </cell>
          <cell r="AD61">
            <v>1049200</v>
          </cell>
          <cell r="AE61">
            <v>0</v>
          </cell>
          <cell r="AF61">
            <v>0</v>
          </cell>
        </row>
        <row r="62">
          <cell r="G62">
            <v>3078</v>
          </cell>
          <cell r="H62" t="str">
            <v>YTD Target Total Personnel</v>
          </cell>
          <cell r="I62">
            <v>223770</v>
          </cell>
          <cell r="J62">
            <v>451378</v>
          </cell>
          <cell r="K62">
            <v>848712</v>
          </cell>
          <cell r="L62">
            <v>1097202</v>
          </cell>
          <cell r="M62">
            <v>1369232</v>
          </cell>
          <cell r="N62">
            <v>1639372</v>
          </cell>
          <cell r="O62">
            <v>1874083</v>
          </cell>
          <cell r="P62">
            <v>2149134</v>
          </cell>
          <cell r="Q62">
            <v>2540271</v>
          </cell>
          <cell r="R62">
            <v>2817656</v>
          </cell>
          <cell r="S62">
            <v>3079774</v>
          </cell>
          <cell r="T62">
            <v>3303854</v>
          </cell>
          <cell r="U62">
            <v>323059</v>
          </cell>
          <cell r="V62">
            <v>640913</v>
          </cell>
          <cell r="W62">
            <v>1133680</v>
          </cell>
          <cell r="X62">
            <v>1478092</v>
          </cell>
          <cell r="Y62">
            <v>1837542</v>
          </cell>
          <cell r="Z62">
            <v>2190361</v>
          </cell>
          <cell r="AA62">
            <v>2528996</v>
          </cell>
          <cell r="AB62">
            <v>2874153</v>
          </cell>
          <cell r="AC62">
            <v>3375224</v>
          </cell>
          <cell r="AD62">
            <v>3719473</v>
          </cell>
          <cell r="AE62">
            <v>0</v>
          </cell>
          <cell r="AF62">
            <v>0</v>
          </cell>
        </row>
        <row r="63">
          <cell r="G63">
            <v>345</v>
          </cell>
          <cell r="H63" t="str">
            <v>Actual</v>
          </cell>
          <cell r="I63">
            <v>1231296.3100000022</v>
          </cell>
          <cell r="J63">
            <v>-364416.04000000004</v>
          </cell>
          <cell r="K63">
            <v>6438626.4900000002</v>
          </cell>
          <cell r="L63">
            <v>-433803.98</v>
          </cell>
          <cell r="M63">
            <v>-408160.22000000003</v>
          </cell>
          <cell r="N63">
            <v>-368436.3</v>
          </cell>
          <cell r="O63">
            <v>-429004.18999999994</v>
          </cell>
          <cell r="P63">
            <v>-403744.57999999996</v>
          </cell>
          <cell r="Q63">
            <v>-528720.56000000006</v>
          </cell>
          <cell r="R63">
            <v>-631847.92999999993</v>
          </cell>
          <cell r="S63">
            <v>-447107.74000000005</v>
          </cell>
          <cell r="T63">
            <v>-823817.39999999991</v>
          </cell>
          <cell r="U63">
            <v>-251973.21999999881</v>
          </cell>
          <cell r="V63">
            <v>-850662.65000000014</v>
          </cell>
          <cell r="W63">
            <v>-659638.28</v>
          </cell>
          <cell r="X63">
            <v>-522781.72000000003</v>
          </cell>
          <cell r="Y63">
            <v>-527594.46</v>
          </cell>
          <cell r="Z63">
            <v>-700285.13000000012</v>
          </cell>
          <cell r="AA63">
            <v>-397007.54000000004</v>
          </cell>
          <cell r="AB63">
            <v>-800380.87999999989</v>
          </cell>
          <cell r="AC63">
            <v>-709946.85999999987</v>
          </cell>
          <cell r="AD63">
            <v>-579234.55000000005</v>
          </cell>
          <cell r="AE63">
            <v>0</v>
          </cell>
          <cell r="AF63">
            <v>0</v>
          </cell>
        </row>
        <row r="64">
          <cell r="G64">
            <v>346</v>
          </cell>
          <cell r="H64" t="str">
            <v>Target (Budget)</v>
          </cell>
          <cell r="I64">
            <v>1199651.7600000021</v>
          </cell>
          <cell r="J64">
            <v>-376351</v>
          </cell>
          <cell r="K64">
            <v>6066631.25</v>
          </cell>
          <cell r="L64">
            <v>-422654</v>
          </cell>
          <cell r="M64">
            <v>-480080</v>
          </cell>
          <cell r="N64">
            <v>-377773</v>
          </cell>
          <cell r="O64">
            <v>-622009</v>
          </cell>
          <cell r="P64">
            <v>-480608</v>
          </cell>
          <cell r="Q64">
            <v>-563202</v>
          </cell>
          <cell r="R64">
            <v>-448941</v>
          </cell>
          <cell r="S64">
            <v>-420289</v>
          </cell>
          <cell r="T64">
            <v>-377018</v>
          </cell>
          <cell r="U64">
            <v>-860546.52999999886</v>
          </cell>
          <cell r="V64">
            <v>-530420</v>
          </cell>
          <cell r="W64">
            <v>-703446</v>
          </cell>
          <cell r="X64">
            <v>-555407</v>
          </cell>
          <cell r="Y64">
            <v>-569524</v>
          </cell>
          <cell r="Z64">
            <v>-562877</v>
          </cell>
          <cell r="AA64">
            <v>-587927</v>
          </cell>
          <cell r="AB64">
            <v>-555135</v>
          </cell>
          <cell r="AC64">
            <v>-711062</v>
          </cell>
          <cell r="AD64">
            <v>-555034</v>
          </cell>
          <cell r="AE64">
            <v>0</v>
          </cell>
          <cell r="AF64">
            <v>0</v>
          </cell>
        </row>
        <row r="65">
          <cell r="G65">
            <v>349</v>
          </cell>
          <cell r="H65" t="str">
            <v>YTD Actual</v>
          </cell>
          <cell r="I65">
            <v>1231296.3100000022</v>
          </cell>
          <cell r="J65">
            <v>866880.270000002</v>
          </cell>
          <cell r="K65">
            <v>7305506.7600000016</v>
          </cell>
          <cell r="L65">
            <v>6871702.7800000012</v>
          </cell>
          <cell r="M65">
            <v>6463542.5600000015</v>
          </cell>
          <cell r="N65">
            <v>6095106.2600000016</v>
          </cell>
          <cell r="O65">
            <v>5666102.0700000022</v>
          </cell>
          <cell r="P65">
            <v>5262357.4900000021</v>
          </cell>
          <cell r="Q65">
            <v>4733636.9300000016</v>
          </cell>
          <cell r="R65">
            <v>4101789.0000000019</v>
          </cell>
          <cell r="S65">
            <v>3654681.2600000016</v>
          </cell>
          <cell r="T65">
            <v>2830863.8600000022</v>
          </cell>
          <cell r="U65">
            <v>-251973.21999999881</v>
          </cell>
          <cell r="V65">
            <v>-1102635.8699999987</v>
          </cell>
          <cell r="W65">
            <v>-1762274.149999999</v>
          </cell>
          <cell r="X65">
            <v>-2285055.8699999987</v>
          </cell>
          <cell r="Y65">
            <v>-2812650.3299999987</v>
          </cell>
          <cell r="Z65">
            <v>-3512935.4599999986</v>
          </cell>
          <cell r="AA65">
            <v>-3909942.9999999995</v>
          </cell>
          <cell r="AB65">
            <v>-4710323.879999999</v>
          </cell>
          <cell r="AC65">
            <v>-5420270.7400000002</v>
          </cell>
          <cell r="AD65">
            <v>-5999505.2899999972</v>
          </cell>
          <cell r="AE65">
            <v>0</v>
          </cell>
          <cell r="AF65">
            <v>0</v>
          </cell>
        </row>
        <row r="66">
          <cell r="G66">
            <v>350</v>
          </cell>
          <cell r="H66" t="str">
            <v>YTD Target (Budget)</v>
          </cell>
          <cell r="I66">
            <v>1199651.7600000021</v>
          </cell>
          <cell r="J66">
            <v>823300.7600000021</v>
          </cell>
          <cell r="K66">
            <v>6889932.0100000016</v>
          </cell>
          <cell r="L66">
            <v>6467278.0100000016</v>
          </cell>
          <cell r="M66">
            <v>5987198.0100000016</v>
          </cell>
          <cell r="N66">
            <v>5609425.0100000016</v>
          </cell>
          <cell r="O66">
            <v>4987416.0100000016</v>
          </cell>
          <cell r="P66">
            <v>4506808.0100000016</v>
          </cell>
          <cell r="Q66">
            <v>3943606.0100000016</v>
          </cell>
          <cell r="R66">
            <v>3494665.0100000016</v>
          </cell>
          <cell r="S66">
            <v>3074376.0100000016</v>
          </cell>
          <cell r="T66">
            <v>2697358.0100000016</v>
          </cell>
          <cell r="U66">
            <v>-860546.52999999886</v>
          </cell>
          <cell r="V66">
            <v>-1390966.5299999989</v>
          </cell>
          <cell r="W66">
            <v>-2094412.5299999989</v>
          </cell>
          <cell r="X66">
            <v>-2649819.5299999989</v>
          </cell>
          <cell r="Y66">
            <v>-3219343.5299999989</v>
          </cell>
          <cell r="Z66">
            <v>-3782220.5299999989</v>
          </cell>
          <cell r="AA66">
            <v>-4370147.5299999993</v>
          </cell>
          <cell r="AB66">
            <v>-4925282.5299999993</v>
          </cell>
          <cell r="AC66">
            <v>-5636344.5299999993</v>
          </cell>
          <cell r="AD66">
            <v>-6191378.5299999993</v>
          </cell>
          <cell r="AE66">
            <v>0</v>
          </cell>
          <cell r="AF66">
            <v>0</v>
          </cell>
        </row>
        <row r="67">
          <cell r="G67">
            <v>358</v>
          </cell>
          <cell r="H67" t="str">
            <v>Actual</v>
          </cell>
          <cell r="I67">
            <v>1244289.7200000021</v>
          </cell>
          <cell r="J67">
            <v>-318695.85000000003</v>
          </cell>
          <cell r="K67">
            <v>6470991.6799999997</v>
          </cell>
          <cell r="L67">
            <v>-422335.84</v>
          </cell>
          <cell r="M67">
            <v>-377614.05000000005</v>
          </cell>
          <cell r="N67">
            <v>-338604.31</v>
          </cell>
          <cell r="O67">
            <v>-422614.11</v>
          </cell>
          <cell r="P67">
            <v>-379902.39999999997</v>
          </cell>
          <cell r="Q67">
            <v>-499022.39000000007</v>
          </cell>
          <cell r="R67">
            <v>-626210.29999999993</v>
          </cell>
          <cell r="S67">
            <v>-423899.61000000004</v>
          </cell>
          <cell r="T67">
            <v>-783656.06999999983</v>
          </cell>
          <cell r="U67">
            <v>-243744.0199999988</v>
          </cell>
          <cell r="V67">
            <v>-820289.27000000014</v>
          </cell>
          <cell r="W67">
            <v>-407488.13</v>
          </cell>
          <cell r="X67">
            <v>-302610.19000000006</v>
          </cell>
          <cell r="Y67">
            <v>6612380.5099999998</v>
          </cell>
          <cell r="Z67">
            <v>-466997.32000000012</v>
          </cell>
          <cell r="AA67">
            <v>-179583.54000000004</v>
          </cell>
          <cell r="AB67">
            <v>-512340.6399999999</v>
          </cell>
          <cell r="AC67">
            <v>-574469.2799999998</v>
          </cell>
          <cell r="AD67">
            <v>-364357.33000000007</v>
          </cell>
          <cell r="AE67">
            <v>0</v>
          </cell>
          <cell r="AF67">
            <v>0</v>
          </cell>
        </row>
        <row r="68">
          <cell r="G68">
            <v>359</v>
          </cell>
          <cell r="H68" t="str">
            <v>Target (Budget)</v>
          </cell>
          <cell r="I68">
            <v>1205165.7600000021</v>
          </cell>
          <cell r="J68">
            <v>-370837</v>
          </cell>
          <cell r="K68">
            <v>12690381.25</v>
          </cell>
          <cell r="L68">
            <v>-417141</v>
          </cell>
          <cell r="M68">
            <v>-474566</v>
          </cell>
          <cell r="N68">
            <v>-372260</v>
          </cell>
          <cell r="O68">
            <v>-616496</v>
          </cell>
          <cell r="P68">
            <v>-475096</v>
          </cell>
          <cell r="Q68">
            <v>-557689</v>
          </cell>
          <cell r="R68">
            <v>-443428</v>
          </cell>
          <cell r="S68">
            <v>-414777</v>
          </cell>
          <cell r="T68">
            <v>-318944</v>
          </cell>
          <cell r="U68">
            <v>-676787.52999999886</v>
          </cell>
          <cell r="V68">
            <v>-346662</v>
          </cell>
          <cell r="W68">
            <v>-519688</v>
          </cell>
          <cell r="X68">
            <v>-371649</v>
          </cell>
          <cell r="Y68">
            <v>-385766</v>
          </cell>
          <cell r="Z68">
            <v>-379119</v>
          </cell>
          <cell r="AA68">
            <v>-404169</v>
          </cell>
          <cell r="AB68">
            <v>-371376</v>
          </cell>
          <cell r="AC68">
            <v>-527303</v>
          </cell>
          <cell r="AD68">
            <v>-371277</v>
          </cell>
          <cell r="AE68">
            <v>0</v>
          </cell>
          <cell r="AF68">
            <v>0</v>
          </cell>
        </row>
        <row r="69">
          <cell r="G69">
            <v>362</v>
          </cell>
          <cell r="H69" t="str">
            <v>YTD Actual</v>
          </cell>
          <cell r="I69">
            <v>1244289.7200000021</v>
          </cell>
          <cell r="J69">
            <v>925593.87000000197</v>
          </cell>
          <cell r="K69">
            <v>7396585.5500000017</v>
          </cell>
          <cell r="L69">
            <v>6974249.7100000009</v>
          </cell>
          <cell r="M69">
            <v>6596635.6600000011</v>
          </cell>
          <cell r="N69">
            <v>6258031.3500000024</v>
          </cell>
          <cell r="O69">
            <v>5835417.2400000021</v>
          </cell>
          <cell r="P69">
            <v>5455514.8400000026</v>
          </cell>
          <cell r="Q69">
            <v>4956492.450000002</v>
          </cell>
          <cell r="R69">
            <v>4330282.1500000022</v>
          </cell>
          <cell r="S69">
            <v>3906382.5400000019</v>
          </cell>
          <cell r="T69">
            <v>3122726.4700000021</v>
          </cell>
          <cell r="U69">
            <v>-243744.0199999988</v>
          </cell>
          <cell r="V69">
            <v>-1064033.2899999989</v>
          </cell>
          <cell r="W69">
            <v>-1471521.419999999</v>
          </cell>
          <cell r="X69">
            <v>-1774131.6099999987</v>
          </cell>
          <cell r="Y69">
            <v>4838248.9000000004</v>
          </cell>
          <cell r="Z69">
            <v>4371251.5800000019</v>
          </cell>
          <cell r="AA69">
            <v>4191668.040000001</v>
          </cell>
          <cell r="AB69">
            <v>3679327.4000000018</v>
          </cell>
          <cell r="AC69">
            <v>3104858.1199999996</v>
          </cell>
          <cell r="AD69">
            <v>2740500.7900000038</v>
          </cell>
          <cell r="AE69">
            <v>0</v>
          </cell>
          <cell r="AF69">
            <v>0</v>
          </cell>
        </row>
        <row r="70">
          <cell r="G70">
            <v>363</v>
          </cell>
          <cell r="H70" t="str">
            <v>YTD Target (Budget)</v>
          </cell>
          <cell r="I70">
            <v>1205165.7600000021</v>
          </cell>
          <cell r="J70">
            <v>834328.7600000021</v>
          </cell>
          <cell r="K70">
            <v>13524710.010000002</v>
          </cell>
          <cell r="L70">
            <v>13107569.010000002</v>
          </cell>
          <cell r="M70">
            <v>6014766.0100000016</v>
          </cell>
          <cell r="N70">
            <v>5642506.0100000016</v>
          </cell>
          <cell r="O70">
            <v>5026010.0100000016</v>
          </cell>
          <cell r="P70">
            <v>4550914.0100000016</v>
          </cell>
          <cell r="Q70">
            <v>3993225.0100000016</v>
          </cell>
          <cell r="R70">
            <v>3549797.0100000016</v>
          </cell>
          <cell r="S70">
            <v>3135020.0100000016</v>
          </cell>
          <cell r="T70">
            <v>2816076.0100000016</v>
          </cell>
          <cell r="U70">
            <v>-676787.52999999886</v>
          </cell>
          <cell r="V70">
            <v>-1023449.5299999989</v>
          </cell>
          <cell r="W70">
            <v>-1543137.5299999989</v>
          </cell>
          <cell r="X70">
            <v>-1914786.5299999989</v>
          </cell>
          <cell r="Y70">
            <v>-2300552.5299999989</v>
          </cell>
          <cell r="Z70">
            <v>-2679671.5299999989</v>
          </cell>
          <cell r="AA70">
            <v>-3083840.5299999993</v>
          </cell>
          <cell r="AB70">
            <v>-3455216.5299999993</v>
          </cell>
          <cell r="AC70">
            <v>-3982519.5299999993</v>
          </cell>
          <cell r="AD70">
            <v>-4353796.5299999993</v>
          </cell>
          <cell r="AE70">
            <v>0</v>
          </cell>
          <cell r="AF70">
            <v>0</v>
          </cell>
        </row>
        <row r="71">
          <cell r="G71">
            <v>3148</v>
          </cell>
          <cell r="H71" t="str">
            <v>Actual</v>
          </cell>
          <cell r="I71">
            <v>1717.31</v>
          </cell>
          <cell r="J71">
            <v>599.41999999999996</v>
          </cell>
          <cell r="K71">
            <v>26493.75</v>
          </cell>
          <cell r="L71">
            <v>23098.09</v>
          </cell>
          <cell r="M71">
            <v>23724.22</v>
          </cell>
          <cell r="N71">
            <v>24740.07</v>
          </cell>
          <cell r="O71">
            <v>6263.55</v>
          </cell>
          <cell r="P71">
            <v>24748.98</v>
          </cell>
          <cell r="Q71">
            <v>26934.16</v>
          </cell>
          <cell r="R71">
            <v>18439.14</v>
          </cell>
          <cell r="S71">
            <v>9806.31</v>
          </cell>
          <cell r="T71">
            <v>5334.53</v>
          </cell>
          <cell r="U71">
            <v>2232.4899999999998</v>
          </cell>
          <cell r="V71">
            <v>5810.66</v>
          </cell>
          <cell r="W71">
            <v>24307.51</v>
          </cell>
          <cell r="X71">
            <v>22964.98</v>
          </cell>
          <cell r="Y71">
            <v>34539.370000000003</v>
          </cell>
          <cell r="Z71">
            <v>36873.9</v>
          </cell>
          <cell r="AA71">
            <v>20785.419999999998</v>
          </cell>
          <cell r="AB71">
            <v>36121.620000000003</v>
          </cell>
          <cell r="AC71">
            <v>52946.17</v>
          </cell>
          <cell r="AD71">
            <v>34018.339999999997</v>
          </cell>
          <cell r="AE71">
            <v>0</v>
          </cell>
          <cell r="AF71">
            <v>0</v>
          </cell>
        </row>
        <row r="72">
          <cell r="G72">
            <v>3149</v>
          </cell>
          <cell r="H72" t="str">
            <v>Target (Budget)</v>
          </cell>
          <cell r="I72">
            <v>4516</v>
          </cell>
          <cell r="J72">
            <v>4516</v>
          </cell>
          <cell r="K72">
            <v>30108</v>
          </cell>
          <cell r="L72">
            <v>12043</v>
          </cell>
          <cell r="M72">
            <v>18067</v>
          </cell>
          <cell r="N72">
            <v>16559</v>
          </cell>
          <cell r="O72">
            <v>4521</v>
          </cell>
          <cell r="P72">
            <v>13548</v>
          </cell>
          <cell r="Q72">
            <v>16559</v>
          </cell>
          <cell r="R72">
            <v>12043</v>
          </cell>
          <cell r="S72">
            <v>10539</v>
          </cell>
          <cell r="T72">
            <v>7527</v>
          </cell>
          <cell r="U72">
            <v>10704</v>
          </cell>
          <cell r="V72">
            <v>7128</v>
          </cell>
          <cell r="W72">
            <v>14517</v>
          </cell>
          <cell r="X72">
            <v>7337</v>
          </cell>
          <cell r="Y72">
            <v>18028</v>
          </cell>
          <cell r="Z72">
            <v>14464</v>
          </cell>
          <cell r="AA72">
            <v>14464</v>
          </cell>
          <cell r="AB72">
            <v>7337</v>
          </cell>
          <cell r="AC72">
            <v>10992</v>
          </cell>
          <cell r="AD72">
            <v>7337</v>
          </cell>
          <cell r="AE72">
            <v>0</v>
          </cell>
          <cell r="AF72">
            <v>0</v>
          </cell>
        </row>
        <row r="73">
          <cell r="G73">
            <v>3152</v>
          </cell>
          <cell r="H73" t="str">
            <v>YTD Actual</v>
          </cell>
          <cell r="I73">
            <v>1717.31</v>
          </cell>
          <cell r="J73">
            <v>2316.73</v>
          </cell>
          <cell r="K73">
            <v>28810.48</v>
          </cell>
          <cell r="L73">
            <v>51908.57</v>
          </cell>
          <cell r="M73">
            <v>75632.789999999994</v>
          </cell>
          <cell r="N73">
            <v>100372.86</v>
          </cell>
          <cell r="O73">
            <v>106636.41</v>
          </cell>
          <cell r="P73">
            <v>131385.39000000001</v>
          </cell>
          <cell r="Q73">
            <v>158319.54999999999</v>
          </cell>
          <cell r="R73">
            <v>176758.69</v>
          </cell>
          <cell r="S73">
            <v>186565</v>
          </cell>
          <cell r="T73">
            <v>191899.53</v>
          </cell>
          <cell r="U73">
            <v>2232.4899999999998</v>
          </cell>
          <cell r="V73">
            <v>8043.15</v>
          </cell>
          <cell r="W73">
            <v>32350.66</v>
          </cell>
          <cell r="X73">
            <v>55315.64</v>
          </cell>
          <cell r="Y73">
            <v>89855.01</v>
          </cell>
          <cell r="Z73">
            <v>126728.91</v>
          </cell>
          <cell r="AA73">
            <v>147514.32999999999</v>
          </cell>
          <cell r="AB73">
            <v>183635.95</v>
          </cell>
          <cell r="AC73">
            <v>236582.12</v>
          </cell>
          <cell r="AD73">
            <v>270600.46000000002</v>
          </cell>
          <cell r="AE73">
            <v>0</v>
          </cell>
          <cell r="AF73">
            <v>0</v>
          </cell>
        </row>
        <row r="74">
          <cell r="G74">
            <v>3153</v>
          </cell>
          <cell r="H74" t="str">
            <v>YTD Target (Budget)</v>
          </cell>
          <cell r="I74">
            <v>4516</v>
          </cell>
          <cell r="J74">
            <v>9032</v>
          </cell>
          <cell r="K74">
            <v>39140</v>
          </cell>
          <cell r="L74">
            <v>51183</v>
          </cell>
          <cell r="M74">
            <v>69250</v>
          </cell>
          <cell r="N74">
            <v>85809</v>
          </cell>
          <cell r="O74">
            <v>90330</v>
          </cell>
          <cell r="P74">
            <v>103878</v>
          </cell>
          <cell r="Q74">
            <v>120437</v>
          </cell>
          <cell r="R74">
            <v>132480</v>
          </cell>
          <cell r="S74">
            <v>143019</v>
          </cell>
          <cell r="T74">
            <v>150546</v>
          </cell>
          <cell r="U74">
            <v>10704</v>
          </cell>
          <cell r="V74">
            <v>17832</v>
          </cell>
          <cell r="W74">
            <v>32349</v>
          </cell>
          <cell r="X74">
            <v>39686</v>
          </cell>
          <cell r="Y74">
            <v>57714</v>
          </cell>
          <cell r="Z74">
            <v>72178</v>
          </cell>
          <cell r="AA74">
            <v>86642</v>
          </cell>
          <cell r="AB74">
            <v>93979</v>
          </cell>
          <cell r="AC74">
            <v>104971</v>
          </cell>
          <cell r="AD74">
            <v>112308</v>
          </cell>
          <cell r="AE74">
            <v>0</v>
          </cell>
          <cell r="AF74">
            <v>0</v>
          </cell>
        </row>
        <row r="75">
          <cell r="G75">
            <v>580</v>
          </cell>
          <cell r="H75" t="str">
            <v>Actual</v>
          </cell>
          <cell r="I75">
            <v>9924.0199999999986</v>
          </cell>
          <cell r="J75">
            <v>9622.1299999999992</v>
          </cell>
          <cell r="K75">
            <v>34239.420000000006</v>
          </cell>
          <cell r="L75">
            <v>38611.070000000007</v>
          </cell>
          <cell r="M75">
            <v>9157.3599999999988</v>
          </cell>
          <cell r="N75">
            <v>11261.62</v>
          </cell>
          <cell r="O75">
            <v>12486.369999999999</v>
          </cell>
          <cell r="P75">
            <v>20766.04</v>
          </cell>
          <cell r="Q75">
            <v>14766.609999999999</v>
          </cell>
          <cell r="R75">
            <v>21586.97</v>
          </cell>
          <cell r="S75">
            <v>10743.84</v>
          </cell>
          <cell r="T75">
            <v>12089.47</v>
          </cell>
          <cell r="U75">
            <v>11276.630000000001</v>
          </cell>
          <cell r="V75">
            <v>5605.73</v>
          </cell>
          <cell r="W75">
            <v>39568.97</v>
          </cell>
          <cell r="X75">
            <v>11775.14</v>
          </cell>
          <cell r="Y75">
            <v>11776.929999999998</v>
          </cell>
          <cell r="Z75">
            <v>11898.64</v>
          </cell>
          <cell r="AA75">
            <v>12726.8</v>
          </cell>
          <cell r="AB75">
            <v>13262.36</v>
          </cell>
          <cell r="AC75">
            <v>-19329.7</v>
          </cell>
          <cell r="AD75">
            <v>11865.27</v>
          </cell>
          <cell r="AE75">
            <v>0</v>
          </cell>
          <cell r="AF75">
            <v>0</v>
          </cell>
        </row>
        <row r="76">
          <cell r="G76">
            <v>581</v>
          </cell>
          <cell r="H76" t="str">
            <v>Target (Budget)</v>
          </cell>
          <cell r="I76">
            <v>14629</v>
          </cell>
          <cell r="J76">
            <v>14453</v>
          </cell>
          <cell r="K76">
            <v>14560</v>
          </cell>
          <cell r="L76">
            <v>16193</v>
          </cell>
          <cell r="M76">
            <v>14318</v>
          </cell>
          <cell r="N76">
            <v>14404</v>
          </cell>
          <cell r="O76">
            <v>14191</v>
          </cell>
          <cell r="P76">
            <v>14159</v>
          </cell>
          <cell r="Q76">
            <v>16432</v>
          </cell>
          <cell r="R76">
            <v>14187</v>
          </cell>
          <cell r="S76">
            <v>14155</v>
          </cell>
          <cell r="T76">
            <v>14155</v>
          </cell>
          <cell r="U76">
            <v>11844</v>
          </cell>
          <cell r="V76">
            <v>11419</v>
          </cell>
          <cell r="W76">
            <v>48845</v>
          </cell>
          <cell r="X76">
            <v>11928</v>
          </cell>
          <cell r="Y76">
            <v>11685</v>
          </cell>
          <cell r="Z76">
            <v>11626</v>
          </cell>
          <cell r="AA76">
            <v>12010</v>
          </cell>
          <cell r="AB76">
            <v>11625</v>
          </cell>
          <cell r="AC76">
            <v>13914</v>
          </cell>
          <cell r="AD76">
            <v>11926</v>
          </cell>
          <cell r="AE76">
            <v>0</v>
          </cell>
          <cell r="AF76">
            <v>0</v>
          </cell>
        </row>
        <row r="77">
          <cell r="G77">
            <v>584</v>
          </cell>
          <cell r="H77" t="str">
            <v>YTD Actual</v>
          </cell>
          <cell r="I77">
            <v>9924.0199999999986</v>
          </cell>
          <cell r="J77">
            <v>19546.149999999998</v>
          </cell>
          <cell r="K77">
            <v>53785.570000000007</v>
          </cell>
          <cell r="L77">
            <v>92396.64</v>
          </cell>
          <cell r="M77">
            <v>101554</v>
          </cell>
          <cell r="N77">
            <v>112815.62</v>
          </cell>
          <cell r="O77">
            <v>125301.98999999999</v>
          </cell>
          <cell r="P77">
            <v>146068.03</v>
          </cell>
          <cell r="Q77">
            <v>160834.64000000001</v>
          </cell>
          <cell r="R77">
            <v>182421.61000000004</v>
          </cell>
          <cell r="S77">
            <v>193165.45</v>
          </cell>
          <cell r="T77">
            <v>205254.92</v>
          </cell>
          <cell r="U77">
            <v>11276.630000000001</v>
          </cell>
          <cell r="V77">
            <v>16882.36</v>
          </cell>
          <cell r="W77">
            <v>56451.33</v>
          </cell>
          <cell r="X77">
            <v>68226.47</v>
          </cell>
          <cell r="Y77">
            <v>80003.399999999994</v>
          </cell>
          <cell r="Z77">
            <v>91902.040000000008</v>
          </cell>
          <cell r="AA77">
            <v>104628.84</v>
          </cell>
          <cell r="AB77">
            <v>117891.2</v>
          </cell>
          <cell r="AC77">
            <v>98561.5</v>
          </cell>
          <cell r="AD77">
            <v>110426.77</v>
          </cell>
          <cell r="AE77">
            <v>0</v>
          </cell>
          <cell r="AF77">
            <v>0</v>
          </cell>
        </row>
        <row r="78">
          <cell r="G78">
            <v>585</v>
          </cell>
          <cell r="H78" t="str">
            <v>YTD Target (Budget)</v>
          </cell>
          <cell r="I78">
            <v>14629</v>
          </cell>
          <cell r="J78">
            <v>29082</v>
          </cell>
          <cell r="K78">
            <v>43642</v>
          </cell>
          <cell r="L78">
            <v>61250</v>
          </cell>
          <cell r="M78">
            <v>75568</v>
          </cell>
          <cell r="N78">
            <v>89972</v>
          </cell>
          <cell r="O78">
            <v>104163</v>
          </cell>
          <cell r="P78">
            <v>118322</v>
          </cell>
          <cell r="Q78">
            <v>134754</v>
          </cell>
          <cell r="R78">
            <v>148941</v>
          </cell>
          <cell r="S78">
            <v>163096</v>
          </cell>
          <cell r="T78">
            <v>177251</v>
          </cell>
          <cell r="U78">
            <v>11844</v>
          </cell>
          <cell r="V78">
            <v>23263</v>
          </cell>
          <cell r="W78">
            <v>72108</v>
          </cell>
          <cell r="X78">
            <v>84036</v>
          </cell>
          <cell r="Y78">
            <v>95721</v>
          </cell>
          <cell r="Z78">
            <v>107347</v>
          </cell>
          <cell r="AA78">
            <v>119357</v>
          </cell>
          <cell r="AB78">
            <v>130982</v>
          </cell>
          <cell r="AC78">
            <v>144896</v>
          </cell>
          <cell r="AD78">
            <v>156822</v>
          </cell>
          <cell r="AE78">
            <v>0</v>
          </cell>
          <cell r="AF78">
            <v>0</v>
          </cell>
        </row>
        <row r="79">
          <cell r="G79">
            <v>3079</v>
          </cell>
          <cell r="H79" t="str">
            <v>Empl_Benefits</v>
          </cell>
          <cell r="I79">
            <v>2288.34</v>
          </cell>
          <cell r="J79">
            <v>2288.34</v>
          </cell>
          <cell r="K79">
            <v>2252.29</v>
          </cell>
          <cell r="L79">
            <v>4580.1099999999997</v>
          </cell>
          <cell r="M79">
            <v>2181.85</v>
          </cell>
          <cell r="N79">
            <v>2754.59</v>
          </cell>
          <cell r="O79">
            <v>2764.36</v>
          </cell>
          <cell r="P79">
            <v>2765.33</v>
          </cell>
          <cell r="Q79">
            <v>3327.7400000000002</v>
          </cell>
          <cell r="R79">
            <v>2754.8700000000003</v>
          </cell>
          <cell r="S79">
            <v>2754.8700000000003</v>
          </cell>
          <cell r="T79">
            <v>2764.6400000000003</v>
          </cell>
          <cell r="U79">
            <v>2754.8700000000003</v>
          </cell>
          <cell r="V79">
            <v>2767.09</v>
          </cell>
          <cell r="W79">
            <v>3379.01</v>
          </cell>
          <cell r="X79">
            <v>2810.6800000000003</v>
          </cell>
          <cell r="Y79">
            <v>2798.17</v>
          </cell>
          <cell r="Z79">
            <v>2797.89</v>
          </cell>
          <cell r="AA79">
            <v>2797.89</v>
          </cell>
          <cell r="AB79">
            <v>2797.89</v>
          </cell>
          <cell r="AC79">
            <v>3379.71</v>
          </cell>
          <cell r="AD79">
            <v>2797.89</v>
          </cell>
          <cell r="AE79">
            <v>0</v>
          </cell>
          <cell r="AF79">
            <v>0</v>
          </cell>
        </row>
        <row r="80">
          <cell r="G80">
            <v>3080</v>
          </cell>
          <cell r="H80" t="str">
            <v>Total Personnel</v>
          </cell>
          <cell r="I80">
            <v>8473.0499999999993</v>
          </cell>
          <cell r="J80">
            <v>8473.0499999999993</v>
          </cell>
          <cell r="K80">
            <v>9562.1</v>
          </cell>
          <cell r="L80">
            <v>17642.22</v>
          </cell>
          <cell r="M80">
            <v>8310.65</v>
          </cell>
          <cell r="N80">
            <v>10492.19</v>
          </cell>
          <cell r="O80">
            <v>10562.3</v>
          </cell>
          <cell r="P80">
            <v>10724.82</v>
          </cell>
          <cell r="Q80">
            <v>12743.38</v>
          </cell>
          <cell r="R80">
            <v>10538.64</v>
          </cell>
          <cell r="S80">
            <v>10538.630000000001</v>
          </cell>
          <cell r="T80">
            <v>10608.73</v>
          </cell>
          <cell r="U80">
            <v>10538.630000000001</v>
          </cell>
          <cell r="V80">
            <v>10626.26</v>
          </cell>
          <cell r="W80">
            <v>14090.41</v>
          </cell>
          <cell r="X80">
            <v>10905.74</v>
          </cell>
          <cell r="Y80">
            <v>10815.529999999999</v>
          </cell>
          <cell r="Z80">
            <v>10769.09</v>
          </cell>
          <cell r="AA80">
            <v>10769.09</v>
          </cell>
          <cell r="AB80">
            <v>10769.09</v>
          </cell>
          <cell r="AC80">
            <v>13008.509999999998</v>
          </cell>
          <cell r="AD80">
            <v>10769.09</v>
          </cell>
          <cell r="AE80">
            <v>0</v>
          </cell>
          <cell r="AF80">
            <v>0</v>
          </cell>
        </row>
        <row r="81">
          <cell r="G81">
            <v>3081</v>
          </cell>
          <cell r="H81" t="str">
            <v>Target Empl_Benefits</v>
          </cell>
          <cell r="I81">
            <v>2885</v>
          </cell>
          <cell r="J81">
            <v>2885</v>
          </cell>
          <cell r="K81">
            <v>2834</v>
          </cell>
          <cell r="L81">
            <v>2729</v>
          </cell>
          <cell r="M81">
            <v>2729</v>
          </cell>
          <cell r="N81">
            <v>2729</v>
          </cell>
          <cell r="O81">
            <v>2729</v>
          </cell>
          <cell r="P81">
            <v>2729</v>
          </cell>
          <cell r="Q81">
            <v>3300</v>
          </cell>
          <cell r="R81">
            <v>2729</v>
          </cell>
          <cell r="S81">
            <v>2729</v>
          </cell>
          <cell r="T81">
            <v>2729</v>
          </cell>
          <cell r="U81">
            <v>2770</v>
          </cell>
          <cell r="V81">
            <v>2768</v>
          </cell>
          <cell r="W81">
            <v>3410</v>
          </cell>
          <cell r="X81">
            <v>2825</v>
          </cell>
          <cell r="Y81">
            <v>2823</v>
          </cell>
          <cell r="Z81">
            <v>2823</v>
          </cell>
          <cell r="AA81">
            <v>2825</v>
          </cell>
          <cell r="AB81">
            <v>2823</v>
          </cell>
          <cell r="AC81">
            <v>3410</v>
          </cell>
          <cell r="AD81">
            <v>2825</v>
          </cell>
          <cell r="AE81">
            <v>0</v>
          </cell>
          <cell r="AF81">
            <v>0</v>
          </cell>
        </row>
        <row r="82">
          <cell r="G82">
            <v>3082</v>
          </cell>
          <cell r="H82" t="str">
            <v>Target Total Personnel</v>
          </cell>
          <cell r="I82">
            <v>10686</v>
          </cell>
          <cell r="J82">
            <v>10686</v>
          </cell>
          <cell r="K82">
            <v>10793</v>
          </cell>
          <cell r="L82">
            <v>10395</v>
          </cell>
          <cell r="M82">
            <v>10395</v>
          </cell>
          <cell r="N82">
            <v>10395</v>
          </cell>
          <cell r="O82">
            <v>10395</v>
          </cell>
          <cell r="P82">
            <v>10395</v>
          </cell>
          <cell r="Q82">
            <v>12569</v>
          </cell>
          <cell r="R82">
            <v>10395</v>
          </cell>
          <cell r="S82">
            <v>10395</v>
          </cell>
          <cell r="T82">
            <v>10395</v>
          </cell>
          <cell r="U82">
            <v>10891</v>
          </cell>
          <cell r="V82">
            <v>10589</v>
          </cell>
          <cell r="W82">
            <v>13030</v>
          </cell>
          <cell r="X82">
            <v>11100</v>
          </cell>
          <cell r="Y82">
            <v>10798</v>
          </cell>
          <cell r="Z82">
            <v>10798</v>
          </cell>
          <cell r="AA82">
            <v>11100</v>
          </cell>
          <cell r="AB82">
            <v>10798</v>
          </cell>
          <cell r="AC82">
            <v>13030</v>
          </cell>
          <cell r="AD82">
            <v>11100</v>
          </cell>
          <cell r="AE82">
            <v>0</v>
          </cell>
          <cell r="AF82">
            <v>0</v>
          </cell>
        </row>
        <row r="83">
          <cell r="G83">
            <v>3083</v>
          </cell>
          <cell r="H83" t="str">
            <v>YTD Empl_Benefits</v>
          </cell>
          <cell r="I83">
            <v>2288.34</v>
          </cell>
          <cell r="J83">
            <v>4576.68</v>
          </cell>
          <cell r="K83">
            <v>6828.97</v>
          </cell>
          <cell r="L83">
            <v>11409.08</v>
          </cell>
          <cell r="M83">
            <v>13590.93</v>
          </cell>
          <cell r="N83">
            <v>16345.52</v>
          </cell>
          <cell r="O83">
            <v>19109.88</v>
          </cell>
          <cell r="P83">
            <v>21875.21</v>
          </cell>
          <cell r="Q83">
            <v>25202.95</v>
          </cell>
          <cell r="R83">
            <v>27957.82</v>
          </cell>
          <cell r="S83">
            <v>30712.690000000002</v>
          </cell>
          <cell r="T83">
            <v>33477.329999999994</v>
          </cell>
          <cell r="U83">
            <v>2754.8700000000003</v>
          </cell>
          <cell r="V83">
            <v>5521.9600000000009</v>
          </cell>
          <cell r="W83">
            <v>8900.9699999999993</v>
          </cell>
          <cell r="X83">
            <v>11711.65</v>
          </cell>
          <cell r="Y83">
            <v>14509.820000000002</v>
          </cell>
          <cell r="Z83">
            <v>17307.710000000003</v>
          </cell>
          <cell r="AA83">
            <v>20105.600000000002</v>
          </cell>
          <cell r="AB83">
            <v>22903.49</v>
          </cell>
          <cell r="AC83">
            <v>26283.200000000001</v>
          </cell>
          <cell r="AD83">
            <v>29081.090000000004</v>
          </cell>
          <cell r="AE83">
            <v>0</v>
          </cell>
          <cell r="AF83">
            <v>0</v>
          </cell>
        </row>
        <row r="84">
          <cell r="G84">
            <v>3084</v>
          </cell>
          <cell r="H84" t="str">
            <v>YTD Total Personnel</v>
          </cell>
          <cell r="I84">
            <v>8473.0499999999993</v>
          </cell>
          <cell r="J84">
            <v>16946.099999999999</v>
          </cell>
          <cell r="K84">
            <v>26508.2</v>
          </cell>
          <cell r="L84">
            <v>44150.42</v>
          </cell>
          <cell r="M84">
            <v>52461.07</v>
          </cell>
          <cell r="N84">
            <v>62953.259999999995</v>
          </cell>
          <cell r="O84">
            <v>73515.56</v>
          </cell>
          <cell r="P84">
            <v>84240.38</v>
          </cell>
          <cell r="Q84">
            <v>96983.760000000009</v>
          </cell>
          <cell r="R84">
            <v>107522.40000000002</v>
          </cell>
          <cell r="S84">
            <v>118061.03</v>
          </cell>
          <cell r="T84">
            <v>128669.76000000001</v>
          </cell>
          <cell r="U84">
            <v>10538.630000000001</v>
          </cell>
          <cell r="V84">
            <v>21164.89</v>
          </cell>
          <cell r="W84">
            <v>35255.300000000003</v>
          </cell>
          <cell r="X84">
            <v>46161.04</v>
          </cell>
          <cell r="Y84">
            <v>56976.569999999992</v>
          </cell>
          <cell r="Z84">
            <v>67745.66</v>
          </cell>
          <cell r="AA84">
            <v>78514.75</v>
          </cell>
          <cell r="AB84">
            <v>89283.839999999997</v>
          </cell>
          <cell r="AC84">
            <v>102292.35</v>
          </cell>
          <cell r="AD84">
            <v>113061.44</v>
          </cell>
          <cell r="AE84">
            <v>0</v>
          </cell>
          <cell r="AF84">
            <v>0</v>
          </cell>
        </row>
        <row r="85">
          <cell r="G85">
            <v>3085</v>
          </cell>
          <cell r="H85" t="str">
            <v>YTD Target Empl_Benefits</v>
          </cell>
          <cell r="I85">
            <v>2885</v>
          </cell>
          <cell r="J85">
            <v>5770</v>
          </cell>
          <cell r="K85">
            <v>8604</v>
          </cell>
          <cell r="L85">
            <v>11705</v>
          </cell>
          <cell r="M85">
            <v>14434</v>
          </cell>
          <cell r="N85">
            <v>17163</v>
          </cell>
          <cell r="O85">
            <v>19892</v>
          </cell>
          <cell r="P85">
            <v>22621</v>
          </cell>
          <cell r="Q85">
            <v>25921</v>
          </cell>
          <cell r="R85">
            <v>28650</v>
          </cell>
          <cell r="S85">
            <v>31379</v>
          </cell>
          <cell r="T85">
            <v>34108</v>
          </cell>
          <cell r="U85">
            <v>2770</v>
          </cell>
          <cell r="V85">
            <v>5538</v>
          </cell>
          <cell r="W85">
            <v>8948</v>
          </cell>
          <cell r="X85">
            <v>11773</v>
          </cell>
          <cell r="Y85">
            <v>14596</v>
          </cell>
          <cell r="Z85">
            <v>17419</v>
          </cell>
          <cell r="AA85">
            <v>20244</v>
          </cell>
          <cell r="AB85">
            <v>23067</v>
          </cell>
          <cell r="AC85">
            <v>26477</v>
          </cell>
          <cell r="AD85">
            <v>29302</v>
          </cell>
          <cell r="AE85">
            <v>0</v>
          </cell>
          <cell r="AF85">
            <v>0</v>
          </cell>
        </row>
        <row r="86">
          <cell r="G86">
            <v>3086</v>
          </cell>
          <cell r="H86" t="str">
            <v>YTD Target Total Personnel</v>
          </cell>
          <cell r="I86">
            <v>10686</v>
          </cell>
          <cell r="J86">
            <v>21372</v>
          </cell>
          <cell r="K86">
            <v>32165</v>
          </cell>
          <cell r="L86">
            <v>43975</v>
          </cell>
          <cell r="M86">
            <v>54370</v>
          </cell>
          <cell r="N86">
            <v>64765</v>
          </cell>
          <cell r="O86">
            <v>75160</v>
          </cell>
          <cell r="P86">
            <v>85555</v>
          </cell>
          <cell r="Q86">
            <v>98124</v>
          </cell>
          <cell r="R86">
            <v>108519</v>
          </cell>
          <cell r="S86">
            <v>118914</v>
          </cell>
          <cell r="T86">
            <v>129309</v>
          </cell>
          <cell r="U86">
            <v>10891</v>
          </cell>
          <cell r="V86">
            <v>21480</v>
          </cell>
          <cell r="W86">
            <v>34510</v>
          </cell>
          <cell r="X86">
            <v>45610</v>
          </cell>
          <cell r="Y86">
            <v>56408</v>
          </cell>
          <cell r="Z86">
            <v>67206</v>
          </cell>
          <cell r="AA86">
            <v>78306</v>
          </cell>
          <cell r="AB86">
            <v>89104</v>
          </cell>
          <cell r="AC86">
            <v>102134</v>
          </cell>
          <cell r="AD86">
            <v>113234</v>
          </cell>
          <cell r="AE86">
            <v>0</v>
          </cell>
          <cell r="AF86">
            <v>0</v>
          </cell>
        </row>
        <row r="87">
          <cell r="G87">
            <v>593</v>
          </cell>
          <cell r="H87" t="str">
            <v>Actual</v>
          </cell>
          <cell r="I87">
            <v>56007.869999999901</v>
          </cell>
          <cell r="J87">
            <v>-9622.1299999999992</v>
          </cell>
          <cell r="K87">
            <v>-34239.420000000006</v>
          </cell>
          <cell r="L87">
            <v>-38611.070000000007</v>
          </cell>
          <cell r="M87">
            <v>-9157.3599999999988</v>
          </cell>
          <cell r="N87">
            <v>-11261.62</v>
          </cell>
          <cell r="O87">
            <v>-12486.369999999999</v>
          </cell>
          <cell r="P87">
            <v>-20766.04</v>
          </cell>
          <cell r="Q87">
            <v>-14766.609999999999</v>
          </cell>
          <cell r="R87">
            <v>-21586.97</v>
          </cell>
          <cell r="S87">
            <v>-10743.84</v>
          </cell>
          <cell r="T87">
            <v>-12089.47</v>
          </cell>
          <cell r="U87">
            <v>50418.339999999909</v>
          </cell>
          <cell r="V87">
            <v>-5605.73</v>
          </cell>
          <cell r="W87">
            <v>-39568.97</v>
          </cell>
          <cell r="X87">
            <v>-11775.14</v>
          </cell>
          <cell r="Y87">
            <v>-11776.929999999998</v>
          </cell>
          <cell r="Z87">
            <v>-11898.64</v>
          </cell>
          <cell r="AA87">
            <v>487273.2</v>
          </cell>
          <cell r="AB87">
            <v>-13262.36</v>
          </cell>
          <cell r="AC87">
            <v>19329.7</v>
          </cell>
          <cell r="AD87">
            <v>-118802.27</v>
          </cell>
          <cell r="AE87">
            <v>0</v>
          </cell>
          <cell r="AF87">
            <v>0</v>
          </cell>
        </row>
        <row r="88">
          <cell r="G88">
            <v>594</v>
          </cell>
          <cell r="H88" t="str">
            <v>Target (Budget)</v>
          </cell>
          <cell r="I88">
            <v>51302.889999999898</v>
          </cell>
          <cell r="J88">
            <v>-14453</v>
          </cell>
          <cell r="K88">
            <v>-14560</v>
          </cell>
          <cell r="L88">
            <v>-16193</v>
          </cell>
          <cell r="M88">
            <v>-14318</v>
          </cell>
          <cell r="N88">
            <v>-14404</v>
          </cell>
          <cell r="O88">
            <v>-14191</v>
          </cell>
          <cell r="P88">
            <v>-14159</v>
          </cell>
          <cell r="Q88">
            <v>-16432</v>
          </cell>
          <cell r="R88">
            <v>-14187</v>
          </cell>
          <cell r="S88">
            <v>-14155</v>
          </cell>
          <cell r="T88">
            <v>-14155</v>
          </cell>
          <cell r="U88">
            <v>49850.969999999914</v>
          </cell>
          <cell r="V88">
            <v>-11419</v>
          </cell>
          <cell r="W88">
            <v>-48845</v>
          </cell>
          <cell r="X88">
            <v>-11928</v>
          </cell>
          <cell r="Y88">
            <v>-11685</v>
          </cell>
          <cell r="Z88">
            <v>-11626</v>
          </cell>
          <cell r="AA88">
            <v>487990</v>
          </cell>
          <cell r="AB88">
            <v>-11625</v>
          </cell>
          <cell r="AC88">
            <v>-13914</v>
          </cell>
          <cell r="AD88">
            <v>-118863</v>
          </cell>
          <cell r="AE88">
            <v>0</v>
          </cell>
          <cell r="AF88">
            <v>0</v>
          </cell>
        </row>
        <row r="89">
          <cell r="G89">
            <v>597</v>
          </cell>
          <cell r="H89" t="str">
            <v>YTD Actual</v>
          </cell>
          <cell r="I89">
            <v>56007.869999999901</v>
          </cell>
          <cell r="J89">
            <v>46385.739999999903</v>
          </cell>
          <cell r="K89">
            <v>12146.319999999891</v>
          </cell>
          <cell r="L89">
            <v>-26464.750000000102</v>
          </cell>
          <cell r="M89">
            <v>-35622.110000000102</v>
          </cell>
          <cell r="N89">
            <v>-46883.730000000098</v>
          </cell>
          <cell r="O89">
            <v>-59370.100000000093</v>
          </cell>
          <cell r="P89">
            <v>-80136.140000000101</v>
          </cell>
          <cell r="Q89">
            <v>-94902.750000000116</v>
          </cell>
          <cell r="R89">
            <v>-116489.72000000015</v>
          </cell>
          <cell r="S89">
            <v>-127233.56000000011</v>
          </cell>
          <cell r="T89">
            <v>-139323.03000000012</v>
          </cell>
          <cell r="U89">
            <v>50418.339999999909</v>
          </cell>
          <cell r="V89">
            <v>44812.609999999913</v>
          </cell>
          <cell r="W89">
            <v>5243.6399999999121</v>
          </cell>
          <cell r="X89">
            <v>-6531.5000000000873</v>
          </cell>
          <cell r="Y89">
            <v>-18308.43000000008</v>
          </cell>
          <cell r="Z89">
            <v>-30207.070000000094</v>
          </cell>
          <cell r="AA89">
            <v>457066.13</v>
          </cell>
          <cell r="AB89">
            <v>443803.76999999996</v>
          </cell>
          <cell r="AC89">
            <v>463133.47</v>
          </cell>
          <cell r="AD89">
            <v>344331.1999999999</v>
          </cell>
          <cell r="AE89">
            <v>0</v>
          </cell>
          <cell r="AF89">
            <v>0</v>
          </cell>
        </row>
        <row r="90">
          <cell r="G90">
            <v>598</v>
          </cell>
          <cell r="H90" t="str">
            <v>YTD Target (Budget)</v>
          </cell>
          <cell r="I90">
            <v>51302.889999999898</v>
          </cell>
          <cell r="J90">
            <v>36849.889999999898</v>
          </cell>
          <cell r="K90">
            <v>22289.889999999898</v>
          </cell>
          <cell r="L90">
            <v>4681.8899999998976</v>
          </cell>
          <cell r="M90">
            <v>-9636.1100000001024</v>
          </cell>
          <cell r="N90">
            <v>-24040.110000000102</v>
          </cell>
          <cell r="O90">
            <v>-38231.110000000102</v>
          </cell>
          <cell r="P90">
            <v>-52390.110000000102</v>
          </cell>
          <cell r="Q90">
            <v>-68822.110000000102</v>
          </cell>
          <cell r="R90">
            <v>-83009.110000000102</v>
          </cell>
          <cell r="S90">
            <v>-97164.110000000102</v>
          </cell>
          <cell r="T90">
            <v>-111319.1100000001</v>
          </cell>
          <cell r="U90">
            <v>49850.969999999914</v>
          </cell>
          <cell r="V90">
            <v>38431.969999999914</v>
          </cell>
          <cell r="W90">
            <v>-10413.030000000086</v>
          </cell>
          <cell r="X90">
            <v>-22341.030000000086</v>
          </cell>
          <cell r="Y90">
            <v>-34026.030000000086</v>
          </cell>
          <cell r="Z90">
            <v>-45652.030000000086</v>
          </cell>
          <cell r="AA90">
            <v>442337.97</v>
          </cell>
          <cell r="AB90">
            <v>430712.97</v>
          </cell>
          <cell r="AC90">
            <v>416798.97</v>
          </cell>
          <cell r="AD90">
            <v>297935.96999999991</v>
          </cell>
          <cell r="AE90">
            <v>0</v>
          </cell>
          <cell r="AF90">
            <v>0</v>
          </cell>
        </row>
        <row r="91">
          <cell r="G91">
            <v>606</v>
          </cell>
          <cell r="H91" t="str">
            <v>Actual</v>
          </cell>
          <cell r="I91">
            <v>253575.86999999991</v>
          </cell>
          <cell r="J91">
            <v>-10022.129999999999</v>
          </cell>
          <cell r="K91">
            <v>-30014.420000000006</v>
          </cell>
          <cell r="L91">
            <v>-38611.070000000007</v>
          </cell>
          <cell r="M91">
            <v>-9957.3599999999988</v>
          </cell>
          <cell r="N91">
            <v>-10836.62</v>
          </cell>
          <cell r="O91">
            <v>-12486.369999999999</v>
          </cell>
          <cell r="P91">
            <v>-20766.04</v>
          </cell>
          <cell r="Q91">
            <v>-14766.609999999999</v>
          </cell>
          <cell r="R91">
            <v>-21586.97</v>
          </cell>
          <cell r="S91">
            <v>-10743.84</v>
          </cell>
          <cell r="T91">
            <v>-12089.47</v>
          </cell>
          <cell r="U91">
            <v>50418.339999999909</v>
          </cell>
          <cell r="V91">
            <v>-5605.73</v>
          </cell>
          <cell r="W91">
            <v>156031.03</v>
          </cell>
          <cell r="X91">
            <v>-11775.14</v>
          </cell>
          <cell r="Y91">
            <v>-18150.93</v>
          </cell>
          <cell r="Z91">
            <v>-12098.64</v>
          </cell>
          <cell r="AA91">
            <v>487273.2</v>
          </cell>
          <cell r="AB91">
            <v>-12728.34</v>
          </cell>
          <cell r="AC91">
            <v>19329.7</v>
          </cell>
          <cell r="AD91">
            <v>-118802.27</v>
          </cell>
          <cell r="AE91">
            <v>0</v>
          </cell>
          <cell r="AF91">
            <v>0</v>
          </cell>
        </row>
        <row r="92">
          <cell r="G92">
            <v>607</v>
          </cell>
          <cell r="H92" t="str">
            <v>Target (Budget)</v>
          </cell>
          <cell r="I92">
            <v>53302.889999999898</v>
          </cell>
          <cell r="J92">
            <v>-12453</v>
          </cell>
          <cell r="K92">
            <v>153977</v>
          </cell>
          <cell r="L92">
            <v>-14193</v>
          </cell>
          <cell r="M92">
            <v>-12318</v>
          </cell>
          <cell r="N92">
            <v>-12404</v>
          </cell>
          <cell r="O92">
            <v>-12191</v>
          </cell>
          <cell r="P92">
            <v>-12159</v>
          </cell>
          <cell r="Q92">
            <v>-14432</v>
          </cell>
          <cell r="R92">
            <v>-12187</v>
          </cell>
          <cell r="S92">
            <v>-12155</v>
          </cell>
          <cell r="T92">
            <v>-12155</v>
          </cell>
          <cell r="U92">
            <v>50050.969999999914</v>
          </cell>
          <cell r="V92">
            <v>188581</v>
          </cell>
          <cell r="W92">
            <v>-45807</v>
          </cell>
          <cell r="X92">
            <v>-11928</v>
          </cell>
          <cell r="Y92">
            <v>-11685</v>
          </cell>
          <cell r="Z92">
            <v>-11626</v>
          </cell>
          <cell r="AA92">
            <v>487990</v>
          </cell>
          <cell r="AB92">
            <v>-11625</v>
          </cell>
          <cell r="AC92">
            <v>-13914</v>
          </cell>
          <cell r="AD92">
            <v>-118863</v>
          </cell>
          <cell r="AE92">
            <v>0</v>
          </cell>
          <cell r="AF92">
            <v>0</v>
          </cell>
        </row>
        <row r="93">
          <cell r="G93">
            <v>610</v>
          </cell>
          <cell r="H93" t="str">
            <v>YTD Actual</v>
          </cell>
          <cell r="I93">
            <v>253575.86999999991</v>
          </cell>
          <cell r="J93">
            <v>243553.7399999999</v>
          </cell>
          <cell r="K93">
            <v>213539.31999999989</v>
          </cell>
          <cell r="L93">
            <v>174928.24999999988</v>
          </cell>
          <cell r="M93">
            <v>164970.8899999999</v>
          </cell>
          <cell r="N93">
            <v>154134.2699999999</v>
          </cell>
          <cell r="O93">
            <v>141647.89999999991</v>
          </cell>
          <cell r="P93">
            <v>120881.8599999999</v>
          </cell>
          <cell r="Q93">
            <v>106115.24999999988</v>
          </cell>
          <cell r="R93">
            <v>84528.279999999853</v>
          </cell>
          <cell r="S93">
            <v>73784.439999999886</v>
          </cell>
          <cell r="T93">
            <v>61694.969999999885</v>
          </cell>
          <cell r="U93">
            <v>50418.339999999909</v>
          </cell>
          <cell r="V93">
            <v>44812.609999999913</v>
          </cell>
          <cell r="W93">
            <v>200843.6399999999</v>
          </cell>
          <cell r="X93">
            <v>189068.49999999991</v>
          </cell>
          <cell r="Y93">
            <v>170917.56999999992</v>
          </cell>
          <cell r="Z93">
            <v>158818.92999999991</v>
          </cell>
          <cell r="AA93">
            <v>646092.13</v>
          </cell>
          <cell r="AB93">
            <v>633363.79</v>
          </cell>
          <cell r="AC93">
            <v>652693.49</v>
          </cell>
          <cell r="AD93">
            <v>533891.22</v>
          </cell>
          <cell r="AE93">
            <v>0</v>
          </cell>
          <cell r="AF93">
            <v>0</v>
          </cell>
        </row>
        <row r="94">
          <cell r="G94">
            <v>611</v>
          </cell>
          <cell r="H94" t="str">
            <v>YTD Target (Budget)</v>
          </cell>
          <cell r="I94">
            <v>53302.889999999898</v>
          </cell>
          <cell r="J94">
            <v>40849.889999999898</v>
          </cell>
          <cell r="K94">
            <v>194826.8899999999</v>
          </cell>
          <cell r="L94">
            <v>179218.8899999999</v>
          </cell>
          <cell r="M94">
            <v>166900.8899999999</v>
          </cell>
          <cell r="N94">
            <v>154496.8899999999</v>
          </cell>
          <cell r="O94">
            <v>142305.8899999999</v>
          </cell>
          <cell r="P94">
            <v>130146.8899999999</v>
          </cell>
          <cell r="Q94">
            <v>115714.8899999999</v>
          </cell>
          <cell r="R94">
            <v>103527.8899999999</v>
          </cell>
          <cell r="S94">
            <v>91372.889999999898</v>
          </cell>
          <cell r="T94">
            <v>79217.889999999898</v>
          </cell>
          <cell r="U94">
            <v>50050.969999999914</v>
          </cell>
          <cell r="V94">
            <v>238631.96999999991</v>
          </cell>
          <cell r="W94">
            <v>192824.96999999991</v>
          </cell>
          <cell r="X94">
            <v>182696.96999999991</v>
          </cell>
          <cell r="Y94">
            <v>171011.96999999991</v>
          </cell>
          <cell r="Z94">
            <v>159385.96999999991</v>
          </cell>
          <cell r="AA94">
            <v>647375.97</v>
          </cell>
          <cell r="AB94">
            <v>635750.97</v>
          </cell>
          <cell r="AC94">
            <v>621836.97</v>
          </cell>
          <cell r="AD94">
            <v>502973.96999999991</v>
          </cell>
          <cell r="AE94">
            <v>0</v>
          </cell>
          <cell r="AF94">
            <v>0</v>
          </cell>
        </row>
        <row r="95">
          <cell r="G95">
            <v>982</v>
          </cell>
          <cell r="H95" t="str">
            <v>Actual</v>
          </cell>
          <cell r="I95">
            <v>23981.659999999996</v>
          </cell>
          <cell r="J95">
            <v>9335.6200000000026</v>
          </cell>
          <cell r="K95">
            <v>32794.360000000015</v>
          </cell>
          <cell r="L95">
            <v>13759.910000000003</v>
          </cell>
          <cell r="M95">
            <v>22746.949999999997</v>
          </cell>
          <cell r="N95">
            <v>9925.2900000000009</v>
          </cell>
          <cell r="O95">
            <v>11386.64</v>
          </cell>
          <cell r="P95">
            <v>65115.74</v>
          </cell>
          <cell r="Q95">
            <v>-12877.709999999992</v>
          </cell>
          <cell r="R95">
            <v>12080.480000000003</v>
          </cell>
          <cell r="S95">
            <v>60096.420000000013</v>
          </cell>
          <cell r="T95">
            <v>-42476.369999999995</v>
          </cell>
          <cell r="U95">
            <v>29078.509999999995</v>
          </cell>
          <cell r="V95">
            <v>220607.15999999997</v>
          </cell>
          <cell r="W95">
            <v>42165.51</v>
          </cell>
          <cell r="X95">
            <v>34370.319999999992</v>
          </cell>
          <cell r="Y95">
            <v>39306.25</v>
          </cell>
          <cell r="Z95">
            <v>13005.470000000001</v>
          </cell>
          <cell r="AA95">
            <v>5765.0900000000038</v>
          </cell>
          <cell r="AB95">
            <v>-29480.920000000013</v>
          </cell>
          <cell r="AC95">
            <v>88249.59</v>
          </cell>
          <cell r="AD95">
            <v>228372.7</v>
          </cell>
          <cell r="AE95">
            <v>0</v>
          </cell>
          <cell r="AF95">
            <v>0</v>
          </cell>
        </row>
        <row r="96">
          <cell r="G96">
            <v>983</v>
          </cell>
          <cell r="H96" t="str">
            <v>Target (Budget)</v>
          </cell>
          <cell r="I96">
            <v>19360</v>
          </cell>
          <cell r="J96">
            <v>21852</v>
          </cell>
          <cell r="K96">
            <v>43210</v>
          </cell>
          <cell r="L96">
            <v>19811</v>
          </cell>
          <cell r="M96">
            <v>22076</v>
          </cell>
          <cell r="N96">
            <v>207239</v>
          </cell>
          <cell r="O96">
            <v>18557</v>
          </cell>
          <cell r="P96">
            <v>21457</v>
          </cell>
          <cell r="Q96">
            <v>43458</v>
          </cell>
          <cell r="R96">
            <v>21391</v>
          </cell>
          <cell r="S96">
            <v>20887</v>
          </cell>
          <cell r="T96">
            <v>19397</v>
          </cell>
          <cell r="U96">
            <v>278277</v>
          </cell>
          <cell r="V96">
            <v>23998</v>
          </cell>
          <cell r="W96">
            <v>45996</v>
          </cell>
          <cell r="X96">
            <v>23019</v>
          </cell>
          <cell r="Y96">
            <v>21754</v>
          </cell>
          <cell r="Z96">
            <v>19952</v>
          </cell>
          <cell r="AA96">
            <v>19551</v>
          </cell>
          <cell r="AB96">
            <v>22153</v>
          </cell>
          <cell r="AC96">
            <v>46428</v>
          </cell>
          <cell r="AD96">
            <v>21454</v>
          </cell>
          <cell r="AE96">
            <v>0</v>
          </cell>
          <cell r="AF96">
            <v>0</v>
          </cell>
        </row>
        <row r="97">
          <cell r="G97">
            <v>986</v>
          </cell>
          <cell r="H97" t="str">
            <v>YTD Actual</v>
          </cell>
          <cell r="I97">
            <v>23981.659999999996</v>
          </cell>
          <cell r="J97">
            <v>33317.279999999999</v>
          </cell>
          <cell r="K97">
            <v>66111.64</v>
          </cell>
          <cell r="L97">
            <v>79871.550000000017</v>
          </cell>
          <cell r="M97">
            <v>102618.5</v>
          </cell>
          <cell r="N97">
            <v>112543.78999999998</v>
          </cell>
          <cell r="O97">
            <v>123930.43</v>
          </cell>
          <cell r="P97">
            <v>189046.17000000004</v>
          </cell>
          <cell r="Q97">
            <v>176168.46000000008</v>
          </cell>
          <cell r="R97">
            <v>188248.94000000006</v>
          </cell>
          <cell r="S97">
            <v>248345.36</v>
          </cell>
          <cell r="T97">
            <v>205868.99000000005</v>
          </cell>
          <cell r="U97">
            <v>29078.509999999995</v>
          </cell>
          <cell r="V97">
            <v>249685.66999999998</v>
          </cell>
          <cell r="W97">
            <v>291851.18</v>
          </cell>
          <cell r="X97">
            <v>326221.5</v>
          </cell>
          <cell r="Y97">
            <v>365527.75</v>
          </cell>
          <cell r="Z97">
            <v>378533.22000000009</v>
          </cell>
          <cell r="AA97">
            <v>384298.31</v>
          </cell>
          <cell r="AB97">
            <v>354817.39</v>
          </cell>
          <cell r="AC97">
            <v>443066.98</v>
          </cell>
          <cell r="AD97">
            <v>671439.68</v>
          </cell>
          <cell r="AE97">
            <v>0</v>
          </cell>
          <cell r="AF97">
            <v>0</v>
          </cell>
        </row>
        <row r="98">
          <cell r="G98">
            <v>987</v>
          </cell>
          <cell r="H98" t="str">
            <v>YTD Target (Budget)</v>
          </cell>
          <cell r="I98">
            <v>19360</v>
          </cell>
          <cell r="J98">
            <v>41212</v>
          </cell>
          <cell r="K98">
            <v>84422</v>
          </cell>
          <cell r="L98">
            <v>104233</v>
          </cell>
          <cell r="M98">
            <v>126309</v>
          </cell>
          <cell r="N98">
            <v>333548</v>
          </cell>
          <cell r="O98">
            <v>352105</v>
          </cell>
          <cell r="P98">
            <v>373562</v>
          </cell>
          <cell r="Q98">
            <v>417020</v>
          </cell>
          <cell r="R98">
            <v>438411</v>
          </cell>
          <cell r="S98">
            <v>459298</v>
          </cell>
          <cell r="T98">
            <v>478695</v>
          </cell>
          <cell r="U98">
            <v>278277</v>
          </cell>
          <cell r="V98">
            <v>302275</v>
          </cell>
          <cell r="W98">
            <v>348271</v>
          </cell>
          <cell r="X98">
            <v>371290</v>
          </cell>
          <cell r="Y98">
            <v>393044</v>
          </cell>
          <cell r="Z98">
            <v>412996</v>
          </cell>
          <cell r="AA98">
            <v>432547</v>
          </cell>
          <cell r="AB98">
            <v>454700</v>
          </cell>
          <cell r="AC98">
            <v>501128</v>
          </cell>
          <cell r="AD98">
            <v>522582</v>
          </cell>
          <cell r="AE98">
            <v>0</v>
          </cell>
          <cell r="AF98">
            <v>0</v>
          </cell>
        </row>
        <row r="99">
          <cell r="G99">
            <v>3087</v>
          </cell>
          <cell r="H99" t="str">
            <v>Empl_Benefits</v>
          </cell>
          <cell r="I99">
            <v>16868.02</v>
          </cell>
          <cell r="J99">
            <v>16922.88</v>
          </cell>
          <cell r="K99">
            <v>23237.590000000007</v>
          </cell>
          <cell r="L99">
            <v>16535.650000000001</v>
          </cell>
          <cell r="M99">
            <v>20576.420000000006</v>
          </cell>
          <cell r="N99">
            <v>17296.370000000003</v>
          </cell>
          <cell r="O99">
            <v>17008.060000000001</v>
          </cell>
          <cell r="P99">
            <v>17713.190000000002</v>
          </cell>
          <cell r="Q99">
            <v>25256.02</v>
          </cell>
          <cell r="R99">
            <v>17655.63</v>
          </cell>
          <cell r="S99">
            <v>17209.140000000003</v>
          </cell>
          <cell r="T99">
            <v>16906.900000000001</v>
          </cell>
          <cell r="U99">
            <v>17039.819999999996</v>
          </cell>
          <cell r="V99">
            <v>16934.91</v>
          </cell>
          <cell r="W99">
            <v>24462.219999999998</v>
          </cell>
          <cell r="X99">
            <v>17030.89</v>
          </cell>
          <cell r="Y99">
            <v>17277.61</v>
          </cell>
          <cell r="Z99">
            <v>17189.939999999999</v>
          </cell>
          <cell r="AA99">
            <v>16985.21</v>
          </cell>
          <cell r="AB99">
            <v>18228.609999999997</v>
          </cell>
          <cell r="AC99">
            <v>25929.769999999997</v>
          </cell>
          <cell r="AD99">
            <v>18066.990000000002</v>
          </cell>
          <cell r="AE99">
            <v>0</v>
          </cell>
          <cell r="AF99">
            <v>0</v>
          </cell>
        </row>
        <row r="100">
          <cell r="G100">
            <v>3088</v>
          </cell>
          <cell r="H100" t="str">
            <v>Total Personnel</v>
          </cell>
          <cell r="I100">
            <v>52303.81</v>
          </cell>
          <cell r="J100">
            <v>52421.17</v>
          </cell>
          <cell r="K100">
            <v>77387.510000000009</v>
          </cell>
          <cell r="L100">
            <v>58031.89</v>
          </cell>
          <cell r="M100">
            <v>67700.34</v>
          </cell>
          <cell r="N100">
            <v>56064.01</v>
          </cell>
          <cell r="O100">
            <v>54295.22</v>
          </cell>
          <cell r="P100">
            <v>58677.32</v>
          </cell>
          <cell r="Q100">
            <v>82590.010000000009</v>
          </cell>
          <cell r="R100">
            <v>57784.639999999999</v>
          </cell>
          <cell r="S100">
            <v>55329.450000000012</v>
          </cell>
          <cell r="T100">
            <v>53479.92</v>
          </cell>
          <cell r="U100">
            <v>54209.539999999994</v>
          </cell>
          <cell r="V100">
            <v>53565.919999999998</v>
          </cell>
          <cell r="W100">
            <v>80430.98</v>
          </cell>
          <cell r="X100">
            <v>56680.789999999994</v>
          </cell>
          <cell r="Y100">
            <v>57389.479999999996</v>
          </cell>
          <cell r="Z100">
            <v>56974.2</v>
          </cell>
          <cell r="AA100">
            <v>55612.71</v>
          </cell>
          <cell r="AB100">
            <v>61396.829999999987</v>
          </cell>
          <cell r="AC100">
            <v>83875.75</v>
          </cell>
          <cell r="AD100">
            <v>58810.820000000007</v>
          </cell>
          <cell r="AE100">
            <v>0</v>
          </cell>
          <cell r="AF100">
            <v>0</v>
          </cell>
        </row>
        <row r="101">
          <cell r="G101">
            <v>3089</v>
          </cell>
          <cell r="H101" t="str">
            <v>Target Empl_Benefits</v>
          </cell>
          <cell r="I101">
            <v>18477</v>
          </cell>
          <cell r="J101">
            <v>18835</v>
          </cell>
          <cell r="K101">
            <v>24826</v>
          </cell>
          <cell r="L101">
            <v>17867</v>
          </cell>
          <cell r="M101">
            <v>18129</v>
          </cell>
          <cell r="N101">
            <v>18013</v>
          </cell>
          <cell r="O101">
            <v>17708</v>
          </cell>
          <cell r="P101">
            <v>17982</v>
          </cell>
          <cell r="Q101">
            <v>24799</v>
          </cell>
          <cell r="R101">
            <v>17949</v>
          </cell>
          <cell r="S101">
            <v>17949</v>
          </cell>
          <cell r="T101">
            <v>17895</v>
          </cell>
          <cell r="U101">
            <v>17943</v>
          </cell>
          <cell r="V101">
            <v>17931</v>
          </cell>
          <cell r="W101">
            <v>26229</v>
          </cell>
          <cell r="X101">
            <v>18683</v>
          </cell>
          <cell r="Y101">
            <v>18575</v>
          </cell>
          <cell r="Z101">
            <v>18317</v>
          </cell>
          <cell r="AA101">
            <v>18209</v>
          </cell>
          <cell r="AB101">
            <v>18655</v>
          </cell>
          <cell r="AC101">
            <v>26346</v>
          </cell>
          <cell r="AD101">
            <v>18469</v>
          </cell>
          <cell r="AE101">
            <v>0</v>
          </cell>
          <cell r="AF101">
            <v>0</v>
          </cell>
        </row>
        <row r="102">
          <cell r="G102">
            <v>3090</v>
          </cell>
          <cell r="H102" t="str">
            <v>Target Total Personnel</v>
          </cell>
          <cell r="I102">
            <v>58442</v>
          </cell>
          <cell r="J102">
            <v>60997</v>
          </cell>
          <cell r="K102">
            <v>82356</v>
          </cell>
          <cell r="L102">
            <v>58897</v>
          </cell>
          <cell r="M102">
            <v>61222</v>
          </cell>
          <cell r="N102">
            <v>60385</v>
          </cell>
          <cell r="O102">
            <v>57643</v>
          </cell>
          <cell r="P102">
            <v>60604</v>
          </cell>
          <cell r="Q102">
            <v>82605</v>
          </cell>
          <cell r="R102">
            <v>60478</v>
          </cell>
          <cell r="S102">
            <v>60037</v>
          </cell>
          <cell r="T102">
            <v>58548</v>
          </cell>
          <cell r="U102">
            <v>59068</v>
          </cell>
          <cell r="V102">
            <v>58470</v>
          </cell>
          <cell r="W102">
            <v>86470</v>
          </cell>
          <cell r="X102">
            <v>63493</v>
          </cell>
          <cell r="Y102">
            <v>62228</v>
          </cell>
          <cell r="Z102">
            <v>60426</v>
          </cell>
          <cell r="AA102">
            <v>60025</v>
          </cell>
          <cell r="AB102">
            <v>62628</v>
          </cell>
          <cell r="AC102">
            <v>86904</v>
          </cell>
          <cell r="AD102">
            <v>61929</v>
          </cell>
          <cell r="AE102">
            <v>0</v>
          </cell>
          <cell r="AF102">
            <v>0</v>
          </cell>
        </row>
        <row r="103">
          <cell r="G103">
            <v>3091</v>
          </cell>
          <cell r="H103" t="str">
            <v>YTD Empl_Benefits</v>
          </cell>
          <cell r="I103">
            <v>16868.02</v>
          </cell>
          <cell r="J103">
            <v>33790.899999999994</v>
          </cell>
          <cell r="K103">
            <v>57028.49</v>
          </cell>
          <cell r="L103">
            <v>73564.14</v>
          </cell>
          <cell r="M103">
            <v>94140.56</v>
          </cell>
          <cell r="N103">
            <v>111436.93000000002</v>
          </cell>
          <cell r="O103">
            <v>128444.99000000002</v>
          </cell>
          <cell r="P103">
            <v>146158.18000000002</v>
          </cell>
          <cell r="Q103">
            <v>171414.20000000004</v>
          </cell>
          <cell r="R103">
            <v>189069.83000000005</v>
          </cell>
          <cell r="S103">
            <v>206278.97</v>
          </cell>
          <cell r="T103">
            <v>223185.87000000002</v>
          </cell>
          <cell r="U103">
            <v>17039.819999999996</v>
          </cell>
          <cell r="V103">
            <v>33974.730000000003</v>
          </cell>
          <cell r="W103">
            <v>58436.950000000004</v>
          </cell>
          <cell r="X103">
            <v>75467.839999999997</v>
          </cell>
          <cell r="Y103">
            <v>92745.45</v>
          </cell>
          <cell r="Z103">
            <v>109935.39</v>
          </cell>
          <cell r="AA103">
            <v>126920.59999999999</v>
          </cell>
          <cell r="AB103">
            <v>145149.21</v>
          </cell>
          <cell r="AC103">
            <v>171078.97999999998</v>
          </cell>
          <cell r="AD103">
            <v>189145.97</v>
          </cell>
          <cell r="AE103">
            <v>0</v>
          </cell>
          <cell r="AF103">
            <v>0</v>
          </cell>
        </row>
        <row r="104">
          <cell r="G104">
            <v>3092</v>
          </cell>
          <cell r="H104" t="str">
            <v>YTD Total Personnel</v>
          </cell>
          <cell r="I104">
            <v>52303.81</v>
          </cell>
          <cell r="J104">
            <v>104724.98</v>
          </cell>
          <cell r="K104">
            <v>182112.49</v>
          </cell>
          <cell r="L104">
            <v>240144.38</v>
          </cell>
          <cell r="M104">
            <v>307844.71999999997</v>
          </cell>
          <cell r="N104">
            <v>363908.73</v>
          </cell>
          <cell r="O104">
            <v>418203.94999999995</v>
          </cell>
          <cell r="P104">
            <v>476881.27</v>
          </cell>
          <cell r="Q104">
            <v>559471.28</v>
          </cell>
          <cell r="R104">
            <v>617255.92000000004</v>
          </cell>
          <cell r="S104">
            <v>672585.37</v>
          </cell>
          <cell r="T104">
            <v>726065.29</v>
          </cell>
          <cell r="U104">
            <v>54209.539999999994</v>
          </cell>
          <cell r="V104">
            <v>107775.45999999999</v>
          </cell>
          <cell r="W104">
            <v>188206.44</v>
          </cell>
          <cell r="X104">
            <v>244887.22999999998</v>
          </cell>
          <cell r="Y104">
            <v>302276.70999999996</v>
          </cell>
          <cell r="Z104">
            <v>359250.91000000003</v>
          </cell>
          <cell r="AA104">
            <v>414863.62</v>
          </cell>
          <cell r="AB104">
            <v>476260.44999999995</v>
          </cell>
          <cell r="AC104">
            <v>560136.19999999995</v>
          </cell>
          <cell r="AD104">
            <v>618947.02</v>
          </cell>
          <cell r="AE104">
            <v>0</v>
          </cell>
          <cell r="AF104">
            <v>0</v>
          </cell>
        </row>
        <row r="105">
          <cell r="G105">
            <v>3093</v>
          </cell>
          <cell r="H105" t="str">
            <v>YTD Target Empl_Benefits</v>
          </cell>
          <cell r="I105">
            <v>18477</v>
          </cell>
          <cell r="J105">
            <v>37312</v>
          </cell>
          <cell r="K105">
            <v>62138</v>
          </cell>
          <cell r="L105">
            <v>80005</v>
          </cell>
          <cell r="M105">
            <v>98134</v>
          </cell>
          <cell r="N105">
            <v>116147</v>
          </cell>
          <cell r="O105">
            <v>133855</v>
          </cell>
          <cell r="P105">
            <v>151837</v>
          </cell>
          <cell r="Q105">
            <v>176636</v>
          </cell>
          <cell r="R105">
            <v>194585</v>
          </cell>
          <cell r="S105">
            <v>212534</v>
          </cell>
          <cell r="T105">
            <v>230429</v>
          </cell>
          <cell r="U105">
            <v>17943</v>
          </cell>
          <cell r="V105">
            <v>35874</v>
          </cell>
          <cell r="W105">
            <v>62103</v>
          </cell>
          <cell r="X105">
            <v>80786</v>
          </cell>
          <cell r="Y105">
            <v>99361</v>
          </cell>
          <cell r="Z105">
            <v>117678</v>
          </cell>
          <cell r="AA105">
            <v>135887</v>
          </cell>
          <cell r="AB105">
            <v>154542</v>
          </cell>
          <cell r="AC105">
            <v>180888</v>
          </cell>
          <cell r="AD105">
            <v>199357</v>
          </cell>
          <cell r="AE105">
            <v>0</v>
          </cell>
          <cell r="AF105">
            <v>0</v>
          </cell>
        </row>
        <row r="106">
          <cell r="G106">
            <v>3094</v>
          </cell>
          <cell r="H106" t="str">
            <v>YTD Target Total Personnel</v>
          </cell>
          <cell r="I106">
            <v>58442</v>
          </cell>
          <cell r="J106">
            <v>119439</v>
          </cell>
          <cell r="K106">
            <v>201795</v>
          </cell>
          <cell r="L106">
            <v>260692</v>
          </cell>
          <cell r="M106">
            <v>321914</v>
          </cell>
          <cell r="N106">
            <v>382299</v>
          </cell>
          <cell r="O106">
            <v>439942</v>
          </cell>
          <cell r="P106">
            <v>500546</v>
          </cell>
          <cell r="Q106">
            <v>583151</v>
          </cell>
          <cell r="R106">
            <v>643629</v>
          </cell>
          <cell r="S106">
            <v>703666</v>
          </cell>
          <cell r="T106">
            <v>762214</v>
          </cell>
          <cell r="U106">
            <v>59068</v>
          </cell>
          <cell r="V106">
            <v>117538</v>
          </cell>
          <cell r="W106">
            <v>204008</v>
          </cell>
          <cell r="X106">
            <v>267501</v>
          </cell>
          <cell r="Y106">
            <v>329729</v>
          </cell>
          <cell r="Z106">
            <v>390155</v>
          </cell>
          <cell r="AA106">
            <v>450180</v>
          </cell>
          <cell r="AB106">
            <v>512808</v>
          </cell>
          <cell r="AC106">
            <v>599712</v>
          </cell>
          <cell r="AD106">
            <v>661641</v>
          </cell>
          <cell r="AE106">
            <v>0</v>
          </cell>
          <cell r="AF106">
            <v>0</v>
          </cell>
        </row>
        <row r="107">
          <cell r="G107">
            <v>995</v>
          </cell>
          <cell r="H107" t="str">
            <v>Actual</v>
          </cell>
          <cell r="I107">
            <v>688752.65999999992</v>
          </cell>
          <cell r="J107">
            <v>185637.17</v>
          </cell>
          <cell r="K107">
            <v>-32794.360000000015</v>
          </cell>
          <cell r="L107">
            <v>-13759.910000000003</v>
          </cell>
          <cell r="M107">
            <v>-22746.949999999997</v>
          </cell>
          <cell r="N107">
            <v>-9925.2900000000009</v>
          </cell>
          <cell r="O107">
            <v>-11386.64</v>
          </cell>
          <cell r="P107">
            <v>-65115.74</v>
          </cell>
          <cell r="Q107">
            <v>12877.709999999992</v>
          </cell>
          <cell r="R107">
            <v>-12080.480000000003</v>
          </cell>
          <cell r="S107">
            <v>-60096.420000000013</v>
          </cell>
          <cell r="T107">
            <v>42476.369999999995</v>
          </cell>
          <cell r="U107">
            <v>671122.93999999983</v>
          </cell>
          <cell r="V107">
            <v>-25634.369999999966</v>
          </cell>
          <cell r="W107">
            <v>-37652.590000000004</v>
          </cell>
          <cell r="X107">
            <v>-34370.319999999992</v>
          </cell>
          <cell r="Y107">
            <v>-39306.25</v>
          </cell>
          <cell r="Z107">
            <v>-13005.470000000001</v>
          </cell>
          <cell r="AA107">
            <v>-5765.0900000000038</v>
          </cell>
          <cell r="AB107">
            <v>29480.920000000013</v>
          </cell>
          <cell r="AC107">
            <v>-88249.59</v>
          </cell>
          <cell r="AD107">
            <v>-228372.7</v>
          </cell>
          <cell r="AE107">
            <v>0</v>
          </cell>
          <cell r="AF107">
            <v>0</v>
          </cell>
        </row>
        <row r="108">
          <cell r="G108">
            <v>996</v>
          </cell>
          <cell r="H108" t="str">
            <v>Target (Budget)</v>
          </cell>
          <cell r="I108">
            <v>693374.32</v>
          </cell>
          <cell r="J108">
            <v>173120.79</v>
          </cell>
          <cell r="K108">
            <v>-43210</v>
          </cell>
          <cell r="L108">
            <v>-19811</v>
          </cell>
          <cell r="M108">
            <v>-22076</v>
          </cell>
          <cell r="N108">
            <v>-207239</v>
          </cell>
          <cell r="O108">
            <v>-18557</v>
          </cell>
          <cell r="P108">
            <v>-21457</v>
          </cell>
          <cell r="Q108">
            <v>-43458</v>
          </cell>
          <cell r="R108">
            <v>-21391</v>
          </cell>
          <cell r="S108">
            <v>-20887</v>
          </cell>
          <cell r="T108">
            <v>-19397</v>
          </cell>
          <cell r="U108">
            <v>421924.44999999984</v>
          </cell>
          <cell r="V108">
            <v>170974.79</v>
          </cell>
          <cell r="W108">
            <v>-41483.08</v>
          </cell>
          <cell r="X108">
            <v>-23019</v>
          </cell>
          <cell r="Y108">
            <v>-21754</v>
          </cell>
          <cell r="Z108">
            <v>-19952</v>
          </cell>
          <cell r="AA108">
            <v>-19551</v>
          </cell>
          <cell r="AB108">
            <v>-22153</v>
          </cell>
          <cell r="AC108">
            <v>-46428</v>
          </cell>
          <cell r="AD108">
            <v>-21454</v>
          </cell>
          <cell r="AE108">
            <v>0</v>
          </cell>
          <cell r="AF108">
            <v>0</v>
          </cell>
        </row>
        <row r="109">
          <cell r="G109">
            <v>999</v>
          </cell>
          <cell r="H109" t="str">
            <v>YTD Actual</v>
          </cell>
          <cell r="I109">
            <v>688752.65999999992</v>
          </cell>
          <cell r="J109">
            <v>874389.83</v>
          </cell>
          <cell r="K109">
            <v>841595.47</v>
          </cell>
          <cell r="L109">
            <v>827835.55999999994</v>
          </cell>
          <cell r="M109">
            <v>805088.61</v>
          </cell>
          <cell r="N109">
            <v>795163.32000000007</v>
          </cell>
          <cell r="O109">
            <v>783776.67999999993</v>
          </cell>
          <cell r="P109">
            <v>718660.94</v>
          </cell>
          <cell r="Q109">
            <v>731538.64999999991</v>
          </cell>
          <cell r="R109">
            <v>719458.16999999993</v>
          </cell>
          <cell r="S109">
            <v>659378.30000000005</v>
          </cell>
          <cell r="T109">
            <v>701854.66999999993</v>
          </cell>
          <cell r="U109">
            <v>671139.48999999987</v>
          </cell>
          <cell r="V109">
            <v>645505.11999999988</v>
          </cell>
          <cell r="W109">
            <v>607852.53</v>
          </cell>
          <cell r="X109">
            <v>573482.21</v>
          </cell>
          <cell r="Y109">
            <v>534175.96</v>
          </cell>
          <cell r="Z109">
            <v>521170.48999999987</v>
          </cell>
          <cell r="AA109">
            <v>515405.39999999997</v>
          </cell>
          <cell r="AB109">
            <v>544886.31999999995</v>
          </cell>
          <cell r="AC109">
            <v>456636.73</v>
          </cell>
          <cell r="AD109">
            <v>228264.02999999991</v>
          </cell>
          <cell r="AE109">
            <v>0</v>
          </cell>
          <cell r="AF109">
            <v>0</v>
          </cell>
        </row>
        <row r="110">
          <cell r="G110">
            <v>1000</v>
          </cell>
          <cell r="H110" t="str">
            <v>YTD Target (Budget)</v>
          </cell>
          <cell r="I110">
            <v>693390.87</v>
          </cell>
          <cell r="J110">
            <v>866511.65999999992</v>
          </cell>
          <cell r="K110">
            <v>823301.66</v>
          </cell>
          <cell r="L110">
            <v>803490.66</v>
          </cell>
          <cell r="M110">
            <v>781414.66</v>
          </cell>
          <cell r="N110">
            <v>574175.66</v>
          </cell>
          <cell r="O110">
            <v>555618.66</v>
          </cell>
          <cell r="P110">
            <v>534161.66</v>
          </cell>
          <cell r="Q110">
            <v>490703.66000000003</v>
          </cell>
          <cell r="R110">
            <v>469312.66000000003</v>
          </cell>
          <cell r="S110">
            <v>448425.66000000003</v>
          </cell>
          <cell r="T110">
            <v>429028.66000000003</v>
          </cell>
          <cell r="U110">
            <v>421940.99999999988</v>
          </cell>
          <cell r="V110">
            <v>592915.78999999992</v>
          </cell>
          <cell r="W110">
            <v>551432.71</v>
          </cell>
          <cell r="X110">
            <v>528413.71</v>
          </cell>
          <cell r="Y110">
            <v>506659.70999999996</v>
          </cell>
          <cell r="Z110">
            <v>486707.70999999996</v>
          </cell>
          <cell r="AA110">
            <v>467156.70999999996</v>
          </cell>
          <cell r="AB110">
            <v>445003.70999999996</v>
          </cell>
          <cell r="AC110">
            <v>398575.70999999996</v>
          </cell>
          <cell r="AD110">
            <v>377121.70999999996</v>
          </cell>
          <cell r="AE110">
            <v>0</v>
          </cell>
          <cell r="AF110">
            <v>0</v>
          </cell>
        </row>
        <row r="111">
          <cell r="G111">
            <v>1008</v>
          </cell>
          <cell r="H111" t="str">
            <v>Actual</v>
          </cell>
          <cell r="I111">
            <v>688703.55999999994</v>
          </cell>
          <cell r="J111">
            <v>185542.63</v>
          </cell>
          <cell r="K111">
            <v>-32928.860000000015</v>
          </cell>
          <cell r="L111">
            <v>-13852.180000000004</v>
          </cell>
          <cell r="M111">
            <v>-22952.139999999996</v>
          </cell>
          <cell r="N111">
            <v>-10151.77</v>
          </cell>
          <cell r="O111">
            <v>-11522.019999999999</v>
          </cell>
          <cell r="P111">
            <v>-65202.25</v>
          </cell>
          <cell r="Q111">
            <v>12700.089999999991</v>
          </cell>
          <cell r="R111">
            <v>-12214.810000000003</v>
          </cell>
          <cell r="S111">
            <v>-60213.890000000014</v>
          </cell>
          <cell r="T111">
            <v>42293.09</v>
          </cell>
          <cell r="U111">
            <v>671009.16999999981</v>
          </cell>
          <cell r="V111">
            <v>-25709.159999999967</v>
          </cell>
          <cell r="W111">
            <v>-37939.560000000005</v>
          </cell>
          <cell r="X111">
            <v>-34477.549999999996</v>
          </cell>
          <cell r="Y111">
            <v>-39380.300000000003</v>
          </cell>
          <cell r="Z111">
            <v>-13205.220000000001</v>
          </cell>
          <cell r="AA111">
            <v>-5868.7300000000041</v>
          </cell>
          <cell r="AB111">
            <v>29374.590000000011</v>
          </cell>
          <cell r="AC111">
            <v>-88393.31</v>
          </cell>
          <cell r="AD111">
            <v>-228435.45</v>
          </cell>
          <cell r="AE111">
            <v>0</v>
          </cell>
          <cell r="AF111">
            <v>0</v>
          </cell>
        </row>
        <row r="112">
          <cell r="G112">
            <v>1009</v>
          </cell>
          <cell r="H112" t="str">
            <v>Target (Budget)</v>
          </cell>
          <cell r="I112">
            <v>693227.32</v>
          </cell>
          <cell r="J112">
            <v>172973.79</v>
          </cell>
          <cell r="K112">
            <v>-43357</v>
          </cell>
          <cell r="L112">
            <v>-19958</v>
          </cell>
          <cell r="M112">
            <v>-22223</v>
          </cell>
          <cell r="N112">
            <v>-207386</v>
          </cell>
          <cell r="O112">
            <v>-18704</v>
          </cell>
          <cell r="P112">
            <v>-21603</v>
          </cell>
          <cell r="Q112">
            <v>-43604</v>
          </cell>
          <cell r="R112">
            <v>-21537</v>
          </cell>
          <cell r="S112">
            <v>-21033</v>
          </cell>
          <cell r="T112">
            <v>-19543</v>
          </cell>
          <cell r="U112">
            <v>421786.44999999984</v>
          </cell>
          <cell r="V112">
            <v>170836.79</v>
          </cell>
          <cell r="W112">
            <v>-41621.08</v>
          </cell>
          <cell r="X112">
            <v>-23156</v>
          </cell>
          <cell r="Y112">
            <v>-21891</v>
          </cell>
          <cell r="Z112">
            <v>-20089</v>
          </cell>
          <cell r="AA112">
            <v>-19688</v>
          </cell>
          <cell r="AB112">
            <v>-22290</v>
          </cell>
          <cell r="AC112">
            <v>-46565</v>
          </cell>
          <cell r="AD112">
            <v>-21591</v>
          </cell>
          <cell r="AE112">
            <v>0</v>
          </cell>
          <cell r="AF112">
            <v>0</v>
          </cell>
        </row>
        <row r="113">
          <cell r="G113">
            <v>1012</v>
          </cell>
          <cell r="H113" t="str">
            <v>YTD Actual</v>
          </cell>
          <cell r="I113">
            <v>688703.55999999994</v>
          </cell>
          <cell r="J113">
            <v>874246.19</v>
          </cell>
          <cell r="K113">
            <v>841317.33</v>
          </cell>
          <cell r="L113">
            <v>827465.14999999991</v>
          </cell>
          <cell r="M113">
            <v>804513.01</v>
          </cell>
          <cell r="N113">
            <v>794361.24000000011</v>
          </cell>
          <cell r="O113">
            <v>782839.22</v>
          </cell>
          <cell r="P113">
            <v>717636.97</v>
          </cell>
          <cell r="Q113">
            <v>730337.05999999994</v>
          </cell>
          <cell r="R113">
            <v>718122.24999999988</v>
          </cell>
          <cell r="S113">
            <v>657924.91</v>
          </cell>
          <cell r="T113">
            <v>700217.99999999988</v>
          </cell>
          <cell r="U113">
            <v>671025.71999999986</v>
          </cell>
          <cell r="V113">
            <v>645316.55999999982</v>
          </cell>
          <cell r="W113">
            <v>607377</v>
          </cell>
          <cell r="X113">
            <v>572899.44999999995</v>
          </cell>
          <cell r="Y113">
            <v>533519.14999999991</v>
          </cell>
          <cell r="Z113">
            <v>520313.92999999988</v>
          </cell>
          <cell r="AA113">
            <v>514445.19999999995</v>
          </cell>
          <cell r="AB113">
            <v>543819.78999999992</v>
          </cell>
          <cell r="AC113">
            <v>455426.48</v>
          </cell>
          <cell r="AD113">
            <v>226991.02999999991</v>
          </cell>
          <cell r="AE113">
            <v>0</v>
          </cell>
          <cell r="AF113">
            <v>0</v>
          </cell>
        </row>
        <row r="114">
          <cell r="G114">
            <v>1013</v>
          </cell>
          <cell r="H114" t="str">
            <v>YTD Target (Budget)</v>
          </cell>
          <cell r="I114">
            <v>693243.87</v>
          </cell>
          <cell r="J114">
            <v>866217.65999999992</v>
          </cell>
          <cell r="K114">
            <v>822860.66</v>
          </cell>
          <cell r="L114">
            <v>802902.66</v>
          </cell>
          <cell r="M114">
            <v>780679.66</v>
          </cell>
          <cell r="N114">
            <v>573293.66</v>
          </cell>
          <cell r="O114">
            <v>554589.66</v>
          </cell>
          <cell r="P114">
            <v>532986.66</v>
          </cell>
          <cell r="Q114">
            <v>489382.66000000003</v>
          </cell>
          <cell r="R114">
            <v>467845.66000000003</v>
          </cell>
          <cell r="S114">
            <v>446812.66000000003</v>
          </cell>
          <cell r="T114">
            <v>427269.66000000003</v>
          </cell>
          <cell r="U114">
            <v>421802.99999999988</v>
          </cell>
          <cell r="V114">
            <v>592639.78999999992</v>
          </cell>
          <cell r="W114">
            <v>551018.71</v>
          </cell>
          <cell r="X114">
            <v>527862.71</v>
          </cell>
          <cell r="Y114">
            <v>505971.70999999996</v>
          </cell>
          <cell r="Z114">
            <v>485882.70999999996</v>
          </cell>
          <cell r="AA114">
            <v>466194.70999999996</v>
          </cell>
          <cell r="AB114">
            <v>443904.70999999996</v>
          </cell>
          <cell r="AC114">
            <v>397339.70999999996</v>
          </cell>
          <cell r="AD114">
            <v>375748.70999999996</v>
          </cell>
          <cell r="AE114">
            <v>0</v>
          </cell>
          <cell r="AF114">
            <v>0</v>
          </cell>
        </row>
        <row r="115">
          <cell r="G115">
            <v>3160</v>
          </cell>
          <cell r="H115" t="str">
            <v>Actual</v>
          </cell>
          <cell r="I115">
            <v>218.89</v>
          </cell>
          <cell r="J115">
            <v>145.85</v>
          </cell>
          <cell r="K115">
            <v>4081.71</v>
          </cell>
          <cell r="L115">
            <v>3966.71</v>
          </cell>
          <cell r="M115">
            <v>3139.53</v>
          </cell>
          <cell r="N115">
            <v>1393.22</v>
          </cell>
          <cell r="O115">
            <v>828.13</v>
          </cell>
          <cell r="P115">
            <v>3827.93</v>
          </cell>
          <cell r="Q115">
            <v>4172.26</v>
          </cell>
          <cell r="R115">
            <v>2523.15</v>
          </cell>
          <cell r="S115">
            <v>1313.8</v>
          </cell>
          <cell r="T115">
            <v>0</v>
          </cell>
          <cell r="U115">
            <v>296.33</v>
          </cell>
          <cell r="V115">
            <v>0</v>
          </cell>
          <cell r="W115">
            <v>4772.07</v>
          </cell>
          <cell r="X115">
            <v>3607.78</v>
          </cell>
          <cell r="Y115">
            <v>3526.09</v>
          </cell>
          <cell r="Z115">
            <v>3308.65</v>
          </cell>
          <cell r="AA115">
            <v>2210.2199999999998</v>
          </cell>
          <cell r="AB115">
            <v>5134.71</v>
          </cell>
          <cell r="AC115">
            <v>3116.46</v>
          </cell>
          <cell r="AD115">
            <v>1988.84</v>
          </cell>
          <cell r="AE115">
            <v>0</v>
          </cell>
          <cell r="AF115">
            <v>0</v>
          </cell>
        </row>
        <row r="116">
          <cell r="G116">
            <v>3161</v>
          </cell>
          <cell r="H116" t="str">
            <v>Target (Budget)</v>
          </cell>
          <cell r="I116">
            <v>414</v>
          </cell>
          <cell r="J116">
            <v>414</v>
          </cell>
          <cell r="K116">
            <v>2899</v>
          </cell>
          <cell r="L116">
            <v>1449</v>
          </cell>
          <cell r="M116">
            <v>3106</v>
          </cell>
          <cell r="N116">
            <v>2485</v>
          </cell>
          <cell r="O116">
            <v>621</v>
          </cell>
          <cell r="P116">
            <v>2278</v>
          </cell>
          <cell r="Q116">
            <v>2692</v>
          </cell>
          <cell r="R116">
            <v>2071</v>
          </cell>
          <cell r="S116">
            <v>1864</v>
          </cell>
          <cell r="T116">
            <v>414</v>
          </cell>
          <cell r="U116">
            <v>201</v>
          </cell>
          <cell r="V116">
            <v>135</v>
          </cell>
          <cell r="W116">
            <v>3753</v>
          </cell>
          <cell r="X116">
            <v>3646</v>
          </cell>
          <cell r="Y116">
            <v>2886</v>
          </cell>
          <cell r="Z116">
            <v>1281</v>
          </cell>
          <cell r="AA116">
            <v>761</v>
          </cell>
          <cell r="AB116">
            <v>3519</v>
          </cell>
          <cell r="AC116">
            <v>3836</v>
          </cell>
          <cell r="AD116">
            <v>2321</v>
          </cell>
          <cell r="AE116">
            <v>0</v>
          </cell>
          <cell r="AF116">
            <v>0</v>
          </cell>
        </row>
        <row r="117">
          <cell r="G117">
            <v>3164</v>
          </cell>
          <cell r="H117" t="str">
            <v>YTD Actual</v>
          </cell>
          <cell r="I117">
            <v>218.89</v>
          </cell>
          <cell r="J117">
            <v>364.74</v>
          </cell>
          <cell r="K117">
            <v>4446.45</v>
          </cell>
          <cell r="L117">
            <v>8413.16</v>
          </cell>
          <cell r="M117">
            <v>11552.69</v>
          </cell>
          <cell r="N117">
            <v>12945.91</v>
          </cell>
          <cell r="O117">
            <v>13774.04</v>
          </cell>
          <cell r="P117">
            <v>17601.97</v>
          </cell>
          <cell r="Q117">
            <v>21774.23</v>
          </cell>
          <cell r="R117">
            <v>24297.38</v>
          </cell>
          <cell r="S117">
            <v>25611.18</v>
          </cell>
          <cell r="T117">
            <v>25611.18</v>
          </cell>
          <cell r="U117">
            <v>296.33</v>
          </cell>
          <cell r="V117">
            <v>296.33</v>
          </cell>
          <cell r="W117">
            <v>5068.3999999999996</v>
          </cell>
          <cell r="X117">
            <v>8676.18</v>
          </cell>
          <cell r="Y117">
            <v>12202.27</v>
          </cell>
          <cell r="Z117">
            <v>15510.92</v>
          </cell>
          <cell r="AA117">
            <v>17721.14</v>
          </cell>
          <cell r="AB117">
            <v>22855.85</v>
          </cell>
          <cell r="AC117">
            <v>25972.31</v>
          </cell>
          <cell r="AD117">
            <v>27961.15</v>
          </cell>
          <cell r="AE117">
            <v>0</v>
          </cell>
          <cell r="AF117">
            <v>0</v>
          </cell>
        </row>
        <row r="118">
          <cell r="G118">
            <v>3165</v>
          </cell>
          <cell r="H118" t="str">
            <v>YTD Target (Budget)</v>
          </cell>
          <cell r="I118">
            <v>414</v>
          </cell>
          <cell r="J118">
            <v>828</v>
          </cell>
          <cell r="K118">
            <v>3727</v>
          </cell>
          <cell r="L118">
            <v>5176</v>
          </cell>
          <cell r="M118">
            <v>8282</v>
          </cell>
          <cell r="N118">
            <v>10767</v>
          </cell>
          <cell r="O118">
            <v>11388</v>
          </cell>
          <cell r="P118">
            <v>13666</v>
          </cell>
          <cell r="Q118">
            <v>16358</v>
          </cell>
          <cell r="R118">
            <v>18429</v>
          </cell>
          <cell r="S118">
            <v>20293</v>
          </cell>
          <cell r="T118">
            <v>20707</v>
          </cell>
          <cell r="U118">
            <v>201</v>
          </cell>
          <cell r="V118">
            <v>336</v>
          </cell>
          <cell r="W118">
            <v>4089</v>
          </cell>
          <cell r="X118">
            <v>7735</v>
          </cell>
          <cell r="Y118">
            <v>10621</v>
          </cell>
          <cell r="Z118">
            <v>11902</v>
          </cell>
          <cell r="AA118">
            <v>12663</v>
          </cell>
          <cell r="AB118">
            <v>16182</v>
          </cell>
          <cell r="AC118">
            <v>20018</v>
          </cell>
          <cell r="AD118">
            <v>22339</v>
          </cell>
          <cell r="AE118">
            <v>0</v>
          </cell>
          <cell r="AF118">
            <v>0</v>
          </cell>
        </row>
        <row r="119">
          <cell r="G119">
            <v>2700</v>
          </cell>
          <cell r="H119" t="str">
            <v>Actual</v>
          </cell>
          <cell r="I119">
            <v>436633.93</v>
          </cell>
          <cell r="J119">
            <v>477342.25</v>
          </cell>
          <cell r="K119">
            <v>1121193.24</v>
          </cell>
          <cell r="L119">
            <v>354681.18</v>
          </cell>
          <cell r="M119">
            <v>491000.08</v>
          </cell>
          <cell r="N119">
            <v>356227.89</v>
          </cell>
          <cell r="O119">
            <v>369409.77</v>
          </cell>
          <cell r="P119">
            <v>363283.86</v>
          </cell>
          <cell r="Q119">
            <v>410905.93000000005</v>
          </cell>
          <cell r="R119">
            <v>366973.67</v>
          </cell>
          <cell r="S119">
            <v>388680.5</v>
          </cell>
          <cell r="T119">
            <v>363011.1</v>
          </cell>
          <cell r="U119">
            <v>456718.93</v>
          </cell>
          <cell r="V119">
            <v>482064.4</v>
          </cell>
          <cell r="W119">
            <v>1348812.15</v>
          </cell>
          <cell r="X119">
            <v>404878.32</v>
          </cell>
          <cell r="Y119">
            <v>400278.83</v>
          </cell>
          <cell r="Z119">
            <v>419970.33</v>
          </cell>
          <cell r="AA119">
            <v>219589.52</v>
          </cell>
          <cell r="AB119">
            <v>593778.12</v>
          </cell>
          <cell r="AC119">
            <v>424359.14</v>
          </cell>
          <cell r="AD119">
            <v>397417.82</v>
          </cell>
          <cell r="AE119">
            <v>0</v>
          </cell>
          <cell r="AF119">
            <v>0</v>
          </cell>
        </row>
        <row r="120">
          <cell r="G120">
            <v>2701</v>
          </cell>
          <cell r="H120" t="str">
            <v>Target (Budget)</v>
          </cell>
          <cell r="I120">
            <v>402462</v>
          </cell>
          <cell r="J120">
            <v>443560</v>
          </cell>
          <cell r="K120">
            <v>432793</v>
          </cell>
          <cell r="L120">
            <v>415082</v>
          </cell>
          <cell r="M120">
            <v>387247</v>
          </cell>
          <cell r="N120">
            <v>400653</v>
          </cell>
          <cell r="O120">
            <v>401070</v>
          </cell>
          <cell r="P120">
            <v>399846</v>
          </cell>
          <cell r="Q120">
            <v>459311</v>
          </cell>
          <cell r="R120">
            <v>400050</v>
          </cell>
          <cell r="S120">
            <v>427666</v>
          </cell>
          <cell r="T120">
            <v>429276</v>
          </cell>
          <cell r="U120">
            <v>741385.76</v>
          </cell>
          <cell r="V120">
            <v>785517.79</v>
          </cell>
          <cell r="W120">
            <v>778943.41</v>
          </cell>
          <cell r="X120">
            <v>380884.75</v>
          </cell>
          <cell r="Y120">
            <v>377301.75</v>
          </cell>
          <cell r="Z120">
            <v>372874.63</v>
          </cell>
          <cell r="AA120">
            <v>399138.46</v>
          </cell>
          <cell r="AB120">
            <v>382693.64</v>
          </cell>
          <cell r="AC120">
            <v>446665.83999999997</v>
          </cell>
          <cell r="AD120">
            <v>393275.14999999997</v>
          </cell>
          <cell r="AE120">
            <v>0</v>
          </cell>
          <cell r="AF120">
            <v>0</v>
          </cell>
        </row>
        <row r="121">
          <cell r="G121">
            <v>2704</v>
          </cell>
          <cell r="H121" t="str">
            <v>YTD Actual</v>
          </cell>
          <cell r="I121">
            <v>436633.93</v>
          </cell>
          <cell r="J121">
            <v>913976.18</v>
          </cell>
          <cell r="K121">
            <v>2035169.4200000002</v>
          </cell>
          <cell r="L121">
            <v>2389850.6</v>
          </cell>
          <cell r="M121">
            <v>2880850.68</v>
          </cell>
          <cell r="N121">
            <v>3237078.57</v>
          </cell>
          <cell r="O121">
            <v>3606488.34</v>
          </cell>
          <cell r="P121">
            <v>3969772.1999999997</v>
          </cell>
          <cell r="Q121">
            <v>4380678.13</v>
          </cell>
          <cell r="R121">
            <v>4747651.8000000007</v>
          </cell>
          <cell r="S121">
            <v>5136332.3000000007</v>
          </cell>
          <cell r="T121">
            <v>5499343.4000000004</v>
          </cell>
          <cell r="U121">
            <v>456718.93</v>
          </cell>
          <cell r="V121">
            <v>938783.33000000007</v>
          </cell>
          <cell r="W121">
            <v>2287595.4800000004</v>
          </cell>
          <cell r="X121">
            <v>2692473.8</v>
          </cell>
          <cell r="Y121">
            <v>3092752.63</v>
          </cell>
          <cell r="Z121">
            <v>3512722.96</v>
          </cell>
          <cell r="AA121">
            <v>3732312.48</v>
          </cell>
          <cell r="AB121">
            <v>4326090.5999999996</v>
          </cell>
          <cell r="AC121">
            <v>4750449.74</v>
          </cell>
          <cell r="AD121">
            <v>5147867.5600000005</v>
          </cell>
          <cell r="AE121">
            <v>0</v>
          </cell>
          <cell r="AF121">
            <v>0</v>
          </cell>
        </row>
        <row r="122">
          <cell r="G122">
            <v>2705</v>
          </cell>
          <cell r="H122" t="str">
            <v>YTD Target</v>
          </cell>
          <cell r="I122">
            <v>402462</v>
          </cell>
          <cell r="J122">
            <v>846022</v>
          </cell>
          <cell r="K122">
            <v>1278815</v>
          </cell>
          <cell r="L122">
            <v>1693897</v>
          </cell>
          <cell r="M122">
            <v>2081144</v>
          </cell>
          <cell r="N122">
            <v>2481797</v>
          </cell>
          <cell r="O122">
            <v>2882867</v>
          </cell>
          <cell r="P122">
            <v>3282713</v>
          </cell>
          <cell r="Q122">
            <v>3742024</v>
          </cell>
          <cell r="R122">
            <v>4142074</v>
          </cell>
          <cell r="S122">
            <v>4569740</v>
          </cell>
          <cell r="T122">
            <v>4999016</v>
          </cell>
          <cell r="U122">
            <v>741385.76</v>
          </cell>
          <cell r="V122">
            <v>1526903.55</v>
          </cell>
          <cell r="W122">
            <v>2305846.96</v>
          </cell>
          <cell r="X122">
            <v>2686731.71</v>
          </cell>
          <cell r="Y122">
            <v>3064033.4600000004</v>
          </cell>
          <cell r="Z122">
            <v>3436908.0900000003</v>
          </cell>
          <cell r="AA122">
            <v>3836046.55</v>
          </cell>
          <cell r="AB122">
            <v>4218740.1899999995</v>
          </cell>
          <cell r="AC122">
            <v>4665406.03</v>
          </cell>
          <cell r="AD122">
            <v>5058681.1800000006</v>
          </cell>
          <cell r="AE122">
            <v>0</v>
          </cell>
          <cell r="AF122">
            <v>0</v>
          </cell>
        </row>
        <row r="123">
          <cell r="G123">
            <v>2724</v>
          </cell>
          <cell r="H123" t="str">
            <v>Empl_Benefits</v>
          </cell>
          <cell r="I123">
            <v>17331.560000000001</v>
          </cell>
          <cell r="J123">
            <v>17063.060000000001</v>
          </cell>
          <cell r="K123">
            <v>21848.380000000005</v>
          </cell>
          <cell r="L123">
            <v>10632.19</v>
          </cell>
          <cell r="M123">
            <v>9598.02</v>
          </cell>
          <cell r="N123">
            <v>12619.349999999999</v>
          </cell>
          <cell r="O123">
            <v>13034.53</v>
          </cell>
          <cell r="P123">
            <v>11867.039999999999</v>
          </cell>
          <cell r="Q123">
            <v>15966.939999999999</v>
          </cell>
          <cell r="R123">
            <v>10629.4</v>
          </cell>
          <cell r="S123">
            <v>10456.799999999997</v>
          </cell>
          <cell r="T123">
            <v>11630.65</v>
          </cell>
          <cell r="U123">
            <v>11797.35</v>
          </cell>
          <cell r="V123">
            <v>11981.960000000001</v>
          </cell>
          <cell r="W123">
            <v>18022.64</v>
          </cell>
          <cell r="X123">
            <v>12555.14</v>
          </cell>
          <cell r="Y123">
            <v>12687.090000000002</v>
          </cell>
          <cell r="Z123">
            <v>13475.779999999999</v>
          </cell>
          <cell r="AA123">
            <v>12220.34</v>
          </cell>
          <cell r="AB123">
            <v>12242.52</v>
          </cell>
          <cell r="AC123">
            <v>18125.900000000001</v>
          </cell>
          <cell r="AD123">
            <v>12188.920000000002</v>
          </cell>
          <cell r="AE123">
            <v>0</v>
          </cell>
          <cell r="AF123">
            <v>0</v>
          </cell>
        </row>
        <row r="124">
          <cell r="G124">
            <v>2725</v>
          </cell>
          <cell r="H124" t="str">
            <v>Total Personnel</v>
          </cell>
          <cell r="I124">
            <v>54071.930000000008</v>
          </cell>
          <cell r="J124">
            <v>52902.240000000005</v>
          </cell>
          <cell r="K124">
            <v>69679.92</v>
          </cell>
          <cell r="L124">
            <v>33787.89</v>
          </cell>
          <cell r="M124">
            <v>30258.760000000002</v>
          </cell>
          <cell r="N124">
            <v>39788.14</v>
          </cell>
          <cell r="O124">
            <v>41313.240000000005</v>
          </cell>
          <cell r="P124">
            <v>37990.49</v>
          </cell>
          <cell r="Q124">
            <v>53185.009999999995</v>
          </cell>
          <cell r="R124">
            <v>35264.32</v>
          </cell>
          <cell r="S124">
            <v>34087.079999999994</v>
          </cell>
          <cell r="T124">
            <v>36979.599999999999</v>
          </cell>
          <cell r="U124">
            <v>38195.990000000005</v>
          </cell>
          <cell r="V124">
            <v>39056.31</v>
          </cell>
          <cell r="W124">
            <v>60582.32</v>
          </cell>
          <cell r="X124">
            <v>42572.39</v>
          </cell>
          <cell r="Y124">
            <v>43056.37</v>
          </cell>
          <cell r="Z124">
            <v>48335.37</v>
          </cell>
          <cell r="AA124">
            <v>39962.089999999997</v>
          </cell>
          <cell r="AB124">
            <v>39967.629999999997</v>
          </cell>
          <cell r="AC124">
            <v>59774.65</v>
          </cell>
          <cell r="AD124">
            <v>41499.800000000003</v>
          </cell>
          <cell r="AE124">
            <v>0</v>
          </cell>
          <cell r="AF124">
            <v>0</v>
          </cell>
        </row>
        <row r="125">
          <cell r="G125">
            <v>2726</v>
          </cell>
          <cell r="H125" t="str">
            <v>Target Empl_Benefits</v>
          </cell>
          <cell r="I125">
            <v>13968</v>
          </cell>
          <cell r="J125">
            <v>14019</v>
          </cell>
          <cell r="K125">
            <v>19058</v>
          </cell>
          <cell r="L125">
            <v>13345</v>
          </cell>
          <cell r="M125">
            <v>13219</v>
          </cell>
          <cell r="N125">
            <v>13212</v>
          </cell>
          <cell r="O125">
            <v>13217</v>
          </cell>
          <cell r="P125">
            <v>13171</v>
          </cell>
          <cell r="Q125">
            <v>19006</v>
          </cell>
          <cell r="R125">
            <v>13171</v>
          </cell>
          <cell r="S125">
            <v>13195</v>
          </cell>
          <cell r="T125">
            <v>13501</v>
          </cell>
          <cell r="U125">
            <v>13705</v>
          </cell>
          <cell r="V125">
            <v>13705</v>
          </cell>
          <cell r="W125">
            <v>20097</v>
          </cell>
          <cell r="X125">
            <v>13974</v>
          </cell>
          <cell r="Y125">
            <v>13974</v>
          </cell>
          <cell r="Z125">
            <v>13974</v>
          </cell>
          <cell r="AA125">
            <v>13974</v>
          </cell>
          <cell r="AB125">
            <v>13974</v>
          </cell>
          <cell r="AC125">
            <v>20195</v>
          </cell>
          <cell r="AD125">
            <v>13974</v>
          </cell>
          <cell r="AE125">
            <v>0</v>
          </cell>
          <cell r="AF125">
            <v>0</v>
          </cell>
        </row>
        <row r="126">
          <cell r="G126">
            <v>2727</v>
          </cell>
          <cell r="H126" t="str">
            <v>Target Total Personnel</v>
          </cell>
          <cell r="I126">
            <v>44844</v>
          </cell>
          <cell r="J126">
            <v>45234</v>
          </cell>
          <cell r="K126">
            <v>61751</v>
          </cell>
          <cell r="L126">
            <v>43962</v>
          </cell>
          <cell r="M126">
            <v>43209</v>
          </cell>
          <cell r="N126">
            <v>43034</v>
          </cell>
          <cell r="O126">
            <v>43453</v>
          </cell>
          <cell r="P126">
            <v>42459</v>
          </cell>
          <cell r="Q126">
            <v>61187</v>
          </cell>
          <cell r="R126">
            <v>42506</v>
          </cell>
          <cell r="S126">
            <v>43043</v>
          </cell>
          <cell r="T126">
            <v>44728</v>
          </cell>
          <cell r="U126">
            <v>45843</v>
          </cell>
          <cell r="V126">
            <v>45843</v>
          </cell>
          <cell r="W126">
            <v>66877</v>
          </cell>
          <cell r="X126">
            <v>46750</v>
          </cell>
          <cell r="Y126">
            <v>46750</v>
          </cell>
          <cell r="Z126">
            <v>46750</v>
          </cell>
          <cell r="AA126">
            <v>46750</v>
          </cell>
          <cell r="AB126">
            <v>46750</v>
          </cell>
          <cell r="AC126">
            <v>67196</v>
          </cell>
          <cell r="AD126">
            <v>46750</v>
          </cell>
          <cell r="AE126">
            <v>0</v>
          </cell>
          <cell r="AF126">
            <v>0</v>
          </cell>
        </row>
        <row r="127">
          <cell r="G127">
            <v>2728</v>
          </cell>
          <cell r="H127" t="str">
            <v>YTD Empl_Benefits</v>
          </cell>
          <cell r="I127">
            <v>17331.560000000001</v>
          </cell>
          <cell r="J127">
            <v>34394.619999999995</v>
          </cell>
          <cell r="K127">
            <v>56242.999999999993</v>
          </cell>
          <cell r="L127">
            <v>66875.189999999988</v>
          </cell>
          <cell r="M127">
            <v>76473.209999999992</v>
          </cell>
          <cell r="N127">
            <v>89092.56</v>
          </cell>
          <cell r="O127">
            <v>102127.09</v>
          </cell>
          <cell r="P127">
            <v>113994.12999999999</v>
          </cell>
          <cell r="Q127">
            <v>129961.06999999999</v>
          </cell>
          <cell r="R127">
            <v>140590.47</v>
          </cell>
          <cell r="S127">
            <v>151047.26999999999</v>
          </cell>
          <cell r="T127">
            <v>162677.91999999998</v>
          </cell>
          <cell r="U127">
            <v>11797.35</v>
          </cell>
          <cell r="V127">
            <v>23779.309999999998</v>
          </cell>
          <cell r="W127">
            <v>41801.949999999997</v>
          </cell>
          <cell r="X127">
            <v>54357.09</v>
          </cell>
          <cell r="Y127">
            <v>67044.180000000008</v>
          </cell>
          <cell r="Z127">
            <v>80519.960000000006</v>
          </cell>
          <cell r="AA127">
            <v>92740.3</v>
          </cell>
          <cell r="AB127">
            <v>104982.81999999999</v>
          </cell>
          <cell r="AC127">
            <v>123108.71999999999</v>
          </cell>
          <cell r="AD127">
            <v>135297.63999999996</v>
          </cell>
          <cell r="AE127">
            <v>0</v>
          </cell>
          <cell r="AF127">
            <v>0</v>
          </cell>
        </row>
        <row r="128">
          <cell r="G128">
            <v>2729</v>
          </cell>
          <cell r="H128" t="str">
            <v>YTD Total Personnel</v>
          </cell>
          <cell r="I128">
            <v>54071.930000000008</v>
          </cell>
          <cell r="J128">
            <v>106974.17</v>
          </cell>
          <cell r="K128">
            <v>176654.09</v>
          </cell>
          <cell r="L128">
            <v>210441.98000000004</v>
          </cell>
          <cell r="M128">
            <v>240700.74000000002</v>
          </cell>
          <cell r="N128">
            <v>280488.88</v>
          </cell>
          <cell r="O128">
            <v>321802.12</v>
          </cell>
          <cell r="P128">
            <v>359792.61</v>
          </cell>
          <cell r="Q128">
            <v>412977.62</v>
          </cell>
          <cell r="R128">
            <v>448241.94000000006</v>
          </cell>
          <cell r="S128">
            <v>482329.02</v>
          </cell>
          <cell r="T128">
            <v>519308.62000000005</v>
          </cell>
          <cell r="U128">
            <v>38195.990000000005</v>
          </cell>
          <cell r="V128">
            <v>77252.299999999988</v>
          </cell>
          <cell r="W128">
            <v>137834.62</v>
          </cell>
          <cell r="X128">
            <v>180407.01</v>
          </cell>
          <cell r="Y128">
            <v>223463.38</v>
          </cell>
          <cell r="Z128">
            <v>271798.75</v>
          </cell>
          <cell r="AA128">
            <v>311760.84000000003</v>
          </cell>
          <cell r="AB128">
            <v>351728.47</v>
          </cell>
          <cell r="AC128">
            <v>411503.12</v>
          </cell>
          <cell r="AD128">
            <v>453002.92</v>
          </cell>
          <cell r="AE128">
            <v>0</v>
          </cell>
          <cell r="AF128">
            <v>0</v>
          </cell>
        </row>
        <row r="129">
          <cell r="G129">
            <v>2730</v>
          </cell>
          <cell r="H129" t="str">
            <v>YTD Target Empl_Benefits</v>
          </cell>
          <cell r="I129">
            <v>13968</v>
          </cell>
          <cell r="J129">
            <v>27987</v>
          </cell>
          <cell r="K129">
            <v>47045</v>
          </cell>
          <cell r="L129">
            <v>60390</v>
          </cell>
          <cell r="M129">
            <v>73609</v>
          </cell>
          <cell r="N129">
            <v>86821</v>
          </cell>
          <cell r="O129">
            <v>100038</v>
          </cell>
          <cell r="P129">
            <v>113209</v>
          </cell>
          <cell r="Q129">
            <v>132215</v>
          </cell>
          <cell r="R129">
            <v>145386</v>
          </cell>
          <cell r="S129">
            <v>158581</v>
          </cell>
          <cell r="T129">
            <v>172082</v>
          </cell>
          <cell r="U129">
            <v>13705</v>
          </cell>
          <cell r="V129">
            <v>27410</v>
          </cell>
          <cell r="W129">
            <v>47507</v>
          </cell>
          <cell r="X129">
            <v>61481</v>
          </cell>
          <cell r="Y129">
            <v>75455</v>
          </cell>
          <cell r="Z129">
            <v>89429</v>
          </cell>
          <cell r="AA129">
            <v>103403</v>
          </cell>
          <cell r="AB129">
            <v>117377</v>
          </cell>
          <cell r="AC129">
            <v>137572</v>
          </cell>
          <cell r="AD129">
            <v>151546</v>
          </cell>
          <cell r="AE129">
            <v>0</v>
          </cell>
          <cell r="AF129">
            <v>0</v>
          </cell>
        </row>
        <row r="130">
          <cell r="G130">
            <v>2731</v>
          </cell>
          <cell r="H130" t="str">
            <v>YTD Target Total Personnel</v>
          </cell>
          <cell r="I130">
            <v>44844</v>
          </cell>
          <cell r="J130">
            <v>90078</v>
          </cell>
          <cell r="K130">
            <v>151829</v>
          </cell>
          <cell r="L130">
            <v>195791</v>
          </cell>
          <cell r="M130">
            <v>239000</v>
          </cell>
          <cell r="N130">
            <v>282034</v>
          </cell>
          <cell r="O130">
            <v>325487</v>
          </cell>
          <cell r="P130">
            <v>367946</v>
          </cell>
          <cell r="Q130">
            <v>429133</v>
          </cell>
          <cell r="R130">
            <v>471639</v>
          </cell>
          <cell r="S130">
            <v>514682</v>
          </cell>
          <cell r="T130">
            <v>559410</v>
          </cell>
          <cell r="U130">
            <v>45843</v>
          </cell>
          <cell r="V130">
            <v>91686</v>
          </cell>
          <cell r="W130">
            <v>158563</v>
          </cell>
          <cell r="X130">
            <v>205313</v>
          </cell>
          <cell r="Y130">
            <v>252063</v>
          </cell>
          <cell r="Z130">
            <v>298813</v>
          </cell>
          <cell r="AA130">
            <v>345563</v>
          </cell>
          <cell r="AB130">
            <v>392313</v>
          </cell>
          <cell r="AC130">
            <v>459509</v>
          </cell>
          <cell r="AD130">
            <v>506259</v>
          </cell>
          <cell r="AE130">
            <v>0</v>
          </cell>
          <cell r="AF130">
            <v>0</v>
          </cell>
        </row>
        <row r="131">
          <cell r="G131">
            <v>2732</v>
          </cell>
          <cell r="H131" t="str">
            <v>Actual</v>
          </cell>
          <cell r="I131">
            <v>-436633.93</v>
          </cell>
          <cell r="J131">
            <v>-477342.25</v>
          </cell>
          <cell r="K131">
            <v>-1121193.24</v>
          </cell>
          <cell r="L131">
            <v>-354681.18</v>
          </cell>
          <cell r="M131">
            <v>-491000.08</v>
          </cell>
          <cell r="N131">
            <v>-356227.89</v>
          </cell>
          <cell r="O131">
            <v>-369409.77</v>
          </cell>
          <cell r="P131">
            <v>-363283.86</v>
          </cell>
          <cell r="Q131">
            <v>-410905.93000000005</v>
          </cell>
          <cell r="R131">
            <v>-366973.67</v>
          </cell>
          <cell r="S131">
            <v>-388680.5</v>
          </cell>
          <cell r="T131">
            <v>-363011.1</v>
          </cell>
          <cell r="U131">
            <v>-456718.92999999918</v>
          </cell>
          <cell r="V131">
            <v>-482064.4</v>
          </cell>
          <cell r="W131">
            <v>-1348812.15</v>
          </cell>
          <cell r="X131">
            <v>-404878.32</v>
          </cell>
          <cell r="Y131">
            <v>-400278.83</v>
          </cell>
          <cell r="Z131">
            <v>-419970.33</v>
          </cell>
          <cell r="AA131">
            <v>-219589.52</v>
          </cell>
          <cell r="AB131">
            <v>-593778.12</v>
          </cell>
          <cell r="AC131">
            <v>-424359.14</v>
          </cell>
          <cell r="AD131">
            <v>-397417.82</v>
          </cell>
          <cell r="AE131">
            <v>0</v>
          </cell>
          <cell r="AF131">
            <v>0</v>
          </cell>
        </row>
        <row r="132">
          <cell r="G132">
            <v>2733</v>
          </cell>
          <cell r="H132" t="str">
            <v>Target (Budget)</v>
          </cell>
          <cell r="I132">
            <v>-402462</v>
          </cell>
          <cell r="J132">
            <v>-443560</v>
          </cell>
          <cell r="K132">
            <v>-432793</v>
          </cell>
          <cell r="L132">
            <v>-415082</v>
          </cell>
          <cell r="M132">
            <v>-387247</v>
          </cell>
          <cell r="N132">
            <v>-400653</v>
          </cell>
          <cell r="O132">
            <v>-401070</v>
          </cell>
          <cell r="P132">
            <v>-399846</v>
          </cell>
          <cell r="Q132">
            <v>-459311</v>
          </cell>
          <cell r="R132">
            <v>-400050</v>
          </cell>
          <cell r="S132">
            <v>-427666</v>
          </cell>
          <cell r="T132">
            <v>-429276</v>
          </cell>
          <cell r="U132">
            <v>-741385.75999999919</v>
          </cell>
          <cell r="V132">
            <v>-785517.79</v>
          </cell>
          <cell r="W132">
            <v>-778943.41</v>
          </cell>
          <cell r="X132">
            <v>-380884.75</v>
          </cell>
          <cell r="Y132">
            <v>-377301.75</v>
          </cell>
          <cell r="Z132">
            <v>-372874.63</v>
          </cell>
          <cell r="AA132">
            <v>-399138.46</v>
          </cell>
          <cell r="AB132">
            <v>-382693.64</v>
          </cell>
          <cell r="AC132">
            <v>-446665.83999999997</v>
          </cell>
          <cell r="AD132">
            <v>-393275.14999999997</v>
          </cell>
          <cell r="AE132">
            <v>0</v>
          </cell>
          <cell r="AF132">
            <v>0</v>
          </cell>
        </row>
        <row r="133">
          <cell r="G133">
            <v>2736</v>
          </cell>
          <cell r="H133" t="str">
            <v>YTD Actual</v>
          </cell>
          <cell r="I133">
            <v>-436633.93</v>
          </cell>
          <cell r="J133">
            <v>-913976.18</v>
          </cell>
          <cell r="K133">
            <v>-2035169.4200000002</v>
          </cell>
          <cell r="L133">
            <v>-2389850.6</v>
          </cell>
          <cell r="M133">
            <v>-2880850.68</v>
          </cell>
          <cell r="N133">
            <v>-3237078.57</v>
          </cell>
          <cell r="O133">
            <v>-3606488.34</v>
          </cell>
          <cell r="P133">
            <v>-3969772.1999999997</v>
          </cell>
          <cell r="Q133">
            <v>-4380678.13</v>
          </cell>
          <cell r="R133">
            <v>-4747651.8000000007</v>
          </cell>
          <cell r="S133">
            <v>-5136332.3000000007</v>
          </cell>
          <cell r="T133">
            <v>-5499343.4000000004</v>
          </cell>
          <cell r="U133">
            <v>-456718.92999999918</v>
          </cell>
          <cell r="V133">
            <v>-938783.32999999926</v>
          </cell>
          <cell r="W133">
            <v>-2287595.4799999995</v>
          </cell>
          <cell r="X133">
            <v>-2692473.7999999989</v>
          </cell>
          <cell r="Y133">
            <v>-3092752.629999999</v>
          </cell>
          <cell r="Z133">
            <v>-3512722.959999999</v>
          </cell>
          <cell r="AA133">
            <v>-3732312.4799999991</v>
          </cell>
          <cell r="AB133">
            <v>-4326090.5999999987</v>
          </cell>
          <cell r="AC133">
            <v>-4750449.7399999993</v>
          </cell>
          <cell r="AD133">
            <v>-5147867.5599999996</v>
          </cell>
          <cell r="AE133">
            <v>0</v>
          </cell>
          <cell r="AF133">
            <v>0</v>
          </cell>
        </row>
        <row r="134">
          <cell r="G134">
            <v>2737</v>
          </cell>
          <cell r="H134" t="str">
            <v>YTD Target</v>
          </cell>
          <cell r="I134">
            <v>-402462</v>
          </cell>
          <cell r="J134">
            <v>-846022</v>
          </cell>
          <cell r="K134">
            <v>-1278815</v>
          </cell>
          <cell r="L134">
            <v>-1693897</v>
          </cell>
          <cell r="M134">
            <v>-2081144</v>
          </cell>
          <cell r="N134">
            <v>-2481797</v>
          </cell>
          <cell r="O134">
            <v>-2882867</v>
          </cell>
          <cell r="P134">
            <v>-3282713</v>
          </cell>
          <cell r="Q134">
            <v>-3742024</v>
          </cell>
          <cell r="R134">
            <v>-4142074</v>
          </cell>
          <cell r="S134">
            <v>-4569740</v>
          </cell>
          <cell r="T134">
            <v>-4999016</v>
          </cell>
          <cell r="U134">
            <v>-741385.75999999919</v>
          </cell>
          <cell r="V134">
            <v>-1526903.5499999993</v>
          </cell>
          <cell r="W134">
            <v>-2305846.959999999</v>
          </cell>
          <cell r="X134">
            <v>-2686731.709999999</v>
          </cell>
          <cell r="Y134">
            <v>-3064033.4599999995</v>
          </cell>
          <cell r="Z134">
            <v>-3436908.0899999994</v>
          </cell>
          <cell r="AA134">
            <v>-3836046.5499999989</v>
          </cell>
          <cell r="AB134">
            <v>-4218740.1899999985</v>
          </cell>
          <cell r="AC134">
            <v>-4665406.0299999993</v>
          </cell>
          <cell r="AD134">
            <v>-5058681.18</v>
          </cell>
          <cell r="AE134">
            <v>0</v>
          </cell>
          <cell r="AF134">
            <v>0</v>
          </cell>
        </row>
        <row r="135">
          <cell r="G135">
            <v>2744</v>
          </cell>
          <cell r="H135" t="str">
            <v>Actual</v>
          </cell>
          <cell r="I135">
            <v>0</v>
          </cell>
          <cell r="J135">
            <v>0</v>
          </cell>
          <cell r="K135">
            <v>0</v>
          </cell>
          <cell r="L135">
            <v>0</v>
          </cell>
          <cell r="M135">
            <v>0</v>
          </cell>
          <cell r="N135">
            <v>-9365</v>
          </cell>
          <cell r="O135">
            <v>9365</v>
          </cell>
          <cell r="P135">
            <v>0</v>
          </cell>
          <cell r="Q135">
            <v>-5.8207660913467407E-11</v>
          </cell>
          <cell r="R135">
            <v>0</v>
          </cell>
          <cell r="S135">
            <v>-0.40000000002328306</v>
          </cell>
          <cell r="T135">
            <v>0.40000000002328306</v>
          </cell>
          <cell r="U135">
            <v>8.149072527885437E-10</v>
          </cell>
          <cell r="V135">
            <v>0</v>
          </cell>
          <cell r="W135">
            <v>-134062.25</v>
          </cell>
          <cell r="X135">
            <v>67052.25</v>
          </cell>
          <cell r="Y135">
            <v>-0.25</v>
          </cell>
          <cell r="Z135">
            <v>9047.0799999999581</v>
          </cell>
          <cell r="AA135">
            <v>233221.09</v>
          </cell>
          <cell r="AB135">
            <v>-296297.90999999997</v>
          </cell>
          <cell r="AC135">
            <v>121039.98999999999</v>
          </cell>
          <cell r="AD135">
            <v>0</v>
          </cell>
          <cell r="AE135">
            <v>0</v>
          </cell>
          <cell r="AF135">
            <v>0</v>
          </cell>
        </row>
        <row r="136">
          <cell r="G136">
            <v>2745</v>
          </cell>
          <cell r="H136" t="str">
            <v>Target (Budget)</v>
          </cell>
          <cell r="I136">
            <v>16176</v>
          </cell>
          <cell r="J136">
            <v>-49562</v>
          </cell>
          <cell r="K136">
            <v>-14155</v>
          </cell>
          <cell r="L136">
            <v>3557</v>
          </cell>
          <cell r="M136">
            <v>31392</v>
          </cell>
          <cell r="N136">
            <v>17985</v>
          </cell>
          <cell r="O136">
            <v>17567</v>
          </cell>
          <cell r="P136">
            <v>18792</v>
          </cell>
          <cell r="Q136">
            <v>-40674</v>
          </cell>
          <cell r="R136">
            <v>18588</v>
          </cell>
          <cell r="S136">
            <v>-9028</v>
          </cell>
          <cell r="T136">
            <v>-10638</v>
          </cell>
          <cell r="U136">
            <v>8.149072527885437E-10</v>
          </cell>
          <cell r="V136">
            <v>0</v>
          </cell>
          <cell r="W136">
            <v>0</v>
          </cell>
          <cell r="X136">
            <v>0</v>
          </cell>
          <cell r="Y136">
            <v>0</v>
          </cell>
          <cell r="Z136">
            <v>0</v>
          </cell>
          <cell r="AA136">
            <v>0</v>
          </cell>
          <cell r="AB136">
            <v>0</v>
          </cell>
          <cell r="AC136">
            <v>5.8207660913467407E-11</v>
          </cell>
          <cell r="AD136">
            <v>5.8207660913467407E-11</v>
          </cell>
          <cell r="AE136">
            <v>0</v>
          </cell>
          <cell r="AF136">
            <v>0</v>
          </cell>
        </row>
        <row r="137">
          <cell r="G137">
            <v>2748</v>
          </cell>
          <cell r="H137" t="str">
            <v>YTD Actual</v>
          </cell>
          <cell r="I137">
            <v>0</v>
          </cell>
          <cell r="J137">
            <v>0</v>
          </cell>
          <cell r="K137">
            <v>-2.3283064365386963E-10</v>
          </cell>
          <cell r="L137">
            <v>0</v>
          </cell>
          <cell r="M137">
            <v>0</v>
          </cell>
          <cell r="N137">
            <v>-9364.9999999996508</v>
          </cell>
          <cell r="O137">
            <v>3.4924596548080444E-10</v>
          </cell>
          <cell r="P137">
            <v>3.4924596548080444E-10</v>
          </cell>
          <cell r="Q137">
            <v>0</v>
          </cell>
          <cell r="R137">
            <v>-1.0477378964424133E-9</v>
          </cell>
          <cell r="S137">
            <v>-0.40000000048894435</v>
          </cell>
          <cell r="T137">
            <v>0</v>
          </cell>
          <cell r="U137">
            <v>8.149072527885437E-10</v>
          </cell>
          <cell r="V137">
            <v>6.9849193096160889E-10</v>
          </cell>
          <cell r="W137">
            <v>-134062.24999999953</v>
          </cell>
          <cell r="X137">
            <v>-67009.999999999069</v>
          </cell>
          <cell r="Y137">
            <v>-67010.249999999069</v>
          </cell>
          <cell r="Z137">
            <v>-57963.169999998994</v>
          </cell>
          <cell r="AA137">
            <v>175257.92000000086</v>
          </cell>
          <cell r="AB137">
            <v>-121039.98999999836</v>
          </cell>
          <cell r="AC137">
            <v>9.3132257461547852E-10</v>
          </cell>
          <cell r="AD137">
            <v>0</v>
          </cell>
          <cell r="AE137">
            <v>0</v>
          </cell>
          <cell r="AF137">
            <v>0</v>
          </cell>
        </row>
        <row r="138">
          <cell r="G138">
            <v>2749</v>
          </cell>
          <cell r="H138" t="str">
            <v>YTD Target</v>
          </cell>
          <cell r="I138">
            <v>16176</v>
          </cell>
          <cell r="J138">
            <v>-33386</v>
          </cell>
          <cell r="K138">
            <v>-47541</v>
          </cell>
          <cell r="L138">
            <v>-43984</v>
          </cell>
          <cell r="M138">
            <v>-12592</v>
          </cell>
          <cell r="N138">
            <v>5393</v>
          </cell>
          <cell r="O138">
            <v>22960</v>
          </cell>
          <cell r="P138">
            <v>41752</v>
          </cell>
          <cell r="Q138">
            <v>1078</v>
          </cell>
          <cell r="R138">
            <v>19666</v>
          </cell>
          <cell r="S138">
            <v>10638</v>
          </cell>
          <cell r="T138">
            <v>0</v>
          </cell>
          <cell r="U138">
            <v>8.149072527885437E-10</v>
          </cell>
          <cell r="V138">
            <v>6.9849193096160889E-10</v>
          </cell>
          <cell r="W138">
            <v>9.3132257461547852E-10</v>
          </cell>
          <cell r="X138">
            <v>9.3132257461547852E-10</v>
          </cell>
          <cell r="Y138">
            <v>4.6566128730773926E-10</v>
          </cell>
          <cell r="Z138">
            <v>4.6566128730773926E-10</v>
          </cell>
          <cell r="AA138">
            <v>9.3132257461547852E-10</v>
          </cell>
          <cell r="AB138">
            <v>1.862645149230957E-9</v>
          </cell>
          <cell r="AC138">
            <v>9.3132257461547852E-10</v>
          </cell>
          <cell r="AD138">
            <v>0</v>
          </cell>
          <cell r="AE138">
            <v>0</v>
          </cell>
          <cell r="AF138">
            <v>0</v>
          </cell>
        </row>
        <row r="139">
          <cell r="G139">
            <v>3172</v>
          </cell>
          <cell r="H139" t="str">
            <v>Actual</v>
          </cell>
          <cell r="I139">
            <v>0.94</v>
          </cell>
          <cell r="J139">
            <v>5.33</v>
          </cell>
          <cell r="K139">
            <v>1001.14</v>
          </cell>
          <cell r="L139">
            <v>-92.43</v>
          </cell>
          <cell r="M139">
            <v>-491.03</v>
          </cell>
          <cell r="N139">
            <v>-110.78</v>
          </cell>
          <cell r="O139">
            <v>-238.44</v>
          </cell>
          <cell r="P139">
            <v>659.95</v>
          </cell>
          <cell r="Q139">
            <v>4238.54</v>
          </cell>
          <cell r="R139">
            <v>2275.79</v>
          </cell>
          <cell r="S139">
            <v>1052.77</v>
          </cell>
          <cell r="T139">
            <v>0</v>
          </cell>
          <cell r="U139">
            <v>1058.1500000000001</v>
          </cell>
          <cell r="V139">
            <v>4.84</v>
          </cell>
          <cell r="W139">
            <v>3838.94</v>
          </cell>
          <cell r="X139">
            <v>3766.17</v>
          </cell>
          <cell r="Y139">
            <v>3905.93</v>
          </cell>
          <cell r="Z139">
            <v>5584.11</v>
          </cell>
          <cell r="AA139">
            <v>1547.93</v>
          </cell>
          <cell r="AB139">
            <v>1162.71</v>
          </cell>
          <cell r="AC139">
            <v>3888.56</v>
          </cell>
          <cell r="AD139">
            <v>4013.11</v>
          </cell>
          <cell r="AE139">
            <v>0</v>
          </cell>
          <cell r="AF139">
            <v>0</v>
          </cell>
        </row>
        <row r="140">
          <cell r="G140">
            <v>3173</v>
          </cell>
          <cell r="H140" t="str">
            <v>Target (Budget)</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row>
        <row r="141">
          <cell r="G141">
            <v>3176</v>
          </cell>
          <cell r="H141" t="str">
            <v>YTD Actual</v>
          </cell>
          <cell r="I141">
            <v>0.94</v>
          </cell>
          <cell r="J141">
            <v>6.27</v>
          </cell>
          <cell r="K141">
            <v>1007.41</v>
          </cell>
          <cell r="L141">
            <v>914.98</v>
          </cell>
          <cell r="M141">
            <v>423.95</v>
          </cell>
          <cell r="N141">
            <v>313.17</v>
          </cell>
          <cell r="O141">
            <v>74.73</v>
          </cell>
          <cell r="P141">
            <v>734.68</v>
          </cell>
          <cell r="Q141">
            <v>4973.22</v>
          </cell>
          <cell r="R141">
            <v>7249.01</v>
          </cell>
          <cell r="S141">
            <v>8301.7800000000007</v>
          </cell>
          <cell r="T141">
            <v>8301.7800000000007</v>
          </cell>
          <cell r="U141">
            <v>1058.1500000000001</v>
          </cell>
          <cell r="V141">
            <v>1062.99</v>
          </cell>
          <cell r="W141">
            <v>4901.93</v>
          </cell>
          <cell r="X141">
            <v>8668.1</v>
          </cell>
          <cell r="Y141">
            <v>12574.03</v>
          </cell>
          <cell r="Z141">
            <v>18158.14</v>
          </cell>
          <cell r="AA141">
            <v>19706.07</v>
          </cell>
          <cell r="AB141">
            <v>20868.78</v>
          </cell>
          <cell r="AC141">
            <v>24757.34</v>
          </cell>
          <cell r="AD141">
            <v>28770.45</v>
          </cell>
          <cell r="AE141">
            <v>0</v>
          </cell>
          <cell r="AF141">
            <v>0</v>
          </cell>
        </row>
        <row r="142">
          <cell r="G142">
            <v>3177</v>
          </cell>
          <cell r="H142" t="str">
            <v>YTD Target</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3">
          <cell r="G143">
            <v>1215</v>
          </cell>
          <cell r="H143" t="str">
            <v>Actual</v>
          </cell>
          <cell r="I143">
            <v>404009.51000000007</v>
          </cell>
          <cell r="J143">
            <v>474521.81</v>
          </cell>
          <cell r="K143">
            <v>536495.14</v>
          </cell>
          <cell r="L143">
            <v>470442.51</v>
          </cell>
          <cell r="M143">
            <v>429987.12</v>
          </cell>
          <cell r="N143">
            <v>428432.64999999997</v>
          </cell>
          <cell r="O143">
            <v>378670.41000000003</v>
          </cell>
          <cell r="P143">
            <v>445931.66</v>
          </cell>
          <cell r="Q143">
            <v>525871.74</v>
          </cell>
          <cell r="R143">
            <v>499568.04</v>
          </cell>
          <cell r="S143">
            <v>455116.26</v>
          </cell>
          <cell r="T143">
            <v>447228.72000000003</v>
          </cell>
          <cell r="U143">
            <v>445024.07</v>
          </cell>
          <cell r="V143">
            <v>434712.18999999994</v>
          </cell>
          <cell r="W143">
            <v>482453.3</v>
          </cell>
          <cell r="X143">
            <v>525406.54</v>
          </cell>
          <cell r="Y143">
            <v>436776.07</v>
          </cell>
          <cell r="Z143">
            <v>339624.7</v>
          </cell>
          <cell r="AA143">
            <v>430354.39</v>
          </cell>
          <cell r="AB143">
            <v>761109.56</v>
          </cell>
          <cell r="AC143">
            <v>425764.93</v>
          </cell>
          <cell r="AD143">
            <v>290274.74000000005</v>
          </cell>
          <cell r="AE143">
            <v>0</v>
          </cell>
          <cell r="AF143">
            <v>0</v>
          </cell>
        </row>
        <row r="144">
          <cell r="G144">
            <v>1216</v>
          </cell>
          <cell r="H144" t="str">
            <v>Target (Budget)</v>
          </cell>
          <cell r="I144">
            <v>240037</v>
          </cell>
          <cell r="J144">
            <v>485045</v>
          </cell>
          <cell r="K144">
            <v>448131</v>
          </cell>
          <cell r="L144">
            <v>552079</v>
          </cell>
          <cell r="M144">
            <v>497259</v>
          </cell>
          <cell r="N144">
            <v>397318</v>
          </cell>
          <cell r="O144">
            <v>419653</v>
          </cell>
          <cell r="P144">
            <v>487890</v>
          </cell>
          <cell r="Q144">
            <v>555391</v>
          </cell>
          <cell r="R144">
            <v>630040</v>
          </cell>
          <cell r="S144">
            <v>433597</v>
          </cell>
          <cell r="T144">
            <v>426228</v>
          </cell>
          <cell r="U144">
            <v>427980.33</v>
          </cell>
          <cell r="V144">
            <v>426607.33</v>
          </cell>
          <cell r="W144">
            <v>512671.33</v>
          </cell>
          <cell r="X144">
            <v>512746.33</v>
          </cell>
          <cell r="Y144">
            <v>522180.33</v>
          </cell>
          <cell r="Z144">
            <v>403132.33</v>
          </cell>
          <cell r="AA144">
            <v>465720.33</v>
          </cell>
          <cell r="AB144">
            <v>453999.33</v>
          </cell>
          <cell r="AC144">
            <v>546598.33000000007</v>
          </cell>
          <cell r="AD144">
            <v>534159.33000000007</v>
          </cell>
          <cell r="AE144">
            <v>0</v>
          </cell>
          <cell r="AF144">
            <v>0</v>
          </cell>
        </row>
        <row r="145">
          <cell r="G145">
            <v>1219</v>
          </cell>
          <cell r="H145" t="str">
            <v>YTD Actual</v>
          </cell>
          <cell r="I145">
            <v>404009.51000000007</v>
          </cell>
          <cell r="J145">
            <v>878531.32000000007</v>
          </cell>
          <cell r="K145">
            <v>1415026.46</v>
          </cell>
          <cell r="L145">
            <v>1885468.9700000002</v>
          </cell>
          <cell r="M145">
            <v>2315456.09</v>
          </cell>
          <cell r="N145">
            <v>2743888.74</v>
          </cell>
          <cell r="O145">
            <v>3122559.1500000004</v>
          </cell>
          <cell r="P145">
            <v>3568490.81</v>
          </cell>
          <cell r="Q145">
            <v>4094362.55</v>
          </cell>
          <cell r="R145">
            <v>4593930.59</v>
          </cell>
          <cell r="S145">
            <v>5049046.8499999996</v>
          </cell>
          <cell r="T145">
            <v>5496275.5699999994</v>
          </cell>
          <cell r="U145">
            <v>445024.07</v>
          </cell>
          <cell r="V145">
            <v>879736.26</v>
          </cell>
          <cell r="W145">
            <v>1362189.56</v>
          </cell>
          <cell r="X145">
            <v>1848693.2899999998</v>
          </cell>
          <cell r="Y145">
            <v>2285469.36</v>
          </cell>
          <cell r="Z145">
            <v>2625094.06</v>
          </cell>
          <cell r="AA145">
            <v>3055448.45</v>
          </cell>
          <cell r="AB145">
            <v>3816558.01</v>
          </cell>
          <cell r="AC145">
            <v>4242322.9400000004</v>
          </cell>
          <cell r="AD145">
            <v>4532597.68</v>
          </cell>
          <cell r="AE145">
            <v>0</v>
          </cell>
          <cell r="AF145">
            <v>0</v>
          </cell>
        </row>
        <row r="146">
          <cell r="G146">
            <v>1220</v>
          </cell>
          <cell r="H146" t="str">
            <v>YTD Target (Budget)</v>
          </cell>
          <cell r="I146">
            <v>240037</v>
          </cell>
          <cell r="J146">
            <v>839042</v>
          </cell>
          <cell r="K146">
            <v>1287173</v>
          </cell>
          <cell r="L146">
            <v>1915461</v>
          </cell>
          <cell r="M146">
            <v>2376720</v>
          </cell>
          <cell r="N146">
            <v>2774038</v>
          </cell>
          <cell r="O146">
            <v>3193691</v>
          </cell>
          <cell r="P146">
            <v>3681581</v>
          </cell>
          <cell r="Q146">
            <v>4236972</v>
          </cell>
          <cell r="R146">
            <v>4867012</v>
          </cell>
          <cell r="S146">
            <v>5300609</v>
          </cell>
          <cell r="T146">
            <v>5726837</v>
          </cell>
          <cell r="U146">
            <v>427980.33</v>
          </cell>
          <cell r="V146">
            <v>854587.66</v>
          </cell>
          <cell r="W146">
            <v>1562828.99</v>
          </cell>
          <cell r="X146">
            <v>2020195.32</v>
          </cell>
          <cell r="Y146">
            <v>2542375.65</v>
          </cell>
          <cell r="Z146">
            <v>2945507.98</v>
          </cell>
          <cell r="AA146">
            <v>3411228.31</v>
          </cell>
          <cell r="AB146">
            <v>3865227.64</v>
          </cell>
          <cell r="AC146">
            <v>4411825.97</v>
          </cell>
          <cell r="AD146">
            <v>4945985.3</v>
          </cell>
          <cell r="AE146">
            <v>0</v>
          </cell>
          <cell r="AF146">
            <v>0</v>
          </cell>
        </row>
        <row r="147">
          <cell r="G147">
            <v>1228</v>
          </cell>
          <cell r="H147" t="str">
            <v>Actual</v>
          </cell>
          <cell r="I147">
            <v>422219.04999999993</v>
          </cell>
          <cell r="J147">
            <v>455026.33999999997</v>
          </cell>
          <cell r="K147">
            <v>482663.74</v>
          </cell>
          <cell r="L147">
            <v>394177.83999999997</v>
          </cell>
          <cell r="M147">
            <v>401891.1399999999</v>
          </cell>
          <cell r="N147">
            <v>363022.11</v>
          </cell>
          <cell r="O147">
            <v>367858.82000000007</v>
          </cell>
          <cell r="P147">
            <v>375295.85</v>
          </cell>
          <cell r="Q147">
            <v>447252.17000000004</v>
          </cell>
          <cell r="R147">
            <v>411752.64</v>
          </cell>
          <cell r="S147">
            <v>485528.28</v>
          </cell>
          <cell r="T147">
            <v>506986.24999999994</v>
          </cell>
          <cell r="U147">
            <v>349667.07999999996</v>
          </cell>
          <cell r="V147">
            <v>462335.76</v>
          </cell>
          <cell r="W147">
            <v>592889.42999999993</v>
          </cell>
          <cell r="X147">
            <v>508069.57</v>
          </cell>
          <cell r="Y147">
            <v>409670.21</v>
          </cell>
          <cell r="Z147">
            <v>272705.88999999996</v>
          </cell>
          <cell r="AA147">
            <v>575694.52</v>
          </cell>
          <cell r="AB147">
            <v>217025.06999999995</v>
          </cell>
          <cell r="AC147">
            <v>497423.93999999994</v>
          </cell>
          <cell r="AD147">
            <v>367006.58000000019</v>
          </cell>
          <cell r="AE147">
            <v>0</v>
          </cell>
          <cell r="AF147">
            <v>0</v>
          </cell>
        </row>
        <row r="148">
          <cell r="G148">
            <v>1229</v>
          </cell>
          <cell r="H148" t="str">
            <v>Target (Budget)</v>
          </cell>
          <cell r="I148">
            <v>387822.75</v>
          </cell>
          <cell r="J148">
            <v>448679.75</v>
          </cell>
          <cell r="K148">
            <v>483398.75</v>
          </cell>
          <cell r="L148">
            <v>490919.75</v>
          </cell>
          <cell r="M148">
            <v>433140.75</v>
          </cell>
          <cell r="N148">
            <v>408542.75</v>
          </cell>
          <cell r="O148">
            <v>408791.75</v>
          </cell>
          <cell r="P148">
            <v>439281.75</v>
          </cell>
          <cell r="Q148">
            <v>514338.75</v>
          </cell>
          <cell r="R148">
            <v>472637.75</v>
          </cell>
          <cell r="S148">
            <v>418221.75</v>
          </cell>
          <cell r="T148">
            <v>388972.75</v>
          </cell>
          <cell r="U148">
            <v>394921.17</v>
          </cell>
          <cell r="V148">
            <v>505057.17</v>
          </cell>
          <cell r="W148">
            <v>572506.16999999993</v>
          </cell>
          <cell r="X148">
            <v>499591.17</v>
          </cell>
          <cell r="Y148">
            <v>413988.17</v>
          </cell>
          <cell r="Z148">
            <v>395043.17</v>
          </cell>
          <cell r="AA148">
            <v>398843.17</v>
          </cell>
          <cell r="AB148">
            <v>462566.17</v>
          </cell>
          <cell r="AC148">
            <v>522517.16000000003</v>
          </cell>
          <cell r="AD148">
            <v>508942.16000000003</v>
          </cell>
          <cell r="AE148">
            <v>0</v>
          </cell>
          <cell r="AF148">
            <v>0</v>
          </cell>
        </row>
        <row r="149">
          <cell r="G149">
            <v>1232</v>
          </cell>
          <cell r="H149" t="str">
            <v>YTD Actual</v>
          </cell>
          <cell r="I149">
            <v>422219.04999999993</v>
          </cell>
          <cell r="J149">
            <v>877245.39000000013</v>
          </cell>
          <cell r="K149">
            <v>1359909.1300000001</v>
          </cell>
          <cell r="L149">
            <v>1754086.97</v>
          </cell>
          <cell r="M149">
            <v>2155978.1100000003</v>
          </cell>
          <cell r="N149">
            <v>2519000.2199999997</v>
          </cell>
          <cell r="O149">
            <v>2886859.04</v>
          </cell>
          <cell r="P149">
            <v>3262154.8899999997</v>
          </cell>
          <cell r="Q149">
            <v>3709407.060000001</v>
          </cell>
          <cell r="R149">
            <v>4121159.6999999983</v>
          </cell>
          <cell r="S149">
            <v>4606687.9800000004</v>
          </cell>
          <cell r="T149">
            <v>5113674.2299999995</v>
          </cell>
          <cell r="U149">
            <v>349667.07999999996</v>
          </cell>
          <cell r="V149">
            <v>812002.83999999973</v>
          </cell>
          <cell r="W149">
            <v>1404892.27</v>
          </cell>
          <cell r="X149">
            <v>1913641.3500000006</v>
          </cell>
          <cell r="Y149">
            <v>2323311.5600000005</v>
          </cell>
          <cell r="Z149">
            <v>2596017.4500000002</v>
          </cell>
          <cell r="AA149">
            <v>3171711.9699999997</v>
          </cell>
          <cell r="AB149">
            <v>3388737.04</v>
          </cell>
          <cell r="AC149">
            <v>3886160.9799999995</v>
          </cell>
          <cell r="AD149">
            <v>4253167.5600000005</v>
          </cell>
          <cell r="AE149">
            <v>0</v>
          </cell>
          <cell r="AF149">
            <v>0</v>
          </cell>
        </row>
        <row r="150">
          <cell r="G150">
            <v>1233</v>
          </cell>
          <cell r="H150" t="str">
            <v>YTD Target (Budget)</v>
          </cell>
          <cell r="I150">
            <v>387822.75</v>
          </cell>
          <cell r="J150">
            <v>848847.5</v>
          </cell>
          <cell r="K150">
            <v>1276123.25</v>
          </cell>
          <cell r="L150">
            <v>1890138</v>
          </cell>
          <cell r="M150">
            <v>2210826.75</v>
          </cell>
          <cell r="N150">
            <v>2619369.5</v>
          </cell>
          <cell r="O150">
            <v>3028161.25</v>
          </cell>
          <cell r="P150">
            <v>3467443</v>
          </cell>
          <cell r="Q150">
            <v>3981781.75</v>
          </cell>
          <cell r="R150">
            <v>4454419.5</v>
          </cell>
          <cell r="S150">
            <v>4872641.25</v>
          </cell>
          <cell r="T150">
            <v>5261614</v>
          </cell>
          <cell r="U150">
            <v>394921.17</v>
          </cell>
          <cell r="V150">
            <v>899978.34</v>
          </cell>
          <cell r="W150">
            <v>1472484.51</v>
          </cell>
          <cell r="X150">
            <v>1930617.68</v>
          </cell>
          <cell r="Y150">
            <v>2344605.85</v>
          </cell>
          <cell r="Z150">
            <v>2739649.02</v>
          </cell>
          <cell r="AA150">
            <v>3138492.19</v>
          </cell>
          <cell r="AB150">
            <v>3601058.36</v>
          </cell>
          <cell r="AC150">
            <v>4123575.52</v>
          </cell>
          <cell r="AD150">
            <v>4632517.68</v>
          </cell>
          <cell r="AE150">
            <v>0</v>
          </cell>
          <cell r="AF150">
            <v>0</v>
          </cell>
        </row>
        <row r="151">
          <cell r="G151">
            <v>3095</v>
          </cell>
          <cell r="H151" t="str">
            <v>Empl_Benefits</v>
          </cell>
          <cell r="I151">
            <v>17440.37</v>
          </cell>
          <cell r="J151">
            <v>34216.420000000006</v>
          </cell>
          <cell r="K151">
            <v>43997.329999999994</v>
          </cell>
          <cell r="L151">
            <v>32235.270000000004</v>
          </cell>
          <cell r="M151">
            <v>32799.480000000003</v>
          </cell>
          <cell r="N151">
            <v>31812.499999999993</v>
          </cell>
          <cell r="O151">
            <v>29151.330000000005</v>
          </cell>
          <cell r="P151">
            <v>30989.319999999996</v>
          </cell>
          <cell r="Q151">
            <v>46769.87</v>
          </cell>
          <cell r="R151">
            <v>34001.289999999994</v>
          </cell>
          <cell r="S151">
            <v>31560.449999999997</v>
          </cell>
          <cell r="T151">
            <v>51338.630000000005</v>
          </cell>
          <cell r="U151">
            <v>13041.27</v>
          </cell>
          <cell r="V151">
            <v>32624.590000000004</v>
          </cell>
          <cell r="W151">
            <v>41566.370000000003</v>
          </cell>
          <cell r="X151">
            <v>26396.880000000001</v>
          </cell>
          <cell r="Y151">
            <v>27759.930000000004</v>
          </cell>
          <cell r="Z151">
            <v>23501.55</v>
          </cell>
          <cell r="AA151">
            <v>20218.510000000002</v>
          </cell>
          <cell r="AB151">
            <v>20948.829999999998</v>
          </cell>
          <cell r="AC151">
            <v>29852.880000000005</v>
          </cell>
          <cell r="AD151">
            <v>24412.58</v>
          </cell>
          <cell r="AE151">
            <v>0</v>
          </cell>
          <cell r="AF151">
            <v>0</v>
          </cell>
        </row>
        <row r="152">
          <cell r="G152">
            <v>3096</v>
          </cell>
          <cell r="H152" t="str">
            <v>Total Personnel</v>
          </cell>
          <cell r="I152">
            <v>79498.710000000006</v>
          </cell>
          <cell r="J152">
            <v>123051.04000000001</v>
          </cell>
          <cell r="K152">
            <v>164697.42000000001</v>
          </cell>
          <cell r="L152">
            <v>122843.77</v>
          </cell>
          <cell r="M152">
            <v>134109.57999999999</v>
          </cell>
          <cell r="N152">
            <v>121062.38</v>
          </cell>
          <cell r="O152">
            <v>102569.01999999999</v>
          </cell>
          <cell r="P152">
            <v>114610.56999999999</v>
          </cell>
          <cell r="Q152">
            <v>175266.97</v>
          </cell>
          <cell r="R152">
            <v>132467.14000000001</v>
          </cell>
          <cell r="S152">
            <v>115149.82999999999</v>
          </cell>
          <cell r="T152">
            <v>172457.87</v>
          </cell>
          <cell r="U152">
            <v>57562.66</v>
          </cell>
          <cell r="V152">
            <v>120284.04000000001</v>
          </cell>
          <cell r="W152">
            <v>161319.79</v>
          </cell>
          <cell r="X152">
            <v>103224.87</v>
          </cell>
          <cell r="Y152">
            <v>109737.14000000001</v>
          </cell>
          <cell r="Z152">
            <v>92111.150000000009</v>
          </cell>
          <cell r="AA152">
            <v>75540.37</v>
          </cell>
          <cell r="AB152">
            <v>86934.15</v>
          </cell>
          <cell r="AC152">
            <v>136403.91999999998</v>
          </cell>
          <cell r="AD152">
            <v>100085.09000000001</v>
          </cell>
          <cell r="AE152">
            <v>0</v>
          </cell>
          <cell r="AF152">
            <v>0</v>
          </cell>
        </row>
        <row r="153">
          <cell r="G153">
            <v>3097</v>
          </cell>
          <cell r="H153" t="str">
            <v>Target Empl_Benefits</v>
          </cell>
          <cell r="I153">
            <v>33743</v>
          </cell>
          <cell r="J153">
            <v>41019</v>
          </cell>
          <cell r="K153">
            <v>47892</v>
          </cell>
          <cell r="L153">
            <v>33494</v>
          </cell>
          <cell r="M153">
            <v>33923</v>
          </cell>
          <cell r="N153">
            <v>34094</v>
          </cell>
          <cell r="O153">
            <v>32875</v>
          </cell>
          <cell r="P153">
            <v>33627</v>
          </cell>
          <cell r="Q153">
            <v>46640</v>
          </cell>
          <cell r="R153">
            <v>33875</v>
          </cell>
          <cell r="S153">
            <v>34266</v>
          </cell>
          <cell r="T153">
            <v>31928</v>
          </cell>
          <cell r="U153">
            <v>23943</v>
          </cell>
          <cell r="V153">
            <v>36645</v>
          </cell>
          <cell r="W153">
            <v>46522</v>
          </cell>
          <cell r="X153">
            <v>30894</v>
          </cell>
          <cell r="Y153">
            <v>31497</v>
          </cell>
          <cell r="Z153">
            <v>29317</v>
          </cell>
          <cell r="AA153">
            <v>25940</v>
          </cell>
          <cell r="AB153">
            <v>28846</v>
          </cell>
          <cell r="AC153">
            <v>33897</v>
          </cell>
          <cell r="AD153">
            <v>30436</v>
          </cell>
          <cell r="AE153">
            <v>0</v>
          </cell>
          <cell r="AF153">
            <v>0</v>
          </cell>
        </row>
        <row r="154">
          <cell r="G154">
            <v>3098</v>
          </cell>
          <cell r="H154" t="str">
            <v>Target Total Personnel</v>
          </cell>
          <cell r="I154">
            <v>128544</v>
          </cell>
          <cell r="J154">
            <v>158169</v>
          </cell>
          <cell r="K154">
            <v>188845</v>
          </cell>
          <cell r="L154">
            <v>129902</v>
          </cell>
          <cell r="M154">
            <v>132810</v>
          </cell>
          <cell r="N154">
            <v>131066</v>
          </cell>
          <cell r="O154">
            <v>124511</v>
          </cell>
          <cell r="P154">
            <v>126918</v>
          </cell>
          <cell r="Q154">
            <v>178134</v>
          </cell>
          <cell r="R154">
            <v>129304</v>
          </cell>
          <cell r="S154">
            <v>131322</v>
          </cell>
          <cell r="T154">
            <v>116437</v>
          </cell>
          <cell r="U154">
            <v>91695</v>
          </cell>
          <cell r="V154">
            <v>130553</v>
          </cell>
          <cell r="W154">
            <v>167213</v>
          </cell>
          <cell r="X154">
            <v>110203</v>
          </cell>
          <cell r="Y154">
            <v>112840</v>
          </cell>
          <cell r="Z154">
            <v>103726</v>
          </cell>
          <cell r="AA154">
            <v>85790</v>
          </cell>
          <cell r="AB154">
            <v>108860</v>
          </cell>
          <cell r="AC154">
            <v>126664</v>
          </cell>
          <cell r="AD154">
            <v>119515</v>
          </cell>
          <cell r="AE154">
            <v>0</v>
          </cell>
          <cell r="AF154">
            <v>0</v>
          </cell>
        </row>
        <row r="155">
          <cell r="G155">
            <v>3099</v>
          </cell>
          <cell r="H155" t="str">
            <v>YTD Empl_Benefits</v>
          </cell>
          <cell r="I155">
            <v>17440.37</v>
          </cell>
          <cell r="J155">
            <v>51656.789999999994</v>
          </cell>
          <cell r="K155">
            <v>95654.12000000001</v>
          </cell>
          <cell r="L155">
            <v>127889.38999999998</v>
          </cell>
          <cell r="M155">
            <v>160688.87000000002</v>
          </cell>
          <cell r="N155">
            <v>192501.37</v>
          </cell>
          <cell r="O155">
            <v>221652.69999999995</v>
          </cell>
          <cell r="P155">
            <v>252642.02000000002</v>
          </cell>
          <cell r="Q155">
            <v>299411.88999999996</v>
          </cell>
          <cell r="R155">
            <v>333413.18000000005</v>
          </cell>
          <cell r="S155">
            <v>364973.63</v>
          </cell>
          <cell r="T155">
            <v>416312.26</v>
          </cell>
          <cell r="U155">
            <v>13041.27</v>
          </cell>
          <cell r="V155">
            <v>45665.859999999993</v>
          </cell>
          <cell r="W155">
            <v>87232.230000000025</v>
          </cell>
          <cell r="X155">
            <v>113629.11000000002</v>
          </cell>
          <cell r="Y155">
            <v>141389.04000000004</v>
          </cell>
          <cell r="Z155">
            <v>164890.59000000003</v>
          </cell>
          <cell r="AA155">
            <v>185109.09999999998</v>
          </cell>
          <cell r="AB155">
            <v>206057.93000000002</v>
          </cell>
          <cell r="AC155">
            <v>235910.81000000003</v>
          </cell>
          <cell r="AD155">
            <v>260323.39000000004</v>
          </cell>
          <cell r="AE155">
            <v>0</v>
          </cell>
          <cell r="AF155">
            <v>0</v>
          </cell>
        </row>
        <row r="156">
          <cell r="G156">
            <v>3100</v>
          </cell>
          <cell r="H156" t="str">
            <v>YTD Total Personnel</v>
          </cell>
          <cell r="I156">
            <v>79498.710000000006</v>
          </cell>
          <cell r="J156">
            <v>202549.75</v>
          </cell>
          <cell r="K156">
            <v>367247.17</v>
          </cell>
          <cell r="L156">
            <v>490090.93999999994</v>
          </cell>
          <cell r="M156">
            <v>624200.52</v>
          </cell>
          <cell r="N156">
            <v>745262.89999999991</v>
          </cell>
          <cell r="O156">
            <v>847831.91999999981</v>
          </cell>
          <cell r="P156">
            <v>962442.48999999987</v>
          </cell>
          <cell r="Q156">
            <v>1137709.46</v>
          </cell>
          <cell r="R156">
            <v>1270176.5999999999</v>
          </cell>
          <cell r="S156">
            <v>1385326.4300000002</v>
          </cell>
          <cell r="T156">
            <v>1557784.3</v>
          </cell>
          <cell r="U156">
            <v>57562.66</v>
          </cell>
          <cell r="V156">
            <v>177846.69999999998</v>
          </cell>
          <cell r="W156">
            <v>339166.49000000005</v>
          </cell>
          <cell r="X156">
            <v>442391.36</v>
          </cell>
          <cell r="Y156">
            <v>552128.5</v>
          </cell>
          <cell r="Z156">
            <v>644239.65000000014</v>
          </cell>
          <cell r="AA156">
            <v>719780.02</v>
          </cell>
          <cell r="AB156">
            <v>806714.17000000016</v>
          </cell>
          <cell r="AC156">
            <v>943118.09000000008</v>
          </cell>
          <cell r="AD156">
            <v>1043203.18</v>
          </cell>
          <cell r="AE156">
            <v>0</v>
          </cell>
          <cell r="AF156">
            <v>0</v>
          </cell>
        </row>
        <row r="157">
          <cell r="G157">
            <v>3101</v>
          </cell>
          <cell r="H157" t="str">
            <v>YTD Target Empl_Benefits</v>
          </cell>
          <cell r="I157">
            <v>33743</v>
          </cell>
          <cell r="J157">
            <v>82629</v>
          </cell>
          <cell r="K157">
            <v>114777</v>
          </cell>
          <cell r="L157">
            <v>149325</v>
          </cell>
          <cell r="M157">
            <v>183248</v>
          </cell>
          <cell r="N157">
            <v>217342</v>
          </cell>
          <cell r="O157">
            <v>250217</v>
          </cell>
          <cell r="P157">
            <v>283844</v>
          </cell>
          <cell r="Q157">
            <v>330484</v>
          </cell>
          <cell r="R157">
            <v>364359</v>
          </cell>
          <cell r="S157">
            <v>398625</v>
          </cell>
          <cell r="T157">
            <v>430553</v>
          </cell>
          <cell r="U157">
            <v>23943</v>
          </cell>
          <cell r="V157">
            <v>60588</v>
          </cell>
          <cell r="W157">
            <v>107110</v>
          </cell>
          <cell r="X157">
            <v>119329</v>
          </cell>
          <cell r="Y157">
            <v>150826</v>
          </cell>
          <cell r="Z157">
            <v>180143</v>
          </cell>
          <cell r="AA157">
            <v>206083</v>
          </cell>
          <cell r="AB157">
            <v>234929</v>
          </cell>
          <cell r="AC157">
            <v>268826</v>
          </cell>
          <cell r="AD157">
            <v>299262</v>
          </cell>
          <cell r="AE157">
            <v>0</v>
          </cell>
          <cell r="AF157">
            <v>0</v>
          </cell>
        </row>
        <row r="158">
          <cell r="G158">
            <v>3102</v>
          </cell>
          <cell r="H158" t="str">
            <v>YTD Target Total Personnel</v>
          </cell>
          <cell r="I158">
            <v>128544</v>
          </cell>
          <cell r="J158">
            <v>297586</v>
          </cell>
          <cell r="K158">
            <v>433112</v>
          </cell>
          <cell r="L158">
            <v>567011</v>
          </cell>
          <cell r="M158">
            <v>699821</v>
          </cell>
          <cell r="N158">
            <v>830887</v>
          </cell>
          <cell r="O158">
            <v>955398</v>
          </cell>
          <cell r="P158">
            <v>1082316</v>
          </cell>
          <cell r="Q158">
            <v>1260450</v>
          </cell>
          <cell r="R158">
            <v>1389754</v>
          </cell>
          <cell r="S158">
            <v>1521076</v>
          </cell>
          <cell r="T158">
            <v>1637513</v>
          </cell>
          <cell r="U158">
            <v>91695</v>
          </cell>
          <cell r="V158">
            <v>222248</v>
          </cell>
          <cell r="W158">
            <v>389461</v>
          </cell>
          <cell r="X158">
            <v>448013</v>
          </cell>
          <cell r="Y158">
            <v>560853</v>
          </cell>
          <cell r="Z158">
            <v>664579</v>
          </cell>
          <cell r="AA158">
            <v>750369</v>
          </cell>
          <cell r="AB158">
            <v>859229</v>
          </cell>
          <cell r="AC158">
            <v>985893</v>
          </cell>
          <cell r="AD158">
            <v>1105408</v>
          </cell>
          <cell r="AE158">
            <v>0</v>
          </cell>
          <cell r="AF158">
            <v>0</v>
          </cell>
        </row>
        <row r="159">
          <cell r="G159">
            <v>1241</v>
          </cell>
          <cell r="H159" t="str">
            <v>Actual</v>
          </cell>
          <cell r="I159">
            <v>-18209.539999999863</v>
          </cell>
          <cell r="J159">
            <v>19495.47000000003</v>
          </cell>
          <cell r="K159">
            <v>53831.400000000023</v>
          </cell>
          <cell r="L159">
            <v>76264.670000000042</v>
          </cell>
          <cell r="M159">
            <v>28095.980000000098</v>
          </cell>
          <cell r="N159">
            <v>65410.539999999979</v>
          </cell>
          <cell r="O159">
            <v>10811.589999999967</v>
          </cell>
          <cell r="P159">
            <v>70635.81</v>
          </cell>
          <cell r="Q159">
            <v>78619.569999999949</v>
          </cell>
          <cell r="R159">
            <v>87815.399999999965</v>
          </cell>
          <cell r="S159">
            <v>-30412.020000000019</v>
          </cell>
          <cell r="T159">
            <v>-59757.529999999912</v>
          </cell>
          <cell r="U159">
            <v>95356.990000000049</v>
          </cell>
          <cell r="V159">
            <v>-27623.570000000065</v>
          </cell>
          <cell r="W159">
            <v>-110436.12999999995</v>
          </cell>
          <cell r="X159">
            <v>17336.97000000003</v>
          </cell>
          <cell r="Y159">
            <v>27105.859999999986</v>
          </cell>
          <cell r="Z159">
            <v>66918.810000000056</v>
          </cell>
          <cell r="AA159">
            <v>-145340.13</v>
          </cell>
          <cell r="AB159">
            <v>544084.49000000011</v>
          </cell>
          <cell r="AC159">
            <v>-71659.009999999951</v>
          </cell>
          <cell r="AD159">
            <v>-76731.840000000142</v>
          </cell>
          <cell r="AE159">
            <v>0</v>
          </cell>
          <cell r="AF159">
            <v>0</v>
          </cell>
        </row>
        <row r="160">
          <cell r="G160">
            <v>1242</v>
          </cell>
          <cell r="H160" t="str">
            <v>Target (Budget)</v>
          </cell>
          <cell r="I160">
            <v>-147785.75</v>
          </cell>
          <cell r="J160">
            <v>36365.25</v>
          </cell>
          <cell r="K160">
            <v>-35267.75</v>
          </cell>
          <cell r="L160">
            <v>61159.25</v>
          </cell>
          <cell r="M160">
            <v>64118.25</v>
          </cell>
          <cell r="N160">
            <v>-11224.75</v>
          </cell>
          <cell r="O160">
            <v>10861.25</v>
          </cell>
          <cell r="P160">
            <v>48608.25</v>
          </cell>
          <cell r="Q160">
            <v>41052.25</v>
          </cell>
          <cell r="R160">
            <v>157402.25</v>
          </cell>
          <cell r="S160">
            <v>15375.25</v>
          </cell>
          <cell r="T160">
            <v>37255.25</v>
          </cell>
          <cell r="U160">
            <v>33059.160000000033</v>
          </cell>
          <cell r="V160">
            <v>-78449.839999999967</v>
          </cell>
          <cell r="W160">
            <v>-59834.839999999909</v>
          </cell>
          <cell r="X160">
            <v>13155.160000000033</v>
          </cell>
          <cell r="Y160">
            <v>108192.16000000003</v>
          </cell>
          <cell r="Z160">
            <v>8089.1600000000326</v>
          </cell>
          <cell r="AA160">
            <v>66877.160000000033</v>
          </cell>
          <cell r="AB160">
            <v>-8566.8399999999674</v>
          </cell>
          <cell r="AC160">
            <v>24081.170000000042</v>
          </cell>
          <cell r="AD160">
            <v>25217.170000000042</v>
          </cell>
          <cell r="AE160">
            <v>0</v>
          </cell>
          <cell r="AF160">
            <v>0</v>
          </cell>
        </row>
        <row r="161">
          <cell r="G161">
            <v>1245</v>
          </cell>
          <cell r="H161" t="str">
            <v>YTD Actual</v>
          </cell>
          <cell r="I161">
            <v>-18209.539999999863</v>
          </cell>
          <cell r="J161">
            <v>1285.9299999999348</v>
          </cell>
          <cell r="K161">
            <v>55117.329999999842</v>
          </cell>
          <cell r="L161">
            <v>131382.00000000023</v>
          </cell>
          <cell r="M161">
            <v>159477.97999999952</v>
          </cell>
          <cell r="N161">
            <v>224888.52000000048</v>
          </cell>
          <cell r="O161">
            <v>235700.11000000034</v>
          </cell>
          <cell r="P161">
            <v>306335.92000000039</v>
          </cell>
          <cell r="Q161">
            <v>384955.48999999883</v>
          </cell>
          <cell r="R161">
            <v>472770.89000000153</v>
          </cell>
          <cell r="S161">
            <v>442358.86999999918</v>
          </cell>
          <cell r="T161">
            <v>382601.33999999985</v>
          </cell>
          <cell r="U161">
            <v>95356.990000000049</v>
          </cell>
          <cell r="V161">
            <v>67733.420000000275</v>
          </cell>
          <cell r="W161">
            <v>-42702.709999999963</v>
          </cell>
          <cell r="X161">
            <v>-64948.060000000754</v>
          </cell>
          <cell r="Y161">
            <v>-37842.200000000652</v>
          </cell>
          <cell r="Z161">
            <v>29076.60999999987</v>
          </cell>
          <cell r="AA161">
            <v>-116263.51999999955</v>
          </cell>
          <cell r="AB161">
            <v>427820.96999999974</v>
          </cell>
          <cell r="AC161">
            <v>356161.96000000089</v>
          </cell>
          <cell r="AD161">
            <v>279430.11999999918</v>
          </cell>
          <cell r="AE161">
            <v>0</v>
          </cell>
          <cell r="AF161">
            <v>0</v>
          </cell>
        </row>
        <row r="162">
          <cell r="G162">
            <v>1246</v>
          </cell>
          <cell r="H162" t="str">
            <v>YTD Target (Budget)</v>
          </cell>
          <cell r="I162">
            <v>-147785.75</v>
          </cell>
          <cell r="J162">
            <v>-9805.5</v>
          </cell>
          <cell r="K162">
            <v>11049.75</v>
          </cell>
          <cell r="L162">
            <v>25323</v>
          </cell>
          <cell r="M162">
            <v>165893.25</v>
          </cell>
          <cell r="N162">
            <v>154668.5</v>
          </cell>
          <cell r="O162">
            <v>165529.75</v>
          </cell>
          <cell r="P162">
            <v>214138</v>
          </cell>
          <cell r="Q162">
            <v>255190.25</v>
          </cell>
          <cell r="R162">
            <v>412592.5</v>
          </cell>
          <cell r="S162">
            <v>427967.75</v>
          </cell>
          <cell r="T162">
            <v>465223</v>
          </cell>
          <cell r="U162">
            <v>33059.160000000033</v>
          </cell>
          <cell r="V162">
            <v>-45390.679999999935</v>
          </cell>
          <cell r="W162">
            <v>90344.479999999981</v>
          </cell>
          <cell r="X162">
            <v>89577.64000000013</v>
          </cell>
          <cell r="Y162">
            <v>197769.79999999981</v>
          </cell>
          <cell r="Z162">
            <v>205858.95999999996</v>
          </cell>
          <cell r="AA162">
            <v>272736.12000000011</v>
          </cell>
          <cell r="AB162">
            <v>264169.28000000026</v>
          </cell>
          <cell r="AC162">
            <v>288250.44999999972</v>
          </cell>
          <cell r="AD162">
            <v>313467.62000000011</v>
          </cell>
          <cell r="AE162">
            <v>0</v>
          </cell>
          <cell r="AF162">
            <v>0</v>
          </cell>
        </row>
        <row r="163">
          <cell r="G163">
            <v>1254</v>
          </cell>
          <cell r="H163" t="str">
            <v>Actual</v>
          </cell>
          <cell r="I163">
            <v>18426.71000000013</v>
          </cell>
          <cell r="J163">
            <v>41784.030000000021</v>
          </cell>
          <cell r="K163">
            <v>49407.950000000019</v>
          </cell>
          <cell r="L163">
            <v>44741.920000000042</v>
          </cell>
          <cell r="M163">
            <v>27121.050000000105</v>
          </cell>
          <cell r="N163">
            <v>51920.949999999975</v>
          </cell>
          <cell r="O163">
            <v>32018.669999999973</v>
          </cell>
          <cell r="P163">
            <v>84113.08</v>
          </cell>
          <cell r="Q163">
            <v>77188.689999999944</v>
          </cell>
          <cell r="R163">
            <v>72229.949999999968</v>
          </cell>
          <cell r="S163">
            <v>34687.639999999985</v>
          </cell>
          <cell r="T163">
            <v>210919.88000000009</v>
          </cell>
          <cell r="U163">
            <v>128486.30000000005</v>
          </cell>
          <cell r="V163">
            <v>-595.93000000006214</v>
          </cell>
          <cell r="W163">
            <v>-94727.319999999949</v>
          </cell>
          <cell r="X163">
            <v>35541.760000000031</v>
          </cell>
          <cell r="Y163">
            <v>7696.2899999999863</v>
          </cell>
          <cell r="Z163">
            <v>48013.540000000059</v>
          </cell>
          <cell r="AA163">
            <v>-92600.799999999988</v>
          </cell>
          <cell r="AB163">
            <v>538769.6100000001</v>
          </cell>
          <cell r="AC163">
            <v>-86408.999999999942</v>
          </cell>
          <cell r="AD163">
            <v>-57730.710000000137</v>
          </cell>
          <cell r="AE163">
            <v>0</v>
          </cell>
          <cell r="AF163">
            <v>0</v>
          </cell>
        </row>
        <row r="164">
          <cell r="G164">
            <v>1255</v>
          </cell>
          <cell r="H164" t="str">
            <v>Target (Budget)</v>
          </cell>
          <cell r="I164">
            <v>-157627.75</v>
          </cell>
          <cell r="J164">
            <v>41496.25</v>
          </cell>
          <cell r="K164">
            <v>-50858.75</v>
          </cell>
          <cell r="L164">
            <v>69625.25</v>
          </cell>
          <cell r="M164">
            <v>45589.25</v>
          </cell>
          <cell r="N164">
            <v>-26902.75</v>
          </cell>
          <cell r="O164">
            <v>-2901.75</v>
          </cell>
          <cell r="P164">
            <v>33467.25</v>
          </cell>
          <cell r="Q164">
            <v>21391.25</v>
          </cell>
          <cell r="R164">
            <v>136658.25</v>
          </cell>
          <cell r="S164">
            <v>1369.25</v>
          </cell>
          <cell r="T164">
            <v>439403.25</v>
          </cell>
          <cell r="U164">
            <v>11223.000000000029</v>
          </cell>
          <cell r="V164">
            <v>-59191.999999999971</v>
          </cell>
          <cell r="W164">
            <v>-47886.999999999913</v>
          </cell>
          <cell r="X164">
            <v>28277.000000000029</v>
          </cell>
          <cell r="Y164">
            <v>123459.00000000003</v>
          </cell>
          <cell r="Z164">
            <v>23162.000000000029</v>
          </cell>
          <cell r="AA164">
            <v>85534.000000000029</v>
          </cell>
          <cell r="AB164">
            <v>9363.0000000000291</v>
          </cell>
          <cell r="AC164">
            <v>31764.000000000044</v>
          </cell>
          <cell r="AD164">
            <v>40643.000000000044</v>
          </cell>
          <cell r="AE164">
            <v>0</v>
          </cell>
          <cell r="AF164">
            <v>0</v>
          </cell>
        </row>
        <row r="165">
          <cell r="G165">
            <v>1258</v>
          </cell>
          <cell r="H165" t="str">
            <v>YTD Actual</v>
          </cell>
          <cell r="I165">
            <v>18426.71000000013</v>
          </cell>
          <cell r="J165">
            <v>60210.73999999994</v>
          </cell>
          <cell r="K165">
            <v>109618.68999999984</v>
          </cell>
          <cell r="L165">
            <v>154360.61000000025</v>
          </cell>
          <cell r="M165">
            <v>181481.65999999957</v>
          </cell>
          <cell r="N165">
            <v>233402.61000000051</v>
          </cell>
          <cell r="O165">
            <v>265421.28000000038</v>
          </cell>
          <cell r="P165">
            <v>349534.36000000039</v>
          </cell>
          <cell r="Q165">
            <v>426723.04999999877</v>
          </cell>
          <cell r="R165">
            <v>498953.00000000151</v>
          </cell>
          <cell r="S165">
            <v>533640.6399999992</v>
          </cell>
          <cell r="T165">
            <v>744560.5199999999</v>
          </cell>
          <cell r="U165">
            <v>128486.30000000005</v>
          </cell>
          <cell r="V165">
            <v>127890.37000000029</v>
          </cell>
          <cell r="W165">
            <v>33163.050000000017</v>
          </cell>
          <cell r="X165">
            <v>31339.94999999924</v>
          </cell>
          <cell r="Y165">
            <v>39036.239999999336</v>
          </cell>
          <cell r="Z165">
            <v>87049.779999999824</v>
          </cell>
          <cell r="AA165">
            <v>-5551.0199999995966</v>
          </cell>
          <cell r="AB165">
            <v>533218.58999999973</v>
          </cell>
          <cell r="AC165">
            <v>446809.59000000084</v>
          </cell>
          <cell r="AD165">
            <v>389078.87999999919</v>
          </cell>
          <cell r="AE165">
            <v>0</v>
          </cell>
          <cell r="AF165">
            <v>0</v>
          </cell>
        </row>
        <row r="166">
          <cell r="G166">
            <v>1259</v>
          </cell>
          <cell r="H166" t="str">
            <v>YTD Target (Budget)</v>
          </cell>
          <cell r="I166">
            <v>-157627.75</v>
          </cell>
          <cell r="J166">
            <v>4290.5</v>
          </cell>
          <cell r="K166">
            <v>-28059.25</v>
          </cell>
          <cell r="L166">
            <v>37649</v>
          </cell>
          <cell r="M166">
            <v>83118.25</v>
          </cell>
          <cell r="N166">
            <v>56215.5</v>
          </cell>
          <cell r="O166">
            <v>53313.75</v>
          </cell>
          <cell r="P166">
            <v>86781</v>
          </cell>
          <cell r="Q166">
            <v>108172.25</v>
          </cell>
          <cell r="R166">
            <v>244830.5</v>
          </cell>
          <cell r="S166">
            <v>246199.75</v>
          </cell>
          <cell r="T166">
            <v>685603</v>
          </cell>
          <cell r="U166">
            <v>11223.000000000029</v>
          </cell>
          <cell r="V166">
            <v>-47968.999999999942</v>
          </cell>
          <cell r="W166">
            <v>92333.999999999971</v>
          </cell>
          <cell r="X166">
            <v>107595.00000000012</v>
          </cell>
          <cell r="Y166">
            <v>231053.99999999983</v>
          </cell>
          <cell r="Z166">
            <v>254215.99999999994</v>
          </cell>
          <cell r="AA166">
            <v>339750.00000000012</v>
          </cell>
          <cell r="AB166">
            <v>349113.00000000023</v>
          </cell>
          <cell r="AC166">
            <v>380876.99999999971</v>
          </cell>
          <cell r="AD166">
            <v>421520.00000000012</v>
          </cell>
          <cell r="AE166">
            <v>0</v>
          </cell>
          <cell r="AF166">
            <v>0</v>
          </cell>
        </row>
        <row r="167">
          <cell r="G167">
            <v>3184</v>
          </cell>
          <cell r="H167" t="str">
            <v>Actual</v>
          </cell>
          <cell r="I167">
            <v>12452.960000000001</v>
          </cell>
          <cell r="J167">
            <v>13480.17</v>
          </cell>
          <cell r="K167">
            <v>25092.02</v>
          </cell>
          <cell r="L167">
            <v>20398.630000000005</v>
          </cell>
          <cell r="M167">
            <v>25456.1</v>
          </cell>
          <cell r="N167">
            <v>20034.98</v>
          </cell>
          <cell r="O167">
            <v>5785.99</v>
          </cell>
          <cell r="P167">
            <v>15335.35</v>
          </cell>
          <cell r="Q167">
            <v>22062.59</v>
          </cell>
          <cell r="R167">
            <v>21283.31</v>
          </cell>
          <cell r="S167">
            <v>11149.06</v>
          </cell>
          <cell r="T167">
            <v>5668.6799999999994</v>
          </cell>
          <cell r="U167">
            <v>8219.0499999999993</v>
          </cell>
          <cell r="V167">
            <v>12801.39</v>
          </cell>
          <cell r="W167">
            <v>25142.87</v>
          </cell>
          <cell r="X167">
            <v>14266.39</v>
          </cell>
          <cell r="Y167">
            <v>18140.560000000001</v>
          </cell>
          <cell r="Z167">
            <v>13259.289999999999</v>
          </cell>
          <cell r="AA167">
            <v>6279.6</v>
          </cell>
          <cell r="AB167">
            <v>16189.879999999997</v>
          </cell>
          <cell r="AC167">
            <v>22513.360000000001</v>
          </cell>
          <cell r="AD167">
            <v>19556.830000000002</v>
          </cell>
          <cell r="AE167">
            <v>0</v>
          </cell>
          <cell r="AF167">
            <v>0</v>
          </cell>
        </row>
        <row r="168">
          <cell r="G168">
            <v>3185</v>
          </cell>
          <cell r="H168" t="str">
            <v>Target (Budget)</v>
          </cell>
          <cell r="I168">
            <v>8483</v>
          </cell>
          <cell r="J168">
            <v>12017</v>
          </cell>
          <cell r="K168">
            <v>26906</v>
          </cell>
          <cell r="L168">
            <v>12757</v>
          </cell>
          <cell r="M168">
            <v>16000</v>
          </cell>
          <cell r="N168">
            <v>17195</v>
          </cell>
          <cell r="O168">
            <v>9451</v>
          </cell>
          <cell r="P168">
            <v>14162</v>
          </cell>
          <cell r="Q168">
            <v>22147</v>
          </cell>
          <cell r="R168">
            <v>15694</v>
          </cell>
          <cell r="S168">
            <v>15533</v>
          </cell>
          <cell r="T168">
            <v>8274</v>
          </cell>
          <cell r="U168">
            <v>9365</v>
          </cell>
          <cell r="V168">
            <v>10994</v>
          </cell>
          <cell r="W168">
            <v>17460</v>
          </cell>
          <cell r="X168">
            <v>14199</v>
          </cell>
          <cell r="Y168">
            <v>17857</v>
          </cell>
          <cell r="Z168">
            <v>14448</v>
          </cell>
          <cell r="AA168">
            <v>4847</v>
          </cell>
          <cell r="AB168">
            <v>22535</v>
          </cell>
          <cell r="AC168">
            <v>22758</v>
          </cell>
          <cell r="AD168">
            <v>28624</v>
          </cell>
          <cell r="AE168">
            <v>0</v>
          </cell>
          <cell r="AF168">
            <v>0</v>
          </cell>
        </row>
        <row r="169">
          <cell r="G169">
            <v>3188</v>
          </cell>
          <cell r="H169" t="str">
            <v>YTD Actual</v>
          </cell>
          <cell r="I169">
            <v>12452.960000000001</v>
          </cell>
          <cell r="J169">
            <v>25933.13</v>
          </cell>
          <cell r="K169">
            <v>51025.149999999994</v>
          </cell>
          <cell r="L169">
            <v>71423.78</v>
          </cell>
          <cell r="M169">
            <v>96879.87999999999</v>
          </cell>
          <cell r="N169">
            <v>116914.86</v>
          </cell>
          <cell r="O169">
            <v>122700.85</v>
          </cell>
          <cell r="P169">
            <v>138036.20000000001</v>
          </cell>
          <cell r="Q169">
            <v>160098.79</v>
          </cell>
          <cell r="R169">
            <v>181382.09999999998</v>
          </cell>
          <cell r="S169">
            <v>192531.16</v>
          </cell>
          <cell r="T169">
            <v>198199.84</v>
          </cell>
          <cell r="U169">
            <v>8219.0499999999993</v>
          </cell>
          <cell r="V169">
            <v>21020.440000000002</v>
          </cell>
          <cell r="W169">
            <v>46163.31</v>
          </cell>
          <cell r="X169">
            <v>60429.700000000004</v>
          </cell>
          <cell r="Y169">
            <v>78570.260000000024</v>
          </cell>
          <cell r="Z169">
            <v>91829.550000000017</v>
          </cell>
          <cell r="AA169">
            <v>98109.15</v>
          </cell>
          <cell r="AB169">
            <v>114299.03000000001</v>
          </cell>
          <cell r="AC169">
            <v>136812.39000000001</v>
          </cell>
          <cell r="AD169">
            <v>156369.22000000003</v>
          </cell>
          <cell r="AE169">
            <v>0</v>
          </cell>
          <cell r="AF169">
            <v>0</v>
          </cell>
        </row>
        <row r="170">
          <cell r="G170">
            <v>3189</v>
          </cell>
          <cell r="H170" t="str">
            <v>YTD Target (Budget)</v>
          </cell>
          <cell r="I170">
            <v>8483</v>
          </cell>
          <cell r="J170">
            <v>21619</v>
          </cell>
          <cell r="K170">
            <v>46211</v>
          </cell>
          <cell r="L170">
            <v>58968</v>
          </cell>
          <cell r="M170">
            <v>74968</v>
          </cell>
          <cell r="N170">
            <v>92163</v>
          </cell>
          <cell r="O170">
            <v>101614</v>
          </cell>
          <cell r="P170">
            <v>115776</v>
          </cell>
          <cell r="Q170">
            <v>137923</v>
          </cell>
          <cell r="R170">
            <v>153617</v>
          </cell>
          <cell r="S170">
            <v>169150</v>
          </cell>
          <cell r="T170">
            <v>177424</v>
          </cell>
          <cell r="U170">
            <v>9365</v>
          </cell>
          <cell r="V170">
            <v>20359</v>
          </cell>
          <cell r="W170">
            <v>37819</v>
          </cell>
          <cell r="X170">
            <v>52923</v>
          </cell>
          <cell r="Y170">
            <v>70780</v>
          </cell>
          <cell r="Z170">
            <v>85228</v>
          </cell>
          <cell r="AA170">
            <v>90075</v>
          </cell>
          <cell r="AB170">
            <v>112610</v>
          </cell>
          <cell r="AC170">
            <v>135368</v>
          </cell>
          <cell r="AD170">
            <v>163992</v>
          </cell>
          <cell r="AE170">
            <v>0</v>
          </cell>
          <cell r="AF170">
            <v>0</v>
          </cell>
        </row>
        <row r="171">
          <cell r="G171">
            <v>1425</v>
          </cell>
          <cell r="H171" t="str">
            <v>Actual</v>
          </cell>
          <cell r="I171">
            <v>20881.39</v>
          </cell>
          <cell r="J171">
            <v>10437.780000000001</v>
          </cell>
          <cell r="K171">
            <v>18331.39</v>
          </cell>
          <cell r="L171">
            <v>21056.37</v>
          </cell>
          <cell r="M171">
            <v>13326.1</v>
          </cell>
          <cell r="N171">
            <v>37296.800000000003</v>
          </cell>
          <cell r="O171">
            <v>8013.43</v>
          </cell>
          <cell r="P171">
            <v>13423.92</v>
          </cell>
          <cell r="Q171">
            <v>37578.71</v>
          </cell>
          <cell r="R171">
            <v>22465.279999999999</v>
          </cell>
          <cell r="S171">
            <v>24972.05</v>
          </cell>
          <cell r="T171">
            <v>7646.08</v>
          </cell>
          <cell r="U171">
            <v>10695.92</v>
          </cell>
          <cell r="V171">
            <v>0</v>
          </cell>
          <cell r="W171">
            <v>21155.98</v>
          </cell>
          <cell r="X171">
            <v>30513.68</v>
          </cell>
          <cell r="Y171">
            <v>17629.61</v>
          </cell>
          <cell r="Z171">
            <v>13769.84</v>
          </cell>
          <cell r="AA171">
            <v>6456.87</v>
          </cell>
          <cell r="AB171">
            <v>11283.11</v>
          </cell>
          <cell r="AC171">
            <v>27532.880000000001</v>
          </cell>
          <cell r="AD171">
            <v>13454.34</v>
          </cell>
          <cell r="AE171">
            <v>0</v>
          </cell>
          <cell r="AF171">
            <v>0</v>
          </cell>
        </row>
        <row r="172">
          <cell r="G172">
            <v>1426</v>
          </cell>
          <cell r="H172" t="str">
            <v>Target (Budget)</v>
          </cell>
          <cell r="I172">
            <v>18241</v>
          </cell>
          <cell r="J172">
            <v>7817</v>
          </cell>
          <cell r="K172">
            <v>13030</v>
          </cell>
          <cell r="L172">
            <v>26058</v>
          </cell>
          <cell r="M172">
            <v>26058</v>
          </cell>
          <cell r="N172">
            <v>33875</v>
          </cell>
          <cell r="O172">
            <v>10423</v>
          </cell>
          <cell r="P172">
            <v>13030</v>
          </cell>
          <cell r="Q172">
            <v>52116</v>
          </cell>
          <cell r="R172">
            <v>26058</v>
          </cell>
          <cell r="S172">
            <v>26058</v>
          </cell>
          <cell r="T172">
            <v>7816</v>
          </cell>
          <cell r="U172">
            <v>14362</v>
          </cell>
          <cell r="V172">
            <v>6155</v>
          </cell>
          <cell r="W172">
            <v>10259</v>
          </cell>
          <cell r="X172">
            <v>20517</v>
          </cell>
          <cell r="Y172">
            <v>20517</v>
          </cell>
          <cell r="Z172">
            <v>26672</v>
          </cell>
          <cell r="AA172">
            <v>8207</v>
          </cell>
          <cell r="AB172">
            <v>10259</v>
          </cell>
          <cell r="AC172">
            <v>38982</v>
          </cell>
          <cell r="AD172">
            <v>20517</v>
          </cell>
          <cell r="AE172">
            <v>0</v>
          </cell>
          <cell r="AF172">
            <v>0</v>
          </cell>
        </row>
        <row r="173">
          <cell r="G173">
            <v>1429</v>
          </cell>
          <cell r="H173" t="str">
            <v>YTD Actual</v>
          </cell>
          <cell r="I173">
            <v>20881.39</v>
          </cell>
          <cell r="J173">
            <v>31319.17</v>
          </cell>
          <cell r="K173">
            <v>49650.559999999998</v>
          </cell>
          <cell r="L173">
            <v>70706.929999999993</v>
          </cell>
          <cell r="M173">
            <v>84033.03</v>
          </cell>
          <cell r="N173">
            <v>121329.83</v>
          </cell>
          <cell r="O173">
            <v>129343.26000000001</v>
          </cell>
          <cell r="P173">
            <v>142767.18</v>
          </cell>
          <cell r="Q173">
            <v>180345.88999999998</v>
          </cell>
          <cell r="R173">
            <v>202811.16999999998</v>
          </cell>
          <cell r="S173">
            <v>227783.22</v>
          </cell>
          <cell r="T173">
            <v>235429.3</v>
          </cell>
          <cell r="U173">
            <v>10695.92</v>
          </cell>
          <cell r="V173">
            <v>10695.92</v>
          </cell>
          <cell r="W173">
            <v>31851.9</v>
          </cell>
          <cell r="X173">
            <v>62365.58</v>
          </cell>
          <cell r="Y173">
            <v>79995.19</v>
          </cell>
          <cell r="Z173">
            <v>93765.03</v>
          </cell>
          <cell r="AA173">
            <v>100221.9</v>
          </cell>
          <cell r="AB173">
            <v>111505.01</v>
          </cell>
          <cell r="AC173">
            <v>139037.89000000001</v>
          </cell>
          <cell r="AD173">
            <v>152492.23000000001</v>
          </cell>
          <cell r="AE173">
            <v>0</v>
          </cell>
          <cell r="AF173">
            <v>0</v>
          </cell>
        </row>
        <row r="174">
          <cell r="G174">
            <v>1430</v>
          </cell>
          <cell r="H174" t="str">
            <v>YTD Target (Budget)</v>
          </cell>
          <cell r="I174">
            <v>18241</v>
          </cell>
          <cell r="J174">
            <v>26058</v>
          </cell>
          <cell r="K174">
            <v>39088</v>
          </cell>
          <cell r="L174">
            <v>65146</v>
          </cell>
          <cell r="M174">
            <v>91204</v>
          </cell>
          <cell r="N174">
            <v>125079</v>
          </cell>
          <cell r="O174">
            <v>135502</v>
          </cell>
          <cell r="P174">
            <v>148532</v>
          </cell>
          <cell r="Q174">
            <v>200648</v>
          </cell>
          <cell r="R174">
            <v>226706</v>
          </cell>
          <cell r="S174">
            <v>252764</v>
          </cell>
          <cell r="T174">
            <v>260580</v>
          </cell>
          <cell r="U174">
            <v>14362</v>
          </cell>
          <cell r="V174">
            <v>20517</v>
          </cell>
          <cell r="W174">
            <v>30776</v>
          </cell>
          <cell r="X174">
            <v>51293</v>
          </cell>
          <cell r="Y174">
            <v>71810</v>
          </cell>
          <cell r="Z174">
            <v>98482</v>
          </cell>
          <cell r="AA174">
            <v>106689</v>
          </cell>
          <cell r="AB174">
            <v>116948</v>
          </cell>
          <cell r="AC174">
            <v>155930</v>
          </cell>
          <cell r="AD174">
            <v>176447</v>
          </cell>
          <cell r="AE174">
            <v>0</v>
          </cell>
          <cell r="AF174">
            <v>0</v>
          </cell>
        </row>
        <row r="175">
          <cell r="G175">
            <v>1438</v>
          </cell>
          <cell r="H175" t="str">
            <v>Actual</v>
          </cell>
          <cell r="I175">
            <v>19538.23</v>
          </cell>
          <cell r="J175">
            <v>7437.16</v>
          </cell>
          <cell r="K175">
            <v>7867.28</v>
          </cell>
          <cell r="L175">
            <v>13655.939999999999</v>
          </cell>
          <cell r="M175">
            <v>9728.81</v>
          </cell>
          <cell r="N175">
            <v>12692.519999999999</v>
          </cell>
          <cell r="O175">
            <v>19008.410000000003</v>
          </cell>
          <cell r="P175">
            <v>7853.33</v>
          </cell>
          <cell r="Q175">
            <v>11795.630000000001</v>
          </cell>
          <cell r="R175">
            <v>19062.519999999997</v>
          </cell>
          <cell r="S175">
            <v>18189.47</v>
          </cell>
          <cell r="T175">
            <v>13020.380000000001</v>
          </cell>
          <cell r="U175">
            <v>11225.029999999999</v>
          </cell>
          <cell r="V175">
            <v>-4900.08</v>
          </cell>
          <cell r="W175">
            <v>24652.02</v>
          </cell>
          <cell r="X175">
            <v>11216.11</v>
          </cell>
          <cell r="Y175">
            <v>10594.82</v>
          </cell>
          <cell r="Z175">
            <v>9895.7199999999993</v>
          </cell>
          <cell r="AA175">
            <v>8516.82</v>
          </cell>
          <cell r="AB175">
            <v>8145.6100000000006</v>
          </cell>
          <cell r="AC175">
            <v>14580.27</v>
          </cell>
          <cell r="AD175">
            <v>2060.4099999999989</v>
          </cell>
          <cell r="AE175">
            <v>0</v>
          </cell>
          <cell r="AF175">
            <v>0</v>
          </cell>
        </row>
        <row r="176">
          <cell r="G176">
            <v>1439</v>
          </cell>
          <cell r="H176" t="str">
            <v>Target (Budget)</v>
          </cell>
          <cell r="I176">
            <v>13341</v>
          </cell>
          <cell r="J176">
            <v>9711</v>
          </cell>
          <cell r="K176">
            <v>11525</v>
          </cell>
          <cell r="L176">
            <v>16064</v>
          </cell>
          <cell r="M176">
            <v>16101</v>
          </cell>
          <cell r="N176">
            <v>19233</v>
          </cell>
          <cell r="O176">
            <v>10618</v>
          </cell>
          <cell r="P176">
            <v>11525</v>
          </cell>
          <cell r="Q176">
            <v>25138</v>
          </cell>
          <cell r="R176">
            <v>16064</v>
          </cell>
          <cell r="S176">
            <v>16064</v>
          </cell>
          <cell r="T176">
            <v>3480</v>
          </cell>
          <cell r="U176">
            <v>10301</v>
          </cell>
          <cell r="V176">
            <v>7983</v>
          </cell>
          <cell r="W176">
            <v>10448</v>
          </cell>
          <cell r="X176">
            <v>12756</v>
          </cell>
          <cell r="Y176">
            <v>12760</v>
          </cell>
          <cell r="Z176">
            <v>15178</v>
          </cell>
          <cell r="AA176">
            <v>9310</v>
          </cell>
          <cell r="AB176">
            <v>9885</v>
          </cell>
          <cell r="AC176">
            <v>18630</v>
          </cell>
          <cell r="AD176">
            <v>12760</v>
          </cell>
          <cell r="AE176">
            <v>0</v>
          </cell>
          <cell r="AF176">
            <v>0</v>
          </cell>
        </row>
        <row r="177">
          <cell r="G177">
            <v>1442</v>
          </cell>
          <cell r="H177" t="str">
            <v>YTD Actual</v>
          </cell>
          <cell r="I177">
            <v>19538.23</v>
          </cell>
          <cell r="J177">
            <v>26975.39</v>
          </cell>
          <cell r="K177">
            <v>34842.67</v>
          </cell>
          <cell r="L177">
            <v>48498.609999999993</v>
          </cell>
          <cell r="M177">
            <v>58227.42</v>
          </cell>
          <cell r="N177">
            <v>70919.94</v>
          </cell>
          <cell r="O177">
            <v>89928.349999999991</v>
          </cell>
          <cell r="P177">
            <v>97781.68</v>
          </cell>
          <cell r="Q177">
            <v>109577.31</v>
          </cell>
          <cell r="R177">
            <v>128639.83</v>
          </cell>
          <cell r="S177">
            <v>146829.30000000002</v>
          </cell>
          <cell r="T177">
            <v>159849.68</v>
          </cell>
          <cell r="U177">
            <v>11225.029999999999</v>
          </cell>
          <cell r="V177">
            <v>6324.9499999999989</v>
          </cell>
          <cell r="W177">
            <v>30976.97</v>
          </cell>
          <cell r="X177">
            <v>42193.08</v>
          </cell>
          <cell r="Y177">
            <v>52787.900000000009</v>
          </cell>
          <cell r="Z177">
            <v>62683.62000000001</v>
          </cell>
          <cell r="AA177">
            <v>71200.44</v>
          </cell>
          <cell r="AB177">
            <v>79346.05</v>
          </cell>
          <cell r="AC177">
            <v>93926.32</v>
          </cell>
          <cell r="AD177">
            <v>95986.73000000001</v>
          </cell>
          <cell r="AE177">
            <v>0</v>
          </cell>
          <cell r="AF177">
            <v>0</v>
          </cell>
        </row>
        <row r="178">
          <cell r="G178">
            <v>1443</v>
          </cell>
          <cell r="H178" t="str">
            <v>YTD Target (Budget)</v>
          </cell>
          <cell r="I178">
            <v>13341</v>
          </cell>
          <cell r="J178">
            <v>23052</v>
          </cell>
          <cell r="K178">
            <v>34577</v>
          </cell>
          <cell r="L178">
            <v>50641</v>
          </cell>
          <cell r="M178">
            <v>66742</v>
          </cell>
          <cell r="N178">
            <v>85975</v>
          </cell>
          <cell r="O178">
            <v>96593</v>
          </cell>
          <cell r="P178">
            <v>108118</v>
          </cell>
          <cell r="Q178">
            <v>133256</v>
          </cell>
          <cell r="R178">
            <v>149320</v>
          </cell>
          <cell r="S178">
            <v>165384</v>
          </cell>
          <cell r="T178">
            <v>168864</v>
          </cell>
          <cell r="U178">
            <v>10301</v>
          </cell>
          <cell r="V178">
            <v>18284</v>
          </cell>
          <cell r="W178">
            <v>28732</v>
          </cell>
          <cell r="X178">
            <v>41488</v>
          </cell>
          <cell r="Y178">
            <v>54248</v>
          </cell>
          <cell r="Z178">
            <v>69426</v>
          </cell>
          <cell r="AA178">
            <v>78736</v>
          </cell>
          <cell r="AB178">
            <v>88621</v>
          </cell>
          <cell r="AC178">
            <v>107251</v>
          </cell>
          <cell r="AD178">
            <v>120011</v>
          </cell>
          <cell r="AE178">
            <v>0</v>
          </cell>
          <cell r="AF178">
            <v>0</v>
          </cell>
        </row>
        <row r="179">
          <cell r="G179">
            <v>3103</v>
          </cell>
          <cell r="H179" t="str">
            <v>Empl_Benefits</v>
          </cell>
          <cell r="I179">
            <v>1024.18</v>
          </cell>
          <cell r="J179">
            <v>1024.18</v>
          </cell>
          <cell r="K179">
            <v>1006.68</v>
          </cell>
          <cell r="L179">
            <v>2719.24</v>
          </cell>
          <cell r="M179">
            <v>1438.94</v>
          </cell>
          <cell r="N179">
            <v>1441.98</v>
          </cell>
          <cell r="O179">
            <v>1440.8300000000002</v>
          </cell>
          <cell r="P179">
            <v>1441.22</v>
          </cell>
          <cell r="Q179">
            <v>1444.43</v>
          </cell>
          <cell r="R179">
            <v>1441.8000000000002</v>
          </cell>
          <cell r="S179">
            <v>1440.47</v>
          </cell>
          <cell r="T179">
            <v>1503.8000000000002</v>
          </cell>
          <cell r="U179">
            <v>1497.68</v>
          </cell>
          <cell r="V179">
            <v>1498.41</v>
          </cell>
          <cell r="W179">
            <v>1476.6200000000001</v>
          </cell>
          <cell r="X179">
            <v>1451.04</v>
          </cell>
          <cell r="Y179">
            <v>1451.26</v>
          </cell>
          <cell r="Z179">
            <v>1451.96</v>
          </cell>
          <cell r="AA179">
            <v>1453.17</v>
          </cell>
          <cell r="AB179">
            <v>1452</v>
          </cell>
          <cell r="AC179">
            <v>1453.44</v>
          </cell>
          <cell r="AD179">
            <v>1451.4</v>
          </cell>
          <cell r="AE179">
            <v>0</v>
          </cell>
          <cell r="AF179">
            <v>0</v>
          </cell>
        </row>
        <row r="180">
          <cell r="G180">
            <v>3104</v>
          </cell>
          <cell r="H180" t="str">
            <v>Total Personnel</v>
          </cell>
          <cell r="I180">
            <v>3792.2200000000003</v>
          </cell>
          <cell r="J180">
            <v>3792.2200000000003</v>
          </cell>
          <cell r="K180">
            <v>4064.49</v>
          </cell>
          <cell r="L180">
            <v>10953.949999999999</v>
          </cell>
          <cell r="M180">
            <v>5771.1399999999994</v>
          </cell>
          <cell r="N180">
            <v>6280.8799999999992</v>
          </cell>
          <cell r="O180">
            <v>6088.03</v>
          </cell>
          <cell r="P180">
            <v>6153.22</v>
          </cell>
          <cell r="Q180">
            <v>6691.0300000000007</v>
          </cell>
          <cell r="R180">
            <v>6251</v>
          </cell>
          <cell r="S180">
            <v>6027.37</v>
          </cell>
          <cell r="T180">
            <v>5952.1</v>
          </cell>
          <cell r="U180">
            <v>5908.18</v>
          </cell>
          <cell r="V180">
            <v>5913.41</v>
          </cell>
          <cell r="W180">
            <v>6352.5199999999995</v>
          </cell>
          <cell r="X180">
            <v>6505.04</v>
          </cell>
          <cell r="Y180">
            <v>6542.26</v>
          </cell>
          <cell r="Z180">
            <v>6659.96</v>
          </cell>
          <cell r="AA180">
            <v>6863.17</v>
          </cell>
          <cell r="AB180">
            <v>6666</v>
          </cell>
          <cell r="AC180">
            <v>6908.4400000000005</v>
          </cell>
          <cell r="AD180">
            <v>6565.4</v>
          </cell>
          <cell r="AE180">
            <v>0</v>
          </cell>
          <cell r="AF180">
            <v>0</v>
          </cell>
        </row>
        <row r="181">
          <cell r="G181">
            <v>3105</v>
          </cell>
          <cell r="H181" t="str">
            <v>Target Empl_Benefits</v>
          </cell>
          <cell r="I181">
            <v>1608</v>
          </cell>
          <cell r="J181">
            <v>1608</v>
          </cell>
          <cell r="K181">
            <v>1608</v>
          </cell>
          <cell r="L181">
            <v>1608</v>
          </cell>
          <cell r="M181">
            <v>1608</v>
          </cell>
          <cell r="N181">
            <v>1608</v>
          </cell>
          <cell r="O181">
            <v>1608</v>
          </cell>
          <cell r="P181">
            <v>1608</v>
          </cell>
          <cell r="Q181">
            <v>1608</v>
          </cell>
          <cell r="R181">
            <v>1608</v>
          </cell>
          <cell r="S181">
            <v>1608</v>
          </cell>
          <cell r="T181">
            <v>178</v>
          </cell>
          <cell r="U181">
            <v>1405</v>
          </cell>
          <cell r="V181">
            <v>1405</v>
          </cell>
          <cell r="W181">
            <v>1581</v>
          </cell>
          <cell r="X181">
            <v>1407</v>
          </cell>
          <cell r="Y181">
            <v>1407</v>
          </cell>
          <cell r="Z181">
            <v>1582</v>
          </cell>
          <cell r="AA181">
            <v>1407</v>
          </cell>
          <cell r="AB181">
            <v>1407</v>
          </cell>
          <cell r="AC181">
            <v>1582</v>
          </cell>
          <cell r="AD181">
            <v>1407</v>
          </cell>
          <cell r="AE181">
            <v>0</v>
          </cell>
          <cell r="AF181">
            <v>0</v>
          </cell>
        </row>
        <row r="182">
          <cell r="G182">
            <v>3106</v>
          </cell>
          <cell r="H182" t="str">
            <v>Target Total Personnel</v>
          </cell>
          <cell r="I182">
            <v>6987</v>
          </cell>
          <cell r="J182">
            <v>6987</v>
          </cell>
          <cell r="K182">
            <v>6987</v>
          </cell>
          <cell r="L182">
            <v>6987</v>
          </cell>
          <cell r="M182">
            <v>6987</v>
          </cell>
          <cell r="N182">
            <v>6987</v>
          </cell>
          <cell r="O182">
            <v>6987</v>
          </cell>
          <cell r="P182">
            <v>6987</v>
          </cell>
          <cell r="Q182">
            <v>6987</v>
          </cell>
          <cell r="R182">
            <v>6987</v>
          </cell>
          <cell r="S182">
            <v>6987</v>
          </cell>
          <cell r="T182">
            <v>768</v>
          </cell>
          <cell r="U182">
            <v>5605</v>
          </cell>
          <cell r="V182">
            <v>5605</v>
          </cell>
          <cell r="W182">
            <v>6535</v>
          </cell>
          <cell r="X182">
            <v>5998</v>
          </cell>
          <cell r="Y182">
            <v>5998</v>
          </cell>
          <cell r="Z182">
            <v>6666</v>
          </cell>
          <cell r="AA182">
            <v>5998</v>
          </cell>
          <cell r="AB182">
            <v>5998</v>
          </cell>
          <cell r="AC182">
            <v>6666</v>
          </cell>
          <cell r="AD182">
            <v>5998</v>
          </cell>
          <cell r="AE182">
            <v>0</v>
          </cell>
          <cell r="AF182">
            <v>0</v>
          </cell>
        </row>
        <row r="183">
          <cell r="G183">
            <v>3107</v>
          </cell>
          <cell r="H183" t="str">
            <v>YTD Empl_Benefits</v>
          </cell>
          <cell r="I183">
            <v>1024.18</v>
          </cell>
          <cell r="J183">
            <v>2048.36</v>
          </cell>
          <cell r="K183">
            <v>3055.04</v>
          </cell>
          <cell r="L183">
            <v>5774.28</v>
          </cell>
          <cell r="M183">
            <v>7213.22</v>
          </cell>
          <cell r="N183">
            <v>8655.2000000000007</v>
          </cell>
          <cell r="O183">
            <v>10096.030000000001</v>
          </cell>
          <cell r="P183">
            <v>11537.25</v>
          </cell>
          <cell r="Q183">
            <v>12981.68</v>
          </cell>
          <cell r="R183">
            <v>14423.48</v>
          </cell>
          <cell r="S183">
            <v>15863.95</v>
          </cell>
          <cell r="T183">
            <v>17367.75</v>
          </cell>
          <cell r="U183">
            <v>1497.68</v>
          </cell>
          <cell r="V183">
            <v>2996.09</v>
          </cell>
          <cell r="W183">
            <v>4472.7100000000009</v>
          </cell>
          <cell r="X183">
            <v>5923.7500000000009</v>
          </cell>
          <cell r="Y183">
            <v>7375.01</v>
          </cell>
          <cell r="Z183">
            <v>8826.9700000000012</v>
          </cell>
          <cell r="AA183">
            <v>10280.140000000001</v>
          </cell>
          <cell r="AB183">
            <v>11732.140000000001</v>
          </cell>
          <cell r="AC183">
            <v>13185.580000000002</v>
          </cell>
          <cell r="AD183">
            <v>14636.980000000001</v>
          </cell>
          <cell r="AE183">
            <v>0</v>
          </cell>
          <cell r="AF183">
            <v>0</v>
          </cell>
        </row>
        <row r="184">
          <cell r="G184">
            <v>3108</v>
          </cell>
          <cell r="H184" t="str">
            <v>YTD Total Personnel</v>
          </cell>
          <cell r="I184">
            <v>3792.2200000000003</v>
          </cell>
          <cell r="J184">
            <v>7584.4400000000005</v>
          </cell>
          <cell r="K184">
            <v>11648.93</v>
          </cell>
          <cell r="L184">
            <v>22602.879999999997</v>
          </cell>
          <cell r="M184">
            <v>28374.02</v>
          </cell>
          <cell r="N184">
            <v>34654.9</v>
          </cell>
          <cell r="O184">
            <v>40742.93</v>
          </cell>
          <cell r="P184">
            <v>46896.15</v>
          </cell>
          <cell r="Q184">
            <v>53587.18</v>
          </cell>
          <cell r="R184">
            <v>59838.179999999993</v>
          </cell>
          <cell r="S184">
            <v>65865.55</v>
          </cell>
          <cell r="T184">
            <v>71817.649999999994</v>
          </cell>
          <cell r="U184">
            <v>5908.18</v>
          </cell>
          <cell r="V184">
            <v>11821.59</v>
          </cell>
          <cell r="W184">
            <v>18174.11</v>
          </cell>
          <cell r="X184">
            <v>24679.15</v>
          </cell>
          <cell r="Y184">
            <v>31221.410000000003</v>
          </cell>
          <cell r="Z184">
            <v>37881.370000000003</v>
          </cell>
          <cell r="AA184">
            <v>44744.54</v>
          </cell>
          <cell r="AB184">
            <v>51410.54</v>
          </cell>
          <cell r="AC184">
            <v>58318.98</v>
          </cell>
          <cell r="AD184">
            <v>64884.380000000005</v>
          </cell>
          <cell r="AE184">
            <v>0</v>
          </cell>
          <cell r="AF184">
            <v>0</v>
          </cell>
        </row>
        <row r="185">
          <cell r="G185">
            <v>3109</v>
          </cell>
          <cell r="H185" t="str">
            <v>YTD Target Empl_Benefits</v>
          </cell>
          <cell r="I185">
            <v>1608</v>
          </cell>
          <cell r="J185">
            <v>3216</v>
          </cell>
          <cell r="K185">
            <v>4824</v>
          </cell>
          <cell r="L185">
            <v>6432</v>
          </cell>
          <cell r="M185">
            <v>8040</v>
          </cell>
          <cell r="N185">
            <v>9648</v>
          </cell>
          <cell r="O185">
            <v>11256</v>
          </cell>
          <cell r="P185">
            <v>12864</v>
          </cell>
          <cell r="Q185">
            <v>14472</v>
          </cell>
          <cell r="R185">
            <v>16080</v>
          </cell>
          <cell r="S185">
            <v>17688</v>
          </cell>
          <cell r="T185">
            <v>17866</v>
          </cell>
          <cell r="U185">
            <v>1405</v>
          </cell>
          <cell r="V185">
            <v>2810</v>
          </cell>
          <cell r="W185">
            <v>4391</v>
          </cell>
          <cell r="X185">
            <v>5798</v>
          </cell>
          <cell r="Y185">
            <v>7205</v>
          </cell>
          <cell r="Z185">
            <v>8787</v>
          </cell>
          <cell r="AA185">
            <v>10194</v>
          </cell>
          <cell r="AB185">
            <v>11601</v>
          </cell>
          <cell r="AC185">
            <v>13183</v>
          </cell>
          <cell r="AD185">
            <v>14590</v>
          </cell>
          <cell r="AE185">
            <v>0</v>
          </cell>
          <cell r="AF185">
            <v>0</v>
          </cell>
        </row>
        <row r="186">
          <cell r="G186">
            <v>3110</v>
          </cell>
          <cell r="H186" t="str">
            <v>YTD Target Total Personnel</v>
          </cell>
          <cell r="I186">
            <v>6987</v>
          </cell>
          <cell r="J186">
            <v>13974</v>
          </cell>
          <cell r="K186">
            <v>20961</v>
          </cell>
          <cell r="L186">
            <v>27948</v>
          </cell>
          <cell r="M186">
            <v>34935</v>
          </cell>
          <cell r="N186">
            <v>41922</v>
          </cell>
          <cell r="O186">
            <v>48909</v>
          </cell>
          <cell r="P186">
            <v>55896</v>
          </cell>
          <cell r="Q186">
            <v>62883</v>
          </cell>
          <cell r="R186">
            <v>69870</v>
          </cell>
          <cell r="S186">
            <v>76857</v>
          </cell>
          <cell r="T186">
            <v>77625</v>
          </cell>
          <cell r="U186">
            <v>5605</v>
          </cell>
          <cell r="V186">
            <v>11210</v>
          </cell>
          <cell r="W186">
            <v>17745</v>
          </cell>
          <cell r="X186">
            <v>23743</v>
          </cell>
          <cell r="Y186">
            <v>29741</v>
          </cell>
          <cell r="Z186">
            <v>36407</v>
          </cell>
          <cell r="AA186">
            <v>42405</v>
          </cell>
          <cell r="AB186">
            <v>48403</v>
          </cell>
          <cell r="AC186">
            <v>55069</v>
          </cell>
          <cell r="AD186">
            <v>61067</v>
          </cell>
          <cell r="AE186">
            <v>0</v>
          </cell>
          <cell r="AF186">
            <v>0</v>
          </cell>
        </row>
        <row r="187">
          <cell r="G187">
            <v>1451</v>
          </cell>
          <cell r="H187" t="str">
            <v>Actual</v>
          </cell>
          <cell r="I187">
            <v>1343.1599999999999</v>
          </cell>
          <cell r="J187">
            <v>3000.6200000000008</v>
          </cell>
          <cell r="K187">
            <v>10464.11</v>
          </cell>
          <cell r="L187">
            <v>7400.43</v>
          </cell>
          <cell r="M187">
            <v>3597.2900000000009</v>
          </cell>
          <cell r="N187">
            <v>24604.280000000006</v>
          </cell>
          <cell r="O187">
            <v>-10994.980000000003</v>
          </cell>
          <cell r="P187">
            <v>5570.59</v>
          </cell>
          <cell r="Q187">
            <v>25783.079999999998</v>
          </cell>
          <cell r="R187">
            <v>3402.760000000002</v>
          </cell>
          <cell r="S187">
            <v>6782.5799999999981</v>
          </cell>
          <cell r="T187">
            <v>-5374.3000000000011</v>
          </cell>
          <cell r="U187">
            <v>-529.10999999999876</v>
          </cell>
          <cell r="V187">
            <v>4900.08</v>
          </cell>
          <cell r="W187">
            <v>-3496.0400000000009</v>
          </cell>
          <cell r="X187">
            <v>19297.57</v>
          </cell>
          <cell r="Y187">
            <v>7034.7900000000009</v>
          </cell>
          <cell r="Z187">
            <v>3874.1200000000008</v>
          </cell>
          <cell r="AA187">
            <v>-2059.9499999999998</v>
          </cell>
          <cell r="AB187">
            <v>3137.5</v>
          </cell>
          <cell r="AC187">
            <v>12952.61</v>
          </cell>
          <cell r="AD187">
            <v>11393.93</v>
          </cell>
          <cell r="AE187">
            <v>0</v>
          </cell>
          <cell r="AF187">
            <v>0</v>
          </cell>
        </row>
        <row r="188">
          <cell r="G188">
            <v>1452</v>
          </cell>
          <cell r="H188" t="str">
            <v>Target (Budget)</v>
          </cell>
          <cell r="I188">
            <v>4900</v>
          </cell>
          <cell r="J188">
            <v>-1894</v>
          </cell>
          <cell r="K188">
            <v>1505</v>
          </cell>
          <cell r="L188">
            <v>9994</v>
          </cell>
          <cell r="M188">
            <v>9957</v>
          </cell>
          <cell r="N188">
            <v>14642</v>
          </cell>
          <cell r="O188">
            <v>-195</v>
          </cell>
          <cell r="P188">
            <v>1505</v>
          </cell>
          <cell r="Q188">
            <v>26978</v>
          </cell>
          <cell r="R188">
            <v>9994</v>
          </cell>
          <cell r="S188">
            <v>9994</v>
          </cell>
          <cell r="T188">
            <v>4336</v>
          </cell>
          <cell r="U188">
            <v>4061</v>
          </cell>
          <cell r="V188">
            <v>-1828</v>
          </cell>
          <cell r="W188">
            <v>-189</v>
          </cell>
          <cell r="X188">
            <v>7761</v>
          </cell>
          <cell r="Y188">
            <v>7757</v>
          </cell>
          <cell r="Z188">
            <v>11494</v>
          </cell>
          <cell r="AA188">
            <v>-1103</v>
          </cell>
          <cell r="AB188">
            <v>374</v>
          </cell>
          <cell r="AC188">
            <v>20352</v>
          </cell>
          <cell r="AD188">
            <v>7757</v>
          </cell>
          <cell r="AE188">
            <v>0</v>
          </cell>
          <cell r="AF188">
            <v>0</v>
          </cell>
        </row>
        <row r="189">
          <cell r="G189">
            <v>1455</v>
          </cell>
          <cell r="H189" t="str">
            <v>YTD Actual</v>
          </cell>
          <cell r="I189">
            <v>1343.1599999999999</v>
          </cell>
          <cell r="J189">
            <v>4343.7799999999988</v>
          </cell>
          <cell r="K189">
            <v>14807.89</v>
          </cell>
          <cell r="L189">
            <v>22208.32</v>
          </cell>
          <cell r="M189">
            <v>25805.61</v>
          </cell>
          <cell r="N189">
            <v>50409.89</v>
          </cell>
          <cell r="O189">
            <v>39414.910000000018</v>
          </cell>
          <cell r="P189">
            <v>44985.5</v>
          </cell>
          <cell r="Q189">
            <v>70768.579999999987</v>
          </cell>
          <cell r="R189">
            <v>74171.339999999982</v>
          </cell>
          <cell r="S189">
            <v>80953.919999999984</v>
          </cell>
          <cell r="T189">
            <v>75579.62</v>
          </cell>
          <cell r="U189">
            <v>-529.10999999999876</v>
          </cell>
          <cell r="V189">
            <v>4370.9700000000012</v>
          </cell>
          <cell r="W189">
            <v>874.93000000000029</v>
          </cell>
          <cell r="X189">
            <v>20172.5</v>
          </cell>
          <cell r="Y189">
            <v>27207.289999999994</v>
          </cell>
          <cell r="Z189">
            <v>31081.409999999989</v>
          </cell>
          <cell r="AA189">
            <v>29021.459999999992</v>
          </cell>
          <cell r="AB189">
            <v>32158.959999999992</v>
          </cell>
          <cell r="AC189">
            <v>45111.570000000007</v>
          </cell>
          <cell r="AD189">
            <v>56505.5</v>
          </cell>
          <cell r="AE189">
            <v>0</v>
          </cell>
          <cell r="AF189">
            <v>0</v>
          </cell>
        </row>
        <row r="190">
          <cell r="G190">
            <v>1456</v>
          </cell>
          <cell r="H190" t="str">
            <v>YTD Target (Budget)</v>
          </cell>
          <cell r="I190">
            <v>4900</v>
          </cell>
          <cell r="J190">
            <v>3006</v>
          </cell>
          <cell r="K190">
            <v>4511</v>
          </cell>
          <cell r="L190">
            <v>14505</v>
          </cell>
          <cell r="M190">
            <v>24462</v>
          </cell>
          <cell r="N190">
            <v>39104</v>
          </cell>
          <cell r="O190">
            <v>38909</v>
          </cell>
          <cell r="P190">
            <v>40414</v>
          </cell>
          <cell r="Q190">
            <v>67392</v>
          </cell>
          <cell r="R190">
            <v>77386</v>
          </cell>
          <cell r="S190">
            <v>87380</v>
          </cell>
          <cell r="T190">
            <v>91716</v>
          </cell>
          <cell r="U190">
            <v>4061</v>
          </cell>
          <cell r="V190">
            <v>2233</v>
          </cell>
          <cell r="W190">
            <v>2044</v>
          </cell>
          <cell r="X190">
            <v>9805</v>
          </cell>
          <cell r="Y190">
            <v>17562</v>
          </cell>
          <cell r="Z190">
            <v>29056</v>
          </cell>
          <cell r="AA190">
            <v>27953</v>
          </cell>
          <cell r="AB190">
            <v>28327</v>
          </cell>
          <cell r="AC190">
            <v>48679</v>
          </cell>
          <cell r="AD190">
            <v>56436</v>
          </cell>
          <cell r="AE190">
            <v>0</v>
          </cell>
          <cell r="AF190">
            <v>0</v>
          </cell>
        </row>
        <row r="191">
          <cell r="G191">
            <v>1464</v>
          </cell>
          <cell r="H191" t="str">
            <v>Actual</v>
          </cell>
          <cell r="I191">
            <v>888.69999999999982</v>
          </cell>
          <cell r="J191">
            <v>2409.9500000000007</v>
          </cell>
          <cell r="K191">
            <v>9525.85</v>
          </cell>
          <cell r="L191">
            <v>6297.66</v>
          </cell>
          <cell r="M191">
            <v>2882.5000000000009</v>
          </cell>
          <cell r="N191">
            <v>22578.270000000008</v>
          </cell>
          <cell r="O191">
            <v>-10775.740000000003</v>
          </cell>
          <cell r="P191">
            <v>4883.25</v>
          </cell>
          <cell r="Q191">
            <v>23784.739999999998</v>
          </cell>
          <cell r="R191">
            <v>2577.3700000000017</v>
          </cell>
          <cell r="S191">
            <v>5963.6399999999976</v>
          </cell>
          <cell r="T191">
            <v>-5601.8400000000011</v>
          </cell>
          <cell r="U191">
            <v>-973.63999999999874</v>
          </cell>
          <cell r="V191">
            <v>1254.1000000000004</v>
          </cell>
          <cell r="W191">
            <v>-7155.4000000000015</v>
          </cell>
          <cell r="X191">
            <v>15311.01</v>
          </cell>
          <cell r="Y191">
            <v>3891.8200000000006</v>
          </cell>
          <cell r="Z191">
            <v>734.42000000000053</v>
          </cell>
          <cell r="AA191">
            <v>-4689.0499999999993</v>
          </cell>
          <cell r="AB191">
            <v>432.82999999999993</v>
          </cell>
          <cell r="AC191">
            <v>9347.1500000000015</v>
          </cell>
          <cell r="AD191">
            <v>8597.94</v>
          </cell>
          <cell r="AE191">
            <v>0</v>
          </cell>
          <cell r="AF191">
            <v>0</v>
          </cell>
        </row>
        <row r="192">
          <cell r="G192">
            <v>1465</v>
          </cell>
          <cell r="H192" t="str">
            <v>Target (Budget)</v>
          </cell>
          <cell r="I192">
            <v>-355</v>
          </cell>
          <cell r="J192">
            <v>-7149</v>
          </cell>
          <cell r="K192">
            <v>-4407</v>
          </cell>
          <cell r="L192">
            <v>4739</v>
          </cell>
          <cell r="M192">
            <v>4702</v>
          </cell>
          <cell r="N192">
            <v>8730</v>
          </cell>
          <cell r="O192">
            <v>-5450</v>
          </cell>
          <cell r="P192">
            <v>-3750</v>
          </cell>
          <cell r="Q192">
            <v>21066</v>
          </cell>
          <cell r="R192">
            <v>4739</v>
          </cell>
          <cell r="S192">
            <v>4739</v>
          </cell>
          <cell r="T192">
            <v>-1575</v>
          </cell>
          <cell r="U192">
            <v>3125</v>
          </cell>
          <cell r="V192">
            <v>-2446</v>
          </cell>
          <cell r="W192">
            <v>-5164</v>
          </cell>
          <cell r="X192">
            <v>2896</v>
          </cell>
          <cell r="Y192">
            <v>2892</v>
          </cell>
          <cell r="Z192">
            <v>5883</v>
          </cell>
          <cell r="AA192">
            <v>-5490</v>
          </cell>
          <cell r="AB192">
            <v>-4093</v>
          </cell>
          <cell r="AC192">
            <v>14179</v>
          </cell>
          <cell r="AD192">
            <v>2892</v>
          </cell>
          <cell r="AE192">
            <v>0</v>
          </cell>
          <cell r="AF192">
            <v>0</v>
          </cell>
        </row>
        <row r="193">
          <cell r="G193">
            <v>1468</v>
          </cell>
          <cell r="H193" t="str">
            <v>YTD Actual</v>
          </cell>
          <cell r="I193">
            <v>888.69999999999982</v>
          </cell>
          <cell r="J193">
            <v>3298.6499999999987</v>
          </cell>
          <cell r="K193">
            <v>12824.5</v>
          </cell>
          <cell r="L193">
            <v>19122.16</v>
          </cell>
          <cell r="M193">
            <v>22004.66</v>
          </cell>
          <cell r="N193">
            <v>44582.93</v>
          </cell>
          <cell r="O193">
            <v>33807.190000000017</v>
          </cell>
          <cell r="P193">
            <v>38690.44</v>
          </cell>
          <cell r="Q193">
            <v>62475.179999999986</v>
          </cell>
          <cell r="R193">
            <v>65052.549999999981</v>
          </cell>
          <cell r="S193">
            <v>71016.189999999988</v>
          </cell>
          <cell r="T193">
            <v>65414.349999999991</v>
          </cell>
          <cell r="U193">
            <v>-973.63999999999874</v>
          </cell>
          <cell r="V193">
            <v>280.46000000000095</v>
          </cell>
          <cell r="W193">
            <v>-6874.94</v>
          </cell>
          <cell r="X193">
            <v>8436.0699999999979</v>
          </cell>
          <cell r="Y193">
            <v>12327.889999999994</v>
          </cell>
          <cell r="Z193">
            <v>13062.309999999987</v>
          </cell>
          <cell r="AA193">
            <v>8373.2599999999911</v>
          </cell>
          <cell r="AB193">
            <v>8806.0899999999929</v>
          </cell>
          <cell r="AC193">
            <v>18153.240000000009</v>
          </cell>
          <cell r="AD193">
            <v>26751.180000000004</v>
          </cell>
          <cell r="AE193">
            <v>0</v>
          </cell>
          <cell r="AF193">
            <v>0</v>
          </cell>
        </row>
        <row r="194">
          <cell r="G194">
            <v>1469</v>
          </cell>
          <cell r="H194" t="str">
            <v>YTD Target (Budget)</v>
          </cell>
          <cell r="I194">
            <v>-355</v>
          </cell>
          <cell r="J194">
            <v>-7504</v>
          </cell>
          <cell r="K194">
            <v>-11911</v>
          </cell>
          <cell r="L194">
            <v>-7172</v>
          </cell>
          <cell r="M194">
            <v>-2470</v>
          </cell>
          <cell r="N194">
            <v>6260</v>
          </cell>
          <cell r="O194">
            <v>810</v>
          </cell>
          <cell r="P194">
            <v>-2940</v>
          </cell>
          <cell r="Q194">
            <v>18126</v>
          </cell>
          <cell r="R194">
            <v>22865</v>
          </cell>
          <cell r="S194">
            <v>27604</v>
          </cell>
          <cell r="T194">
            <v>26029</v>
          </cell>
          <cell r="U194">
            <v>3125</v>
          </cell>
          <cell r="V194">
            <v>679</v>
          </cell>
          <cell r="W194">
            <v>-11865</v>
          </cell>
          <cell r="X194">
            <v>-8969</v>
          </cell>
          <cell r="Y194">
            <v>-6077</v>
          </cell>
          <cell r="Z194">
            <v>-194</v>
          </cell>
          <cell r="AA194">
            <v>-5684</v>
          </cell>
          <cell r="AB194">
            <v>-9777</v>
          </cell>
          <cell r="AC194">
            <v>4402</v>
          </cell>
          <cell r="AD194">
            <v>7294</v>
          </cell>
          <cell r="AE194">
            <v>0</v>
          </cell>
          <cell r="AF194">
            <v>0</v>
          </cell>
        </row>
        <row r="195">
          <cell r="G195">
            <v>1634</v>
          </cell>
          <cell r="H195" t="str">
            <v>Actual</v>
          </cell>
          <cell r="I195">
            <v>129294.66</v>
          </cell>
          <cell r="J195">
            <v>131650.88</v>
          </cell>
          <cell r="K195">
            <v>130467.19</v>
          </cell>
          <cell r="L195">
            <v>148853.14000000001</v>
          </cell>
          <cell r="M195">
            <v>135849.16999999998</v>
          </cell>
          <cell r="N195">
            <v>71586.179999999993</v>
          </cell>
          <cell r="O195">
            <v>98193.53</v>
          </cell>
          <cell r="P195">
            <v>99920.25</v>
          </cell>
          <cell r="Q195">
            <v>199394.13</v>
          </cell>
          <cell r="R195">
            <v>134269.41</v>
          </cell>
          <cell r="S195">
            <v>94322.93</v>
          </cell>
          <cell r="T195">
            <v>125766.39</v>
          </cell>
          <cell r="U195">
            <v>79981.72</v>
          </cell>
          <cell r="V195">
            <v>115719.49</v>
          </cell>
          <cell r="W195">
            <v>102691.25</v>
          </cell>
          <cell r="X195">
            <v>139529.17000000001</v>
          </cell>
          <cell r="Y195">
            <v>113476.25</v>
          </cell>
          <cell r="Z195">
            <v>64951.87</v>
          </cell>
          <cell r="AA195">
            <v>99332.25</v>
          </cell>
          <cell r="AB195">
            <v>101448.75</v>
          </cell>
          <cell r="AC195">
            <v>105391.35</v>
          </cell>
          <cell r="AD195">
            <v>134284.48000000001</v>
          </cell>
          <cell r="AE195">
            <v>0</v>
          </cell>
          <cell r="AF195">
            <v>0</v>
          </cell>
        </row>
        <row r="196">
          <cell r="G196">
            <v>1635</v>
          </cell>
          <cell r="H196" t="str">
            <v>Target (Budget)</v>
          </cell>
          <cell r="I196">
            <v>88096</v>
          </cell>
          <cell r="J196">
            <v>152608</v>
          </cell>
          <cell r="K196">
            <v>111981</v>
          </cell>
          <cell r="L196">
            <v>158098</v>
          </cell>
          <cell r="M196">
            <v>142258</v>
          </cell>
          <cell r="N196">
            <v>71100</v>
          </cell>
          <cell r="O196">
            <v>100487</v>
          </cell>
          <cell r="P196">
            <v>133317</v>
          </cell>
          <cell r="Q196">
            <v>146852</v>
          </cell>
          <cell r="R196">
            <v>205619</v>
          </cell>
          <cell r="S196">
            <v>72256</v>
          </cell>
          <cell r="T196">
            <v>85790</v>
          </cell>
          <cell r="U196">
            <v>133685</v>
          </cell>
          <cell r="V196">
            <v>132742</v>
          </cell>
          <cell r="W196">
            <v>135122</v>
          </cell>
          <cell r="X196">
            <v>152188</v>
          </cell>
          <cell r="Y196">
            <v>134610</v>
          </cell>
          <cell r="Z196">
            <v>76094</v>
          </cell>
          <cell r="AA196">
            <v>104889</v>
          </cell>
          <cell r="AB196">
            <v>96943</v>
          </cell>
          <cell r="AC196">
            <v>171193</v>
          </cell>
          <cell r="AD196">
            <v>138112</v>
          </cell>
          <cell r="AE196">
            <v>0</v>
          </cell>
          <cell r="AF196">
            <v>0</v>
          </cell>
        </row>
        <row r="197">
          <cell r="G197">
            <v>1638</v>
          </cell>
          <cell r="H197" t="str">
            <v>YTD Actual</v>
          </cell>
          <cell r="I197">
            <v>129294.66</v>
          </cell>
          <cell r="J197">
            <v>260945.54</v>
          </cell>
          <cell r="K197">
            <v>391412.73000000004</v>
          </cell>
          <cell r="L197">
            <v>540265.87</v>
          </cell>
          <cell r="M197">
            <v>676115.03999999992</v>
          </cell>
          <cell r="N197">
            <v>747701.22000000009</v>
          </cell>
          <cell r="O197">
            <v>845894.75</v>
          </cell>
          <cell r="P197">
            <v>945815</v>
          </cell>
          <cell r="Q197">
            <v>1145209.1300000001</v>
          </cell>
          <cell r="R197">
            <v>1279478.54</v>
          </cell>
          <cell r="S197">
            <v>1373801.47</v>
          </cell>
          <cell r="T197">
            <v>1499567.8599999999</v>
          </cell>
          <cell r="U197">
            <v>79981.72</v>
          </cell>
          <cell r="V197">
            <v>195701.21</v>
          </cell>
          <cell r="W197">
            <v>298392.46000000002</v>
          </cell>
          <cell r="X197">
            <v>437921.63</v>
          </cell>
          <cell r="Y197">
            <v>551397.88</v>
          </cell>
          <cell r="Z197">
            <v>616349.75</v>
          </cell>
          <cell r="AA197">
            <v>715682</v>
          </cell>
          <cell r="AB197">
            <v>817130.75</v>
          </cell>
          <cell r="AC197">
            <v>922522.1</v>
          </cell>
          <cell r="AD197">
            <v>1056806.58</v>
          </cell>
          <cell r="AE197">
            <v>0</v>
          </cell>
          <cell r="AF197">
            <v>0</v>
          </cell>
        </row>
        <row r="198">
          <cell r="G198">
            <v>1639</v>
          </cell>
          <cell r="H198" t="str">
            <v>YTD Target (Budget)</v>
          </cell>
          <cell r="I198">
            <v>88096</v>
          </cell>
          <cell r="J198">
            <v>240704</v>
          </cell>
          <cell r="K198">
            <v>352685</v>
          </cell>
          <cell r="L198">
            <v>510783</v>
          </cell>
          <cell r="M198">
            <v>653041</v>
          </cell>
          <cell r="N198">
            <v>724141</v>
          </cell>
          <cell r="O198">
            <v>824628</v>
          </cell>
          <cell r="P198">
            <v>957945</v>
          </cell>
          <cell r="Q198">
            <v>1104797</v>
          </cell>
          <cell r="R198">
            <v>1310416</v>
          </cell>
          <cell r="S198">
            <v>1382672</v>
          </cell>
          <cell r="T198">
            <v>1468462</v>
          </cell>
          <cell r="U198">
            <v>133685</v>
          </cell>
          <cell r="V198">
            <v>266427</v>
          </cell>
          <cell r="W198">
            <v>401549</v>
          </cell>
          <cell r="X198">
            <v>553737</v>
          </cell>
          <cell r="Y198">
            <v>688347</v>
          </cell>
          <cell r="Z198">
            <v>764441</v>
          </cell>
          <cell r="AA198">
            <v>869330</v>
          </cell>
          <cell r="AB198">
            <v>966273</v>
          </cell>
          <cell r="AC198">
            <v>1137466</v>
          </cell>
          <cell r="AD198">
            <v>1275578</v>
          </cell>
          <cell r="AE198">
            <v>0</v>
          </cell>
          <cell r="AF198">
            <v>0</v>
          </cell>
        </row>
        <row r="199">
          <cell r="G199">
            <v>1647</v>
          </cell>
          <cell r="H199" t="str">
            <v>Actual</v>
          </cell>
          <cell r="I199">
            <v>74849.53</v>
          </cell>
          <cell r="J199">
            <v>84825.94</v>
          </cell>
          <cell r="K199">
            <v>102781.93000000001</v>
          </cell>
          <cell r="L199">
            <v>100726.01000000001</v>
          </cell>
          <cell r="M199">
            <v>93245.4</v>
          </cell>
          <cell r="N199">
            <v>55756.259999999995</v>
          </cell>
          <cell r="O199">
            <v>50946.8</v>
          </cell>
          <cell r="P199">
            <v>54340.409999999996</v>
          </cell>
          <cell r="Q199">
            <v>97664.59</v>
          </cell>
          <cell r="R199">
            <v>104044.68000000001</v>
          </cell>
          <cell r="S199">
            <v>56995</v>
          </cell>
          <cell r="T199">
            <v>94401.739999999991</v>
          </cell>
          <cell r="U199">
            <v>61567.350000000006</v>
          </cell>
          <cell r="V199">
            <v>73840.640000000014</v>
          </cell>
          <cell r="W199">
            <v>87406.54</v>
          </cell>
          <cell r="X199">
            <v>77489.63</v>
          </cell>
          <cell r="Y199">
            <v>81334.010000000009</v>
          </cell>
          <cell r="Z199">
            <v>54321.270000000004</v>
          </cell>
          <cell r="AA199">
            <v>39847.93</v>
          </cell>
          <cell r="AB199">
            <v>75393.64</v>
          </cell>
          <cell r="AC199">
            <v>95831.700000000012</v>
          </cell>
          <cell r="AD199">
            <v>73882.42</v>
          </cell>
          <cell r="AE199">
            <v>0</v>
          </cell>
          <cell r="AF199">
            <v>0</v>
          </cell>
        </row>
        <row r="200">
          <cell r="G200">
            <v>1648</v>
          </cell>
          <cell r="H200" t="str">
            <v>Target (Budget)</v>
          </cell>
          <cell r="I200">
            <v>94779</v>
          </cell>
          <cell r="J200">
            <v>80370</v>
          </cell>
          <cell r="K200">
            <v>105312</v>
          </cell>
          <cell r="L200">
            <v>76734</v>
          </cell>
          <cell r="M200">
            <v>79673</v>
          </cell>
          <cell r="N200">
            <v>79565</v>
          </cell>
          <cell r="O200">
            <v>76912</v>
          </cell>
          <cell r="P200">
            <v>79870</v>
          </cell>
          <cell r="Q200">
            <v>100217</v>
          </cell>
          <cell r="R200">
            <v>78839</v>
          </cell>
          <cell r="S200">
            <v>74694</v>
          </cell>
          <cell r="T200">
            <v>68883</v>
          </cell>
          <cell r="U200">
            <v>73079</v>
          </cell>
          <cell r="V200">
            <v>85662</v>
          </cell>
          <cell r="W200">
            <v>101473</v>
          </cell>
          <cell r="X200">
            <v>81424</v>
          </cell>
          <cell r="Y200">
            <v>89583</v>
          </cell>
          <cell r="Z200">
            <v>53646</v>
          </cell>
          <cell r="AA200">
            <v>48698</v>
          </cell>
          <cell r="AB200">
            <v>65359</v>
          </cell>
          <cell r="AC200">
            <v>98058</v>
          </cell>
          <cell r="AD200">
            <v>111595</v>
          </cell>
          <cell r="AE200">
            <v>0</v>
          </cell>
          <cell r="AF200">
            <v>0</v>
          </cell>
        </row>
        <row r="201">
          <cell r="G201">
            <v>1651</v>
          </cell>
          <cell r="H201" t="str">
            <v>YTD Actual</v>
          </cell>
          <cell r="I201">
            <v>74849.53</v>
          </cell>
          <cell r="J201">
            <v>159675.47</v>
          </cell>
          <cell r="K201">
            <v>262457.40000000002</v>
          </cell>
          <cell r="L201">
            <v>363183.41000000003</v>
          </cell>
          <cell r="M201">
            <v>456428.80999999994</v>
          </cell>
          <cell r="N201">
            <v>512185.07000000007</v>
          </cell>
          <cell r="O201">
            <v>563131.87</v>
          </cell>
          <cell r="P201">
            <v>617472.28</v>
          </cell>
          <cell r="Q201">
            <v>715136.87000000011</v>
          </cell>
          <cell r="R201">
            <v>819181.55</v>
          </cell>
          <cell r="S201">
            <v>876176.55</v>
          </cell>
          <cell r="T201">
            <v>970578.2899999998</v>
          </cell>
          <cell r="U201">
            <v>61567.350000000006</v>
          </cell>
          <cell r="V201">
            <v>135407.99000000002</v>
          </cell>
          <cell r="W201">
            <v>222814.53000000003</v>
          </cell>
          <cell r="X201">
            <v>300304.16000000003</v>
          </cell>
          <cell r="Y201">
            <v>381638.17000000004</v>
          </cell>
          <cell r="Z201">
            <v>435959.44</v>
          </cell>
          <cell r="AA201">
            <v>475807.37</v>
          </cell>
          <cell r="AB201">
            <v>551201.01</v>
          </cell>
          <cell r="AC201">
            <v>647032.71</v>
          </cell>
          <cell r="AD201">
            <v>720915.12999999989</v>
          </cell>
          <cell r="AE201">
            <v>0</v>
          </cell>
          <cell r="AF201">
            <v>0</v>
          </cell>
        </row>
        <row r="202">
          <cell r="G202">
            <v>1652</v>
          </cell>
          <cell r="H202" t="str">
            <v>YTD Target (Budget)</v>
          </cell>
          <cell r="I202">
            <v>94779</v>
          </cell>
          <cell r="J202">
            <v>170614</v>
          </cell>
          <cell r="K202">
            <v>275926</v>
          </cell>
          <cell r="L202">
            <v>355928</v>
          </cell>
          <cell r="M202">
            <v>435601</v>
          </cell>
          <cell r="N202">
            <v>515166</v>
          </cell>
          <cell r="O202">
            <v>592078</v>
          </cell>
          <cell r="P202">
            <v>671948</v>
          </cell>
          <cell r="Q202">
            <v>772165</v>
          </cell>
          <cell r="R202">
            <v>851004</v>
          </cell>
          <cell r="S202">
            <v>925698</v>
          </cell>
          <cell r="T202">
            <v>994581</v>
          </cell>
          <cell r="U202">
            <v>73079</v>
          </cell>
          <cell r="V202">
            <v>158741</v>
          </cell>
          <cell r="W202">
            <v>260214</v>
          </cell>
          <cell r="X202">
            <v>341638</v>
          </cell>
          <cell r="Y202">
            <v>431221</v>
          </cell>
          <cell r="Z202">
            <v>484867</v>
          </cell>
          <cell r="AA202">
            <v>533565</v>
          </cell>
          <cell r="AB202">
            <v>598924</v>
          </cell>
          <cell r="AC202">
            <v>696982</v>
          </cell>
          <cell r="AD202">
            <v>808577</v>
          </cell>
          <cell r="AE202">
            <v>0</v>
          </cell>
          <cell r="AF202">
            <v>0</v>
          </cell>
        </row>
        <row r="203">
          <cell r="G203">
            <v>3111</v>
          </cell>
          <cell r="H203" t="str">
            <v>Empl_Benefits</v>
          </cell>
          <cell r="I203">
            <v>5360.7899999999991</v>
          </cell>
          <cell r="J203">
            <v>7641</v>
          </cell>
          <cell r="K203">
            <v>8643.8000000000011</v>
          </cell>
          <cell r="L203">
            <v>11022.14</v>
          </cell>
          <cell r="M203">
            <v>7390.6100000000006</v>
          </cell>
          <cell r="N203">
            <v>6600.04</v>
          </cell>
          <cell r="O203">
            <v>4181.3900000000003</v>
          </cell>
          <cell r="P203">
            <v>5970.8399999999983</v>
          </cell>
          <cell r="Q203">
            <v>9940.8100000000013</v>
          </cell>
          <cell r="R203">
            <v>8720.34</v>
          </cell>
          <cell r="S203">
            <v>6289.0199999999995</v>
          </cell>
          <cell r="T203">
            <v>8809.18</v>
          </cell>
          <cell r="U203">
            <v>4517.2</v>
          </cell>
          <cell r="V203">
            <v>7396.62</v>
          </cell>
          <cell r="W203">
            <v>10738.029999999999</v>
          </cell>
          <cell r="X203">
            <v>6921.3799999999992</v>
          </cell>
          <cell r="Y203">
            <v>7748.0599999999986</v>
          </cell>
          <cell r="Z203">
            <v>6494.96</v>
          </cell>
          <cell r="AA203">
            <v>5352.43</v>
          </cell>
          <cell r="AB203">
            <v>7518.12</v>
          </cell>
          <cell r="AC203">
            <v>11340.2</v>
          </cell>
          <cell r="AD203">
            <v>8481.69</v>
          </cell>
          <cell r="AE203">
            <v>0</v>
          </cell>
          <cell r="AF203">
            <v>0</v>
          </cell>
        </row>
        <row r="204">
          <cell r="G204">
            <v>3112</v>
          </cell>
          <cell r="H204" t="str">
            <v>Total Personnel</v>
          </cell>
          <cell r="I204">
            <v>33035.1</v>
          </cell>
          <cell r="J204">
            <v>39689.949999999997</v>
          </cell>
          <cell r="K204">
            <v>49444.180000000008</v>
          </cell>
          <cell r="L204">
            <v>55866.37</v>
          </cell>
          <cell r="M204">
            <v>42999.03</v>
          </cell>
          <cell r="N204">
            <v>35989.11</v>
          </cell>
          <cell r="O204">
            <v>20336.48</v>
          </cell>
          <cell r="P204">
            <v>32140.17</v>
          </cell>
          <cell r="Q204">
            <v>52961.56</v>
          </cell>
          <cell r="R204">
            <v>48144.320000000007</v>
          </cell>
          <cell r="S204">
            <v>30815.83</v>
          </cell>
          <cell r="T204">
            <v>36448.14</v>
          </cell>
          <cell r="U204">
            <v>27266.960000000003</v>
          </cell>
          <cell r="V204">
            <v>37231.530000000006</v>
          </cell>
          <cell r="W204">
            <v>56486.959999999992</v>
          </cell>
          <cell r="X204">
            <v>35871.56</v>
          </cell>
          <cell r="Y204">
            <v>40659.189999999995</v>
          </cell>
          <cell r="Z204">
            <v>31147.829999999998</v>
          </cell>
          <cell r="AA204">
            <v>23249.71</v>
          </cell>
          <cell r="AB204">
            <v>38508.26</v>
          </cell>
          <cell r="AC204">
            <v>57360.040000000008</v>
          </cell>
          <cell r="AD204">
            <v>44076.62</v>
          </cell>
          <cell r="AE204">
            <v>0</v>
          </cell>
          <cell r="AF204">
            <v>0</v>
          </cell>
        </row>
        <row r="205">
          <cell r="G205">
            <v>3113</v>
          </cell>
          <cell r="H205" t="str">
            <v>Target Empl_Benefits</v>
          </cell>
          <cell r="I205">
            <v>8630</v>
          </cell>
          <cell r="J205">
            <v>8174</v>
          </cell>
          <cell r="K205">
            <v>11899</v>
          </cell>
          <cell r="L205">
            <v>7589</v>
          </cell>
          <cell r="M205">
            <v>8006</v>
          </cell>
          <cell r="N205">
            <v>8236</v>
          </cell>
          <cell r="O205">
            <v>6982</v>
          </cell>
          <cell r="P205">
            <v>7725</v>
          </cell>
          <cell r="Q205">
            <v>10442</v>
          </cell>
          <cell r="R205">
            <v>7988</v>
          </cell>
          <cell r="S205">
            <v>8335</v>
          </cell>
          <cell r="T205">
            <v>7345</v>
          </cell>
          <cell r="U205">
            <v>5671</v>
          </cell>
          <cell r="V205">
            <v>8375</v>
          </cell>
          <cell r="W205">
            <v>8733</v>
          </cell>
          <cell r="X205">
            <v>6445</v>
          </cell>
          <cell r="Y205">
            <v>7055</v>
          </cell>
          <cell r="Z205">
            <v>6014</v>
          </cell>
          <cell r="AA205">
            <v>4011</v>
          </cell>
          <cell r="AB205">
            <v>7521</v>
          </cell>
          <cell r="AC205">
            <v>10085</v>
          </cell>
          <cell r="AD205">
            <v>10562</v>
          </cell>
          <cell r="AE205">
            <v>0</v>
          </cell>
          <cell r="AF205">
            <v>0</v>
          </cell>
        </row>
        <row r="206">
          <cell r="G206">
            <v>3114</v>
          </cell>
          <cell r="H206" t="str">
            <v>Target Total Personnel</v>
          </cell>
          <cell r="I206">
            <v>44566</v>
          </cell>
          <cell r="J206">
            <v>42348</v>
          </cell>
          <cell r="K206">
            <v>65130</v>
          </cell>
          <cell r="L206">
            <v>37837</v>
          </cell>
          <cell r="M206">
            <v>40946</v>
          </cell>
          <cell r="N206">
            <v>41561</v>
          </cell>
          <cell r="O206">
            <v>32471</v>
          </cell>
          <cell r="P206">
            <v>37667</v>
          </cell>
          <cell r="Q206">
            <v>54733</v>
          </cell>
          <cell r="R206">
            <v>40162</v>
          </cell>
          <cell r="S206">
            <v>42148</v>
          </cell>
          <cell r="T206">
            <v>34308</v>
          </cell>
          <cell r="U206">
            <v>30404</v>
          </cell>
          <cell r="V206">
            <v>38728</v>
          </cell>
          <cell r="W206">
            <v>43456</v>
          </cell>
          <cell r="X206">
            <v>32905</v>
          </cell>
          <cell r="Y206">
            <v>36393</v>
          </cell>
          <cell r="Z206">
            <v>30020</v>
          </cell>
          <cell r="AA206">
            <v>17521</v>
          </cell>
          <cell r="AB206">
            <v>40719</v>
          </cell>
          <cell r="AC206">
            <v>50934</v>
          </cell>
          <cell r="AD206">
            <v>56117</v>
          </cell>
          <cell r="AE206">
            <v>0</v>
          </cell>
          <cell r="AF206">
            <v>0</v>
          </cell>
        </row>
        <row r="207">
          <cell r="G207">
            <v>3115</v>
          </cell>
          <cell r="H207" t="str">
            <v>YTD Empl_Benefits</v>
          </cell>
          <cell r="I207">
            <v>5360.7899999999991</v>
          </cell>
          <cell r="J207">
            <v>13001.789999999997</v>
          </cell>
          <cell r="K207">
            <v>21645.590000000004</v>
          </cell>
          <cell r="L207">
            <v>32667.729999999996</v>
          </cell>
          <cell r="M207">
            <v>40058.339999999997</v>
          </cell>
          <cell r="N207">
            <v>46658.380000000005</v>
          </cell>
          <cell r="O207">
            <v>50839.770000000004</v>
          </cell>
          <cell r="P207">
            <v>56810.610000000008</v>
          </cell>
          <cell r="Q207">
            <v>66751.42</v>
          </cell>
          <cell r="R207">
            <v>75471.759999999995</v>
          </cell>
          <cell r="S207">
            <v>81760.779999999984</v>
          </cell>
          <cell r="T207">
            <v>90569.959999999977</v>
          </cell>
          <cell r="U207">
            <v>4517.2</v>
          </cell>
          <cell r="V207">
            <v>11913.82</v>
          </cell>
          <cell r="W207">
            <v>22651.85</v>
          </cell>
          <cell r="X207">
            <v>29573.230000000003</v>
          </cell>
          <cell r="Y207">
            <v>37321.29</v>
          </cell>
          <cell r="Z207">
            <v>43816.25</v>
          </cell>
          <cell r="AA207">
            <v>49168.680000000008</v>
          </cell>
          <cell r="AB207">
            <v>56686.799999999996</v>
          </cell>
          <cell r="AC207">
            <v>68027</v>
          </cell>
          <cell r="AD207">
            <v>76508.689999999988</v>
          </cell>
          <cell r="AE207">
            <v>0</v>
          </cell>
          <cell r="AF207">
            <v>0</v>
          </cell>
        </row>
        <row r="208">
          <cell r="G208">
            <v>3116</v>
          </cell>
          <cell r="H208" t="str">
            <v>YTD Total Personnel</v>
          </cell>
          <cell r="I208">
            <v>33035.1</v>
          </cell>
          <cell r="J208">
            <v>72725.049999999988</v>
          </cell>
          <cell r="K208">
            <v>122169.23000000001</v>
          </cell>
          <cell r="L208">
            <v>178035.59999999998</v>
          </cell>
          <cell r="M208">
            <v>221034.62999999998</v>
          </cell>
          <cell r="N208">
            <v>257023.74000000002</v>
          </cell>
          <cell r="O208">
            <v>277360.21999999997</v>
          </cell>
          <cell r="P208">
            <v>309500.39</v>
          </cell>
          <cell r="Q208">
            <v>362461.95</v>
          </cell>
          <cell r="R208">
            <v>410606.27</v>
          </cell>
          <cell r="S208">
            <v>441422.1</v>
          </cell>
          <cell r="T208">
            <v>477870.23999999993</v>
          </cell>
          <cell r="U208">
            <v>27266.960000000003</v>
          </cell>
          <cell r="V208">
            <v>64498.49</v>
          </cell>
          <cell r="W208">
            <v>120985.45000000001</v>
          </cell>
          <cell r="X208">
            <v>156857.01</v>
          </cell>
          <cell r="Y208">
            <v>197516.2</v>
          </cell>
          <cell r="Z208">
            <v>228664.03000000003</v>
          </cell>
          <cell r="AA208">
            <v>251913.74</v>
          </cell>
          <cell r="AB208">
            <v>290422</v>
          </cell>
          <cell r="AC208">
            <v>347782.04</v>
          </cell>
          <cell r="AD208">
            <v>391858.66</v>
          </cell>
          <cell r="AE208">
            <v>0</v>
          </cell>
          <cell r="AF208">
            <v>0</v>
          </cell>
        </row>
        <row r="209">
          <cell r="G209">
            <v>3117</v>
          </cell>
          <cell r="H209" t="str">
            <v>YTD Target Empl_Benefits</v>
          </cell>
          <cell r="I209">
            <v>8630</v>
          </cell>
          <cell r="J209">
            <v>16804</v>
          </cell>
          <cell r="K209">
            <v>28703</v>
          </cell>
          <cell r="L209">
            <v>37154</v>
          </cell>
          <cell r="M209">
            <v>45160</v>
          </cell>
          <cell r="N209">
            <v>53396</v>
          </cell>
          <cell r="O209">
            <v>60378</v>
          </cell>
          <cell r="P209">
            <v>68103</v>
          </cell>
          <cell r="Q209">
            <v>78545</v>
          </cell>
          <cell r="R209">
            <v>86533</v>
          </cell>
          <cell r="S209">
            <v>94868</v>
          </cell>
          <cell r="T209">
            <v>102213</v>
          </cell>
          <cell r="U209">
            <v>5671</v>
          </cell>
          <cell r="V209">
            <v>14046</v>
          </cell>
          <cell r="W209">
            <v>22779</v>
          </cell>
          <cell r="X209">
            <v>29224</v>
          </cell>
          <cell r="Y209">
            <v>36279</v>
          </cell>
          <cell r="Z209">
            <v>42293</v>
          </cell>
          <cell r="AA209">
            <v>46304</v>
          </cell>
          <cell r="AB209">
            <v>53825</v>
          </cell>
          <cell r="AC209">
            <v>63910</v>
          </cell>
          <cell r="AD209">
            <v>74472</v>
          </cell>
          <cell r="AE209">
            <v>0</v>
          </cell>
          <cell r="AF209">
            <v>0</v>
          </cell>
        </row>
        <row r="210">
          <cell r="G210">
            <v>3118</v>
          </cell>
          <cell r="H210" t="str">
            <v>YTD Target Total Personnel</v>
          </cell>
          <cell r="I210">
            <v>44566</v>
          </cell>
          <cell r="J210">
            <v>82379</v>
          </cell>
          <cell r="K210">
            <v>147509</v>
          </cell>
          <cell r="L210">
            <v>188614</v>
          </cell>
          <cell r="M210">
            <v>229560</v>
          </cell>
          <cell r="N210">
            <v>271121</v>
          </cell>
          <cell r="O210">
            <v>303592</v>
          </cell>
          <cell r="P210">
            <v>341259</v>
          </cell>
          <cell r="Q210">
            <v>395992</v>
          </cell>
          <cell r="R210">
            <v>436154</v>
          </cell>
          <cell r="S210">
            <v>478302</v>
          </cell>
          <cell r="T210">
            <v>512610</v>
          </cell>
          <cell r="U210">
            <v>30404</v>
          </cell>
          <cell r="V210">
            <v>69132</v>
          </cell>
          <cell r="W210">
            <v>112588</v>
          </cell>
          <cell r="X210">
            <v>145493</v>
          </cell>
          <cell r="Y210">
            <v>181886</v>
          </cell>
          <cell r="Z210">
            <v>211906</v>
          </cell>
          <cell r="AA210">
            <v>229427</v>
          </cell>
          <cell r="AB210">
            <v>270146</v>
          </cell>
          <cell r="AC210">
            <v>321080</v>
          </cell>
          <cell r="AD210">
            <v>377197</v>
          </cell>
          <cell r="AE210">
            <v>0</v>
          </cell>
          <cell r="AF210">
            <v>0</v>
          </cell>
        </row>
        <row r="211">
          <cell r="G211">
            <v>1660</v>
          </cell>
          <cell r="H211" t="str">
            <v>Actual</v>
          </cell>
          <cell r="I211">
            <v>54445.130000000005</v>
          </cell>
          <cell r="J211">
            <v>46824.94</v>
          </cell>
          <cell r="K211">
            <v>27685.259999999995</v>
          </cell>
          <cell r="L211">
            <v>48127.130000000005</v>
          </cell>
          <cell r="M211">
            <v>42603.76999999999</v>
          </cell>
          <cell r="N211">
            <v>15829.919999999998</v>
          </cell>
          <cell r="O211">
            <v>47246.729999999996</v>
          </cell>
          <cell r="P211">
            <v>45579.840000000004</v>
          </cell>
          <cell r="Q211">
            <v>101729.54000000001</v>
          </cell>
          <cell r="R211">
            <v>30224.729999999996</v>
          </cell>
          <cell r="S211">
            <v>37327.929999999993</v>
          </cell>
          <cell r="T211">
            <v>31364.650000000009</v>
          </cell>
          <cell r="U211">
            <v>18414.369999999995</v>
          </cell>
          <cell r="V211">
            <v>41878.849999999991</v>
          </cell>
          <cell r="W211">
            <v>15284.710000000006</v>
          </cell>
          <cell r="X211">
            <v>62039.540000000008</v>
          </cell>
          <cell r="Y211">
            <v>32142.239999999991</v>
          </cell>
          <cell r="Z211">
            <v>10630.599999999999</v>
          </cell>
          <cell r="AA211">
            <v>59484.32</v>
          </cell>
          <cell r="AB211">
            <v>26055.11</v>
          </cell>
          <cell r="AC211">
            <v>9559.6499999999942</v>
          </cell>
          <cell r="AD211">
            <v>60402.060000000012</v>
          </cell>
          <cell r="AE211">
            <v>0</v>
          </cell>
          <cell r="AF211">
            <v>0</v>
          </cell>
        </row>
        <row r="212">
          <cell r="G212">
            <v>1661</v>
          </cell>
          <cell r="H212" t="str">
            <v>Target (Budget)</v>
          </cell>
          <cell r="I212">
            <v>-6683</v>
          </cell>
          <cell r="J212">
            <v>72238</v>
          </cell>
          <cell r="K212">
            <v>6669</v>
          </cell>
          <cell r="L212">
            <v>81364</v>
          </cell>
          <cell r="M212">
            <v>62585</v>
          </cell>
          <cell r="N212">
            <v>-8465</v>
          </cell>
          <cell r="O212">
            <v>23575</v>
          </cell>
          <cell r="P212">
            <v>53447</v>
          </cell>
          <cell r="Q212">
            <v>46635</v>
          </cell>
          <cell r="R212">
            <v>126780</v>
          </cell>
          <cell r="S212">
            <v>-2438</v>
          </cell>
          <cell r="T212">
            <v>16907</v>
          </cell>
          <cell r="U212">
            <v>60606</v>
          </cell>
          <cell r="V212">
            <v>47080</v>
          </cell>
          <cell r="W212">
            <v>33649</v>
          </cell>
          <cell r="X212">
            <v>70764</v>
          </cell>
          <cell r="Y212">
            <v>45027</v>
          </cell>
          <cell r="Z212">
            <v>22448</v>
          </cell>
          <cell r="AA212">
            <v>56191</v>
          </cell>
          <cell r="AB212">
            <v>31584</v>
          </cell>
          <cell r="AC212">
            <v>73135</v>
          </cell>
          <cell r="AD212">
            <v>26517</v>
          </cell>
          <cell r="AE212">
            <v>0</v>
          </cell>
          <cell r="AF212">
            <v>0</v>
          </cell>
        </row>
        <row r="213">
          <cell r="G213">
            <v>1664</v>
          </cell>
          <cell r="H213" t="str">
            <v>YTD Actual</v>
          </cell>
          <cell r="I213">
            <v>54445.130000000005</v>
          </cell>
          <cell r="J213">
            <v>101270.07</v>
          </cell>
          <cell r="K213">
            <v>128955.33000000002</v>
          </cell>
          <cell r="L213">
            <v>177082.45999999996</v>
          </cell>
          <cell r="M213">
            <v>219686.22999999998</v>
          </cell>
          <cell r="N213">
            <v>235516.15000000002</v>
          </cell>
          <cell r="O213">
            <v>282762.88</v>
          </cell>
          <cell r="P213">
            <v>328342.71999999997</v>
          </cell>
          <cell r="Q213">
            <v>430072.26</v>
          </cell>
          <cell r="R213">
            <v>460296.99</v>
          </cell>
          <cell r="S213">
            <v>497624.91999999993</v>
          </cell>
          <cell r="T213">
            <v>528989.57000000007</v>
          </cell>
          <cell r="U213">
            <v>18414.369999999995</v>
          </cell>
          <cell r="V213">
            <v>60293.219999999972</v>
          </cell>
          <cell r="W213">
            <v>75577.929999999993</v>
          </cell>
          <cell r="X213">
            <v>137617.46999999997</v>
          </cell>
          <cell r="Y213">
            <v>169759.70999999996</v>
          </cell>
          <cell r="Z213">
            <v>180390.31</v>
          </cell>
          <cell r="AA213">
            <v>239874.63</v>
          </cell>
          <cell r="AB213">
            <v>265929.74</v>
          </cell>
          <cell r="AC213">
            <v>275489.39</v>
          </cell>
          <cell r="AD213">
            <v>335891.45000000019</v>
          </cell>
          <cell r="AE213">
            <v>0</v>
          </cell>
          <cell r="AF213">
            <v>0</v>
          </cell>
        </row>
        <row r="214">
          <cell r="G214">
            <v>1665</v>
          </cell>
          <cell r="H214" t="str">
            <v>YTD Target (Budget)</v>
          </cell>
          <cell r="I214">
            <v>-6683</v>
          </cell>
          <cell r="J214">
            <v>70090</v>
          </cell>
          <cell r="K214">
            <v>76759</v>
          </cell>
          <cell r="L214">
            <v>154855</v>
          </cell>
          <cell r="M214">
            <v>217440</v>
          </cell>
          <cell r="N214">
            <v>208975</v>
          </cell>
          <cell r="O214">
            <v>232550</v>
          </cell>
          <cell r="P214">
            <v>285997</v>
          </cell>
          <cell r="Q214">
            <v>332632</v>
          </cell>
          <cell r="R214">
            <v>459412</v>
          </cell>
          <cell r="S214">
            <v>456974</v>
          </cell>
          <cell r="T214">
            <v>473881</v>
          </cell>
          <cell r="U214">
            <v>60606</v>
          </cell>
          <cell r="V214">
            <v>107686</v>
          </cell>
          <cell r="W214">
            <v>141335</v>
          </cell>
          <cell r="X214">
            <v>212099</v>
          </cell>
          <cell r="Y214">
            <v>257126</v>
          </cell>
          <cell r="Z214">
            <v>279574</v>
          </cell>
          <cell r="AA214">
            <v>335765</v>
          </cell>
          <cell r="AB214">
            <v>367349</v>
          </cell>
          <cell r="AC214">
            <v>440484</v>
          </cell>
          <cell r="AD214">
            <v>467001</v>
          </cell>
          <cell r="AE214">
            <v>0</v>
          </cell>
          <cell r="AF214">
            <v>0</v>
          </cell>
        </row>
        <row r="215">
          <cell r="G215">
            <v>1673</v>
          </cell>
          <cell r="H215" t="str">
            <v>Actual</v>
          </cell>
          <cell r="I215">
            <v>29026.040000000008</v>
          </cell>
          <cell r="J215">
            <v>21192.240000000002</v>
          </cell>
          <cell r="K215">
            <v>-5103.580000000009</v>
          </cell>
          <cell r="L215">
            <v>21325.250000000004</v>
          </cell>
          <cell r="M215">
            <v>16959.739999999991</v>
          </cell>
          <cell r="N215">
            <v>-14767.239999999998</v>
          </cell>
          <cell r="O215">
            <v>23310.85</v>
          </cell>
          <cell r="P215">
            <v>23253.100000000006</v>
          </cell>
          <cell r="Q215">
            <v>65019.640000000007</v>
          </cell>
          <cell r="R215">
            <v>4945.2699999999895</v>
          </cell>
          <cell r="S215">
            <v>13113.299999999992</v>
          </cell>
          <cell r="T215">
            <v>-195.71999999999389</v>
          </cell>
          <cell r="U215">
            <v>-6277.7600000000057</v>
          </cell>
          <cell r="V215">
            <v>19032.329999999987</v>
          </cell>
          <cell r="W215">
            <v>-15256.939999999999</v>
          </cell>
          <cell r="X215">
            <v>35620.960000000006</v>
          </cell>
          <cell r="Y215">
            <v>8152.6199999999917</v>
          </cell>
          <cell r="Z215">
            <v>-18777.95</v>
          </cell>
          <cell r="AA215">
            <v>35291.4</v>
          </cell>
          <cell r="AB215">
            <v>4019.2999999999993</v>
          </cell>
          <cell r="AC215">
            <v>-20888.270000000004</v>
          </cell>
          <cell r="AD215">
            <v>35259.150000000009</v>
          </cell>
          <cell r="AE215">
            <v>0</v>
          </cell>
          <cell r="AF215">
            <v>0</v>
          </cell>
        </row>
        <row r="216">
          <cell r="G216">
            <v>1674</v>
          </cell>
          <cell r="H216" t="str">
            <v>Target (Budget)</v>
          </cell>
          <cell r="I216">
            <v>-29852</v>
          </cell>
          <cell r="J216">
            <v>46315</v>
          </cell>
          <cell r="K216">
            <v>-20257</v>
          </cell>
          <cell r="L216">
            <v>54752</v>
          </cell>
          <cell r="M216">
            <v>36662</v>
          </cell>
          <cell r="N216">
            <v>-33325</v>
          </cell>
          <cell r="O216">
            <v>-282</v>
          </cell>
          <cell r="P216">
            <v>28212</v>
          </cell>
          <cell r="Q216">
            <v>18332</v>
          </cell>
          <cell r="R216">
            <v>98102</v>
          </cell>
          <cell r="S216">
            <v>-24918</v>
          </cell>
          <cell r="T216">
            <v>-7955</v>
          </cell>
          <cell r="U216">
            <v>-6641</v>
          </cell>
          <cell r="V216">
            <v>21286</v>
          </cell>
          <cell r="W216">
            <v>4600</v>
          </cell>
          <cell r="X216">
            <v>43591</v>
          </cell>
          <cell r="Y216">
            <v>18436</v>
          </cell>
          <cell r="Z216">
            <v>-3893</v>
          </cell>
          <cell r="AA216">
            <v>31836</v>
          </cell>
          <cell r="AB216">
            <v>6582</v>
          </cell>
          <cell r="AC216">
            <v>40642</v>
          </cell>
          <cell r="AD216">
            <v>85</v>
          </cell>
          <cell r="AE216">
            <v>0</v>
          </cell>
          <cell r="AF216">
            <v>0</v>
          </cell>
        </row>
        <row r="217">
          <cell r="G217">
            <v>1677</v>
          </cell>
          <cell r="H217" t="str">
            <v>YTD Actual</v>
          </cell>
          <cell r="I217">
            <v>29026.040000000008</v>
          </cell>
          <cell r="J217">
            <v>50218.280000000006</v>
          </cell>
          <cell r="K217">
            <v>45114.700000000012</v>
          </cell>
          <cell r="L217">
            <v>66439.949999999968</v>
          </cell>
          <cell r="M217">
            <v>83399.69</v>
          </cell>
          <cell r="N217">
            <v>68632.450000000041</v>
          </cell>
          <cell r="O217">
            <v>91943.300000000017</v>
          </cell>
          <cell r="P217">
            <v>115196.4</v>
          </cell>
          <cell r="Q217">
            <v>180216.04</v>
          </cell>
          <cell r="R217">
            <v>185161.31</v>
          </cell>
          <cell r="S217">
            <v>198274.61</v>
          </cell>
          <cell r="T217">
            <v>198078.89000000007</v>
          </cell>
          <cell r="U217">
            <v>-6277.7600000000057</v>
          </cell>
          <cell r="V217">
            <v>12754.569999999978</v>
          </cell>
          <cell r="W217">
            <v>-2502.3699999999953</v>
          </cell>
          <cell r="X217">
            <v>33118.589999999982</v>
          </cell>
          <cell r="Y217">
            <v>41271.209999999963</v>
          </cell>
          <cell r="Z217">
            <v>22493.260000000009</v>
          </cell>
          <cell r="AA217">
            <v>57784.659999999974</v>
          </cell>
          <cell r="AB217">
            <v>61803.959999999963</v>
          </cell>
          <cell r="AC217">
            <v>40915.690000000031</v>
          </cell>
          <cell r="AD217">
            <v>76174.840000000142</v>
          </cell>
          <cell r="AE217">
            <v>0</v>
          </cell>
          <cell r="AF217">
            <v>0</v>
          </cell>
        </row>
        <row r="218">
          <cell r="G218">
            <v>1678</v>
          </cell>
          <cell r="H218" t="str">
            <v>YTD Target (Budget)</v>
          </cell>
          <cell r="I218">
            <v>-29852</v>
          </cell>
          <cell r="J218">
            <v>20998</v>
          </cell>
          <cell r="K218">
            <v>741</v>
          </cell>
          <cell r="L218">
            <v>52225</v>
          </cell>
          <cell r="M218">
            <v>88887</v>
          </cell>
          <cell r="N218">
            <v>55562</v>
          </cell>
          <cell r="O218">
            <v>55280</v>
          </cell>
          <cell r="P218">
            <v>83492</v>
          </cell>
          <cell r="Q218">
            <v>101824</v>
          </cell>
          <cell r="R218">
            <v>199926</v>
          </cell>
          <cell r="S218">
            <v>175008</v>
          </cell>
          <cell r="T218">
            <v>167053</v>
          </cell>
          <cell r="U218">
            <v>-6641</v>
          </cell>
          <cell r="V218">
            <v>14645</v>
          </cell>
          <cell r="W218">
            <v>19245</v>
          </cell>
          <cell r="X218">
            <v>62836</v>
          </cell>
          <cell r="Y218">
            <v>81272</v>
          </cell>
          <cell r="Z218">
            <v>77379</v>
          </cell>
          <cell r="AA218">
            <v>109215</v>
          </cell>
          <cell r="AB218">
            <v>115797</v>
          </cell>
          <cell r="AC218">
            <v>156439</v>
          </cell>
          <cell r="AD218">
            <v>156524</v>
          </cell>
          <cell r="AE218">
            <v>0</v>
          </cell>
          <cell r="AF218">
            <v>0</v>
          </cell>
        </row>
        <row r="219">
          <cell r="G219">
            <v>3196</v>
          </cell>
          <cell r="H219" t="str">
            <v>Actual</v>
          </cell>
          <cell r="I219">
            <v>10589.7</v>
          </cell>
          <cell r="J219">
            <v>11827.14</v>
          </cell>
          <cell r="K219">
            <v>22058.54</v>
          </cell>
          <cell r="L219">
            <v>18377.810000000001</v>
          </cell>
          <cell r="M219">
            <v>22589.79</v>
          </cell>
          <cell r="N219">
            <v>17840.59</v>
          </cell>
          <cell r="O219">
            <v>5439.95</v>
          </cell>
          <cell r="P219">
            <v>13826.65</v>
          </cell>
          <cell r="Q219">
            <v>20023.080000000002</v>
          </cell>
          <cell r="R219">
            <v>20072.34</v>
          </cell>
          <cell r="S219">
            <v>10403.700000000001</v>
          </cell>
          <cell r="T219">
            <v>4909.21</v>
          </cell>
          <cell r="U219">
            <v>7575.98</v>
          </cell>
          <cell r="V219">
            <v>11699.91</v>
          </cell>
          <cell r="W219">
            <v>22728.69</v>
          </cell>
          <cell r="X219">
            <v>12677.99</v>
          </cell>
          <cell r="Y219">
            <v>16442.939999999999</v>
          </cell>
          <cell r="Z219">
            <v>11296.81</v>
          </cell>
          <cell r="AA219">
            <v>5472.1</v>
          </cell>
          <cell r="AB219">
            <v>15015.419999999998</v>
          </cell>
          <cell r="AC219">
            <v>21118.11</v>
          </cell>
          <cell r="AD219">
            <v>18338.060000000001</v>
          </cell>
          <cell r="AE219">
            <v>0</v>
          </cell>
          <cell r="AF219">
            <v>0</v>
          </cell>
        </row>
        <row r="220">
          <cell r="G220">
            <v>3197</v>
          </cell>
          <cell r="H220" t="str">
            <v>Target (Budget)</v>
          </cell>
          <cell r="I220">
            <v>6324</v>
          </cell>
          <cell r="J220">
            <v>9486</v>
          </cell>
          <cell r="K220">
            <v>25296</v>
          </cell>
          <cell r="L220">
            <v>11067</v>
          </cell>
          <cell r="M220">
            <v>14229</v>
          </cell>
          <cell r="N220">
            <v>15810</v>
          </cell>
          <cell r="O220">
            <v>7905</v>
          </cell>
          <cell r="P220">
            <v>12648</v>
          </cell>
          <cell r="Q220">
            <v>20553</v>
          </cell>
          <cell r="R220">
            <v>14229</v>
          </cell>
          <cell r="S220">
            <v>14229</v>
          </cell>
          <cell r="T220">
            <v>6324</v>
          </cell>
          <cell r="U220">
            <v>7615</v>
          </cell>
          <cell r="V220">
            <v>8884</v>
          </cell>
          <cell r="W220">
            <v>15230</v>
          </cell>
          <cell r="X220">
            <v>12691</v>
          </cell>
          <cell r="Y220">
            <v>16499</v>
          </cell>
          <cell r="Z220">
            <v>13408</v>
          </cell>
          <cell r="AA220">
            <v>3807</v>
          </cell>
          <cell r="AB220">
            <v>21625</v>
          </cell>
          <cell r="AC220">
            <v>21848</v>
          </cell>
          <cell r="AD220">
            <v>27584</v>
          </cell>
          <cell r="AE220">
            <v>0</v>
          </cell>
          <cell r="AF220">
            <v>0</v>
          </cell>
        </row>
        <row r="221">
          <cell r="G221">
            <v>3200</v>
          </cell>
          <cell r="H221" t="str">
            <v>YTD Actual</v>
          </cell>
          <cell r="I221">
            <v>10589.7</v>
          </cell>
          <cell r="J221">
            <v>22416.84</v>
          </cell>
          <cell r="K221">
            <v>44475.38</v>
          </cell>
          <cell r="L221">
            <v>62853.19</v>
          </cell>
          <cell r="M221">
            <v>85442.98</v>
          </cell>
          <cell r="N221">
            <v>103283.57</v>
          </cell>
          <cell r="O221">
            <v>108723.52</v>
          </cell>
          <cell r="P221">
            <v>122550.17</v>
          </cell>
          <cell r="Q221">
            <v>142573.25</v>
          </cell>
          <cell r="R221">
            <v>162645.59</v>
          </cell>
          <cell r="S221">
            <v>173049.29</v>
          </cell>
          <cell r="T221">
            <v>177958.5</v>
          </cell>
          <cell r="U221">
            <v>7575.98</v>
          </cell>
          <cell r="V221">
            <v>19275.89</v>
          </cell>
          <cell r="W221">
            <v>42004.58</v>
          </cell>
          <cell r="X221">
            <v>54682.570000000007</v>
          </cell>
          <cell r="Y221">
            <v>71125.510000000009</v>
          </cell>
          <cell r="Z221">
            <v>82422.320000000007</v>
          </cell>
          <cell r="AA221">
            <v>87894.42</v>
          </cell>
          <cell r="AB221">
            <v>102909.84</v>
          </cell>
          <cell r="AC221">
            <v>124027.95</v>
          </cell>
          <cell r="AD221">
            <v>142366.01</v>
          </cell>
          <cell r="AE221">
            <v>0</v>
          </cell>
          <cell r="AF221">
            <v>0</v>
          </cell>
        </row>
        <row r="222">
          <cell r="G222">
            <v>3201</v>
          </cell>
          <cell r="H222" t="str">
            <v>YTD Target (Budget)</v>
          </cell>
          <cell r="I222">
            <v>6324</v>
          </cell>
          <cell r="J222">
            <v>15810</v>
          </cell>
          <cell r="K222">
            <v>41106</v>
          </cell>
          <cell r="L222">
            <v>52173</v>
          </cell>
          <cell r="M222">
            <v>66402</v>
          </cell>
          <cell r="N222">
            <v>82212</v>
          </cell>
          <cell r="O222">
            <v>90117</v>
          </cell>
          <cell r="P222">
            <v>102765</v>
          </cell>
          <cell r="Q222">
            <v>123318</v>
          </cell>
          <cell r="R222">
            <v>137547</v>
          </cell>
          <cell r="S222">
            <v>151776</v>
          </cell>
          <cell r="T222">
            <v>158100</v>
          </cell>
          <cell r="U222">
            <v>7615</v>
          </cell>
          <cell r="V222">
            <v>16499</v>
          </cell>
          <cell r="W222">
            <v>31729</v>
          </cell>
          <cell r="X222">
            <v>44420</v>
          </cell>
          <cell r="Y222">
            <v>60919</v>
          </cell>
          <cell r="Z222">
            <v>74327</v>
          </cell>
          <cell r="AA222">
            <v>78134</v>
          </cell>
          <cell r="AB222">
            <v>99759</v>
          </cell>
          <cell r="AC222">
            <v>121607</v>
          </cell>
          <cell r="AD222">
            <v>149191</v>
          </cell>
          <cell r="AE222">
            <v>0</v>
          </cell>
          <cell r="AF222">
            <v>0</v>
          </cell>
        </row>
        <row r="223">
          <cell r="G223">
            <v>1790</v>
          </cell>
          <cell r="H223" t="str">
            <v>Actual</v>
          </cell>
          <cell r="I223">
            <v>202176.35</v>
          </cell>
          <cell r="J223">
            <v>258371.07</v>
          </cell>
          <cell r="K223">
            <v>276133.44000000006</v>
          </cell>
          <cell r="L223">
            <v>248395.11</v>
          </cell>
          <cell r="M223">
            <v>228115.24</v>
          </cell>
          <cell r="N223">
            <v>211048.66</v>
          </cell>
          <cell r="O223">
            <v>219609.56999999998</v>
          </cell>
          <cell r="P223">
            <v>224632.16999999998</v>
          </cell>
          <cell r="Q223">
            <v>220440.56999999998</v>
          </cell>
          <cell r="R223">
            <v>267515.01999999996</v>
          </cell>
          <cell r="S223">
            <v>256797.76</v>
          </cell>
          <cell r="T223">
            <v>243657.31000000003</v>
          </cell>
          <cell r="U223">
            <v>235875.17</v>
          </cell>
          <cell r="V223">
            <v>234715.75</v>
          </cell>
          <cell r="W223">
            <v>291516.76999999996</v>
          </cell>
          <cell r="X223">
            <v>274583.57999999996</v>
          </cell>
          <cell r="Y223">
            <v>217176</v>
          </cell>
          <cell r="Z223">
            <v>189027.00999999998</v>
          </cell>
          <cell r="AA223">
            <v>255600.44</v>
          </cell>
          <cell r="AB223">
            <v>587518.43000000005</v>
          </cell>
          <cell r="AC223">
            <v>273079.25</v>
          </cell>
          <cell r="AD223">
            <v>32755.699999999997</v>
          </cell>
          <cell r="AE223">
            <v>0</v>
          </cell>
          <cell r="AF223">
            <v>0</v>
          </cell>
        </row>
        <row r="224">
          <cell r="G224">
            <v>1791</v>
          </cell>
          <cell r="H224" t="str">
            <v>Target (Budget)</v>
          </cell>
          <cell r="I224">
            <v>190680</v>
          </cell>
          <cell r="J224">
            <v>267640</v>
          </cell>
          <cell r="K224">
            <v>267640</v>
          </cell>
          <cell r="L224">
            <v>284040</v>
          </cell>
          <cell r="M224">
            <v>257560</v>
          </cell>
          <cell r="N224">
            <v>220960</v>
          </cell>
          <cell r="O224">
            <v>237360</v>
          </cell>
          <cell r="P224">
            <v>270160</v>
          </cell>
          <cell r="Q224">
            <v>284040</v>
          </cell>
          <cell r="R224">
            <v>325680</v>
          </cell>
          <cell r="S224">
            <v>262600</v>
          </cell>
          <cell r="T224">
            <v>259640</v>
          </cell>
          <cell r="U224">
            <v>275363</v>
          </cell>
          <cell r="V224">
            <v>322217</v>
          </cell>
          <cell r="W224">
            <v>270168</v>
          </cell>
          <cell r="X224">
            <v>270168</v>
          </cell>
          <cell r="Y224">
            <v>322217</v>
          </cell>
          <cell r="Z224">
            <v>254549</v>
          </cell>
          <cell r="AA224">
            <v>270168</v>
          </cell>
          <cell r="AB224">
            <v>287518</v>
          </cell>
          <cell r="AC224">
            <v>288538</v>
          </cell>
          <cell r="AD224">
            <v>323237</v>
          </cell>
          <cell r="AE224">
            <v>0</v>
          </cell>
          <cell r="AF224">
            <v>0</v>
          </cell>
        </row>
        <row r="225">
          <cell r="G225">
            <v>1794</v>
          </cell>
          <cell r="H225" t="str">
            <v>YTD Actual</v>
          </cell>
          <cell r="I225">
            <v>202176.35</v>
          </cell>
          <cell r="J225">
            <v>460547.42000000004</v>
          </cell>
          <cell r="K225">
            <v>736680.8600000001</v>
          </cell>
          <cell r="L225">
            <v>985075.97000000009</v>
          </cell>
          <cell r="M225">
            <v>1213191.21</v>
          </cell>
          <cell r="N225">
            <v>1424239.87</v>
          </cell>
          <cell r="O225">
            <v>1643849.44</v>
          </cell>
          <cell r="P225">
            <v>1868481.6099999999</v>
          </cell>
          <cell r="Q225">
            <v>2088922.18</v>
          </cell>
          <cell r="R225">
            <v>2356437.2000000002</v>
          </cell>
          <cell r="S225">
            <v>2613234.96</v>
          </cell>
          <cell r="T225">
            <v>2856892.27</v>
          </cell>
          <cell r="U225">
            <v>235875.17</v>
          </cell>
          <cell r="V225">
            <v>470590.92</v>
          </cell>
          <cell r="W225">
            <v>762107.69000000006</v>
          </cell>
          <cell r="X225">
            <v>1036691.27</v>
          </cell>
          <cell r="Y225">
            <v>1253867.2699999998</v>
          </cell>
          <cell r="Z225">
            <v>1442894.2800000003</v>
          </cell>
          <cell r="AA225">
            <v>1698494.7200000002</v>
          </cell>
          <cell r="AB225">
            <v>2286013.1500000004</v>
          </cell>
          <cell r="AC225">
            <v>2559092.4000000004</v>
          </cell>
          <cell r="AD225">
            <v>2591848.1</v>
          </cell>
          <cell r="AE225">
            <v>0</v>
          </cell>
          <cell r="AF225">
            <v>0</v>
          </cell>
        </row>
        <row r="226">
          <cell r="G226">
            <v>1795</v>
          </cell>
          <cell r="H226" t="str">
            <v>YTD Target (Budget)</v>
          </cell>
          <cell r="I226">
            <v>190680</v>
          </cell>
          <cell r="J226">
            <v>458320</v>
          </cell>
          <cell r="K226">
            <v>725960</v>
          </cell>
          <cell r="L226">
            <v>1010000</v>
          </cell>
          <cell r="M226">
            <v>1267560</v>
          </cell>
          <cell r="N226">
            <v>1488520</v>
          </cell>
          <cell r="O226">
            <v>1725880</v>
          </cell>
          <cell r="P226">
            <v>1996040</v>
          </cell>
          <cell r="Q226">
            <v>2280080</v>
          </cell>
          <cell r="R226">
            <v>2605760</v>
          </cell>
          <cell r="S226">
            <v>2868360</v>
          </cell>
          <cell r="T226">
            <v>3128000</v>
          </cell>
          <cell r="U226">
            <v>275363</v>
          </cell>
          <cell r="V226">
            <v>597580</v>
          </cell>
          <cell r="W226">
            <v>867748</v>
          </cell>
          <cell r="X226">
            <v>1137916</v>
          </cell>
          <cell r="Y226">
            <v>1460133</v>
          </cell>
          <cell r="Z226">
            <v>1714682</v>
          </cell>
          <cell r="AA226">
            <v>1984850</v>
          </cell>
          <cell r="AB226">
            <v>2272368</v>
          </cell>
          <cell r="AC226">
            <v>2560906</v>
          </cell>
          <cell r="AD226">
            <v>2884143</v>
          </cell>
          <cell r="AE226">
            <v>0</v>
          </cell>
          <cell r="AF226">
            <v>0</v>
          </cell>
        </row>
        <row r="227">
          <cell r="G227">
            <v>1803</v>
          </cell>
          <cell r="H227" t="str">
            <v>Actual</v>
          </cell>
          <cell r="I227">
            <v>199472.13</v>
          </cell>
          <cell r="J227">
            <v>237419.66999999998</v>
          </cell>
          <cell r="K227">
            <v>257749.50000000003</v>
          </cell>
          <cell r="L227">
            <v>215251.57</v>
          </cell>
          <cell r="M227">
            <v>205823.93</v>
          </cell>
          <cell r="N227">
            <v>199755.98</v>
          </cell>
          <cell r="O227">
            <v>187504.71</v>
          </cell>
          <cell r="P227">
            <v>212839.65000000002</v>
          </cell>
          <cell r="Q227">
            <v>226900.13999999998</v>
          </cell>
          <cell r="R227">
            <v>208738.79000000004</v>
          </cell>
          <cell r="S227">
            <v>253746.56</v>
          </cell>
          <cell r="T227">
            <v>255637.69999999998</v>
          </cell>
          <cell r="U227">
            <v>183761.93</v>
          </cell>
          <cell r="V227">
            <v>208531.26</v>
          </cell>
          <cell r="W227">
            <v>342232.77</v>
          </cell>
          <cell r="X227">
            <v>194639.03999999998</v>
          </cell>
          <cell r="Y227">
            <v>239145.84</v>
          </cell>
          <cell r="Z227">
            <v>138442.37</v>
          </cell>
          <cell r="AA227">
            <v>229867.01</v>
          </cell>
          <cell r="AB227">
            <v>234157.16999999995</v>
          </cell>
          <cell r="AC227">
            <v>317908.79000000004</v>
          </cell>
          <cell r="AD227">
            <v>206511.61</v>
          </cell>
          <cell r="AE227">
            <v>0</v>
          </cell>
          <cell r="AF227">
            <v>0</v>
          </cell>
        </row>
        <row r="228">
          <cell r="G228">
            <v>1804</v>
          </cell>
          <cell r="H228" t="str">
            <v>Target (Budget)</v>
          </cell>
          <cell r="I228">
            <v>199723</v>
          </cell>
          <cell r="J228">
            <v>251804</v>
          </cell>
          <cell r="K228">
            <v>262673</v>
          </cell>
          <cell r="L228">
            <v>264917</v>
          </cell>
          <cell r="M228">
            <v>237413</v>
          </cell>
          <cell r="N228">
            <v>215881</v>
          </cell>
          <cell r="O228">
            <v>227210</v>
          </cell>
          <cell r="P228">
            <v>252698</v>
          </cell>
          <cell r="Q228">
            <v>275678</v>
          </cell>
          <cell r="R228">
            <v>283780</v>
          </cell>
          <cell r="S228">
            <v>233226</v>
          </cell>
          <cell r="T228">
            <v>219462</v>
          </cell>
          <cell r="U228">
            <v>181868</v>
          </cell>
          <cell r="V228">
            <v>276592</v>
          </cell>
          <cell r="W228">
            <v>279011</v>
          </cell>
          <cell r="X228">
            <v>280317</v>
          </cell>
          <cell r="Y228">
            <v>190291</v>
          </cell>
          <cell r="Z228">
            <v>215524</v>
          </cell>
          <cell r="AA228">
            <v>233279</v>
          </cell>
          <cell r="AB228">
            <v>272846</v>
          </cell>
          <cell r="AC228">
            <v>300837</v>
          </cell>
          <cell r="AD228">
            <v>280856</v>
          </cell>
          <cell r="AE228">
            <v>0</v>
          </cell>
          <cell r="AF228">
            <v>0</v>
          </cell>
        </row>
        <row r="229">
          <cell r="G229">
            <v>1807</v>
          </cell>
          <cell r="H229" t="str">
            <v>YTD Actual</v>
          </cell>
          <cell r="I229">
            <v>199472.13</v>
          </cell>
          <cell r="J229">
            <v>436891.8</v>
          </cell>
          <cell r="K229">
            <v>694641.29999999981</v>
          </cell>
          <cell r="L229">
            <v>909892.87000000011</v>
          </cell>
          <cell r="M229">
            <v>1115716.8</v>
          </cell>
          <cell r="N229">
            <v>1315472.78</v>
          </cell>
          <cell r="O229">
            <v>1502977.4900000005</v>
          </cell>
          <cell r="P229">
            <v>1715817.1400000001</v>
          </cell>
          <cell r="Q229">
            <v>1942717.28</v>
          </cell>
          <cell r="R229">
            <v>2151456.0700000003</v>
          </cell>
          <cell r="S229">
            <v>2405202.63</v>
          </cell>
          <cell r="T229">
            <v>2660840.33</v>
          </cell>
          <cell r="U229">
            <v>183761.93</v>
          </cell>
          <cell r="V229">
            <v>392293.18999999994</v>
          </cell>
          <cell r="W229">
            <v>734525.96</v>
          </cell>
          <cell r="X229">
            <v>929165</v>
          </cell>
          <cell r="Y229">
            <v>1168310.8399999999</v>
          </cell>
          <cell r="Z229">
            <v>1306753.2100000002</v>
          </cell>
          <cell r="AA229">
            <v>1536620.22</v>
          </cell>
          <cell r="AB229">
            <v>1770777.3900000001</v>
          </cell>
          <cell r="AC229">
            <v>2088686.1800000002</v>
          </cell>
          <cell r="AD229">
            <v>2295197.79</v>
          </cell>
          <cell r="AE229">
            <v>0</v>
          </cell>
          <cell r="AF229">
            <v>0</v>
          </cell>
        </row>
        <row r="230">
          <cell r="G230">
            <v>1808</v>
          </cell>
          <cell r="H230" t="str">
            <v>YTD Target (Budget)</v>
          </cell>
          <cell r="I230">
            <v>199723</v>
          </cell>
          <cell r="J230">
            <v>440319</v>
          </cell>
          <cell r="K230">
            <v>702992</v>
          </cell>
          <cell r="L230">
            <v>968638</v>
          </cell>
          <cell r="M230">
            <v>1206051</v>
          </cell>
          <cell r="N230">
            <v>1421932</v>
          </cell>
          <cell r="O230">
            <v>1649142</v>
          </cell>
          <cell r="P230">
            <v>1901840</v>
          </cell>
          <cell r="Q230">
            <v>2177518</v>
          </cell>
          <cell r="R230">
            <v>2461298</v>
          </cell>
          <cell r="S230">
            <v>2694524</v>
          </cell>
          <cell r="T230">
            <v>2913986</v>
          </cell>
          <cell r="U230">
            <v>181868</v>
          </cell>
          <cell r="V230">
            <v>458460</v>
          </cell>
          <cell r="W230">
            <v>737471</v>
          </cell>
          <cell r="X230">
            <v>1017788</v>
          </cell>
          <cell r="Y230">
            <v>1208079</v>
          </cell>
          <cell r="Z230">
            <v>1423603</v>
          </cell>
          <cell r="AA230">
            <v>1656882</v>
          </cell>
          <cell r="AB230">
            <v>1929728</v>
          </cell>
          <cell r="AC230">
            <v>2230565</v>
          </cell>
          <cell r="AD230">
            <v>2511421</v>
          </cell>
          <cell r="AE230">
            <v>0</v>
          </cell>
          <cell r="AF230">
            <v>0</v>
          </cell>
        </row>
        <row r="231">
          <cell r="G231">
            <v>3119</v>
          </cell>
          <cell r="H231" t="str">
            <v>Empl_Benefits</v>
          </cell>
          <cell r="I231">
            <v>6528.49</v>
          </cell>
          <cell r="J231">
            <v>12929.239999999998</v>
          </cell>
          <cell r="K231">
            <v>16615.57</v>
          </cell>
          <cell r="L231">
            <v>9135.76</v>
          </cell>
          <cell r="M231">
            <v>11869.47</v>
          </cell>
          <cell r="N231">
            <v>12218.44</v>
          </cell>
          <cell r="O231">
            <v>12092.220000000001</v>
          </cell>
          <cell r="P231">
            <v>12119.26</v>
          </cell>
          <cell r="Q231">
            <v>17962.84</v>
          </cell>
          <cell r="R231">
            <v>12258.41</v>
          </cell>
          <cell r="S231">
            <v>12209.84</v>
          </cell>
          <cell r="T231">
            <v>20852.72</v>
          </cell>
          <cell r="U231">
            <v>3807.73</v>
          </cell>
          <cell r="V231">
            <v>12643.750000000002</v>
          </cell>
          <cell r="W231">
            <v>18861.550000000003</v>
          </cell>
          <cell r="X231">
            <v>12796.4</v>
          </cell>
          <cell r="Y231">
            <v>13413.31</v>
          </cell>
          <cell r="Z231">
            <v>10360.6</v>
          </cell>
          <cell r="AA231">
            <v>9381.9299999999985</v>
          </cell>
          <cell r="AB231">
            <v>9464.76</v>
          </cell>
          <cell r="AC231">
            <v>14654.31</v>
          </cell>
          <cell r="AD231">
            <v>13540.23</v>
          </cell>
          <cell r="AE231">
            <v>0</v>
          </cell>
          <cell r="AF231">
            <v>0</v>
          </cell>
        </row>
        <row r="232">
          <cell r="G232">
            <v>3120</v>
          </cell>
          <cell r="H232" t="str">
            <v>Total Personnel</v>
          </cell>
          <cell r="I232">
            <v>22331.39</v>
          </cell>
          <cell r="J232">
            <v>40835.65</v>
          </cell>
          <cell r="K232">
            <v>55524.250000000007</v>
          </cell>
          <cell r="L232">
            <v>28291.870000000003</v>
          </cell>
          <cell r="M232">
            <v>38667.68</v>
          </cell>
          <cell r="N232">
            <v>39630.590000000004</v>
          </cell>
          <cell r="O232">
            <v>38720.28</v>
          </cell>
          <cell r="P232">
            <v>39034.33</v>
          </cell>
          <cell r="Q232">
            <v>57750.66</v>
          </cell>
          <cell r="R232">
            <v>39497.72</v>
          </cell>
          <cell r="S232">
            <v>39330.53</v>
          </cell>
          <cell r="T232">
            <v>66603.510000000009</v>
          </cell>
          <cell r="U232">
            <v>12944.689999999999</v>
          </cell>
          <cell r="V232">
            <v>40344.1</v>
          </cell>
          <cell r="W232">
            <v>61509.580000000009</v>
          </cell>
          <cell r="X232">
            <v>42451.530000000006</v>
          </cell>
          <cell r="Y232">
            <v>44554.950000000004</v>
          </cell>
          <cell r="Z232">
            <v>34490.22</v>
          </cell>
          <cell r="AA232">
            <v>31645.239999999998</v>
          </cell>
          <cell r="AB232">
            <v>31995.93</v>
          </cell>
          <cell r="AC232">
            <v>49010.9</v>
          </cell>
          <cell r="AD232">
            <v>44623.909999999996</v>
          </cell>
          <cell r="AE232">
            <v>0</v>
          </cell>
          <cell r="AF232">
            <v>0</v>
          </cell>
        </row>
        <row r="233">
          <cell r="G233">
            <v>3121</v>
          </cell>
          <cell r="H233" t="str">
            <v>Target Empl_Benefits</v>
          </cell>
          <cell r="I233">
            <v>11485</v>
          </cell>
          <cell r="J233">
            <v>11510</v>
          </cell>
          <cell r="K233">
            <v>17224</v>
          </cell>
          <cell r="L233">
            <v>12865</v>
          </cell>
          <cell r="M233">
            <v>12868</v>
          </cell>
          <cell r="N233">
            <v>12836</v>
          </cell>
          <cell r="O233">
            <v>12846</v>
          </cell>
          <cell r="P233">
            <v>12842</v>
          </cell>
          <cell r="Q233">
            <v>17379</v>
          </cell>
          <cell r="R233">
            <v>12853</v>
          </cell>
          <cell r="S233">
            <v>12858</v>
          </cell>
          <cell r="T233">
            <v>12836</v>
          </cell>
          <cell r="U233">
            <v>5306</v>
          </cell>
          <cell r="V233">
            <v>15330</v>
          </cell>
          <cell r="W233">
            <v>18782</v>
          </cell>
          <cell r="X233">
            <v>15205</v>
          </cell>
          <cell r="Y233">
            <v>15224</v>
          </cell>
          <cell r="Z233">
            <v>15382</v>
          </cell>
          <cell r="AA233">
            <v>15162</v>
          </cell>
          <cell r="AB233">
            <v>15267</v>
          </cell>
          <cell r="AC233">
            <v>18815</v>
          </cell>
          <cell r="AD233">
            <v>15259</v>
          </cell>
          <cell r="AE233">
            <v>0</v>
          </cell>
          <cell r="AF233">
            <v>0</v>
          </cell>
        </row>
        <row r="234">
          <cell r="G234">
            <v>3122</v>
          </cell>
          <cell r="H234" t="str">
            <v>Target Total Personnel</v>
          </cell>
          <cell r="I234">
            <v>38383</v>
          </cell>
          <cell r="J234">
            <v>44741</v>
          </cell>
          <cell r="K234">
            <v>60110</v>
          </cell>
          <cell r="L234">
            <v>47168</v>
          </cell>
          <cell r="M234">
            <v>46905</v>
          </cell>
          <cell r="N234">
            <v>44734</v>
          </cell>
          <cell r="O234">
            <v>47083</v>
          </cell>
          <cell r="P234">
            <v>44200</v>
          </cell>
          <cell r="Q234">
            <v>59429</v>
          </cell>
          <cell r="R234">
            <v>44279</v>
          </cell>
          <cell r="S234">
            <v>44033</v>
          </cell>
          <cell r="T234">
            <v>42458</v>
          </cell>
          <cell r="U234">
            <v>18961</v>
          </cell>
          <cell r="V234">
            <v>49671</v>
          </cell>
          <cell r="W234">
            <v>60036</v>
          </cell>
          <cell r="X234">
            <v>48776</v>
          </cell>
          <cell r="Y234">
            <v>48915</v>
          </cell>
          <cell r="Z234">
            <v>49377</v>
          </cell>
          <cell r="AA234">
            <v>48473</v>
          </cell>
          <cell r="AB234">
            <v>49228</v>
          </cell>
          <cell r="AC234">
            <v>60279</v>
          </cell>
          <cell r="AD234">
            <v>49170</v>
          </cell>
          <cell r="AE234">
            <v>0</v>
          </cell>
          <cell r="AF234">
            <v>0</v>
          </cell>
        </row>
        <row r="235">
          <cell r="G235">
            <v>3123</v>
          </cell>
          <cell r="H235" t="str">
            <v>YTD Empl_Benefits</v>
          </cell>
          <cell r="I235">
            <v>6528.49</v>
          </cell>
          <cell r="J235">
            <v>19457.729999999996</v>
          </cell>
          <cell r="K235">
            <v>36073.299999999996</v>
          </cell>
          <cell r="L235">
            <v>45209.06</v>
          </cell>
          <cell r="M235">
            <v>57078.530000000006</v>
          </cell>
          <cell r="N235">
            <v>69296.97</v>
          </cell>
          <cell r="O235">
            <v>81389.189999999988</v>
          </cell>
          <cell r="P235">
            <v>93508.45</v>
          </cell>
          <cell r="Q235">
            <v>111471.28999999998</v>
          </cell>
          <cell r="R235">
            <v>123729.7</v>
          </cell>
          <cell r="S235">
            <v>135939.54</v>
          </cell>
          <cell r="T235">
            <v>156792.26</v>
          </cell>
          <cell r="U235">
            <v>3807.73</v>
          </cell>
          <cell r="V235">
            <v>16451.48</v>
          </cell>
          <cell r="W235">
            <v>35313.029999999992</v>
          </cell>
          <cell r="X235">
            <v>48109.429999999993</v>
          </cell>
          <cell r="Y235">
            <v>61522.740000000005</v>
          </cell>
          <cell r="Z235">
            <v>71883.340000000011</v>
          </cell>
          <cell r="AA235">
            <v>81265.27</v>
          </cell>
          <cell r="AB235">
            <v>90730.030000000013</v>
          </cell>
          <cell r="AC235">
            <v>105384.34000000001</v>
          </cell>
          <cell r="AD235">
            <v>118924.57</v>
          </cell>
          <cell r="AE235">
            <v>0</v>
          </cell>
          <cell r="AF235">
            <v>0</v>
          </cell>
        </row>
        <row r="236">
          <cell r="G236">
            <v>3124</v>
          </cell>
          <cell r="H236" t="str">
            <v>YTD Total Personnel</v>
          </cell>
          <cell r="I236">
            <v>22331.39</v>
          </cell>
          <cell r="J236">
            <v>63167.040000000001</v>
          </cell>
          <cell r="K236">
            <v>118691.28999999998</v>
          </cell>
          <cell r="L236">
            <v>146983.15999999997</v>
          </cell>
          <cell r="M236">
            <v>185650.84</v>
          </cell>
          <cell r="N236">
            <v>225281.43</v>
          </cell>
          <cell r="O236">
            <v>264001.71000000002</v>
          </cell>
          <cell r="P236">
            <v>303036.03999999998</v>
          </cell>
          <cell r="Q236">
            <v>360786.69999999995</v>
          </cell>
          <cell r="R236">
            <v>400284.42000000004</v>
          </cell>
          <cell r="S236">
            <v>439614.95000000007</v>
          </cell>
          <cell r="T236">
            <v>506218.46</v>
          </cell>
          <cell r="U236">
            <v>12944.689999999999</v>
          </cell>
          <cell r="V236">
            <v>53288.790000000008</v>
          </cell>
          <cell r="W236">
            <v>114798.37</v>
          </cell>
          <cell r="X236">
            <v>157249.89999999997</v>
          </cell>
          <cell r="Y236">
            <v>201804.85000000003</v>
          </cell>
          <cell r="Z236">
            <v>236295.07</v>
          </cell>
          <cell r="AA236">
            <v>267940.31</v>
          </cell>
          <cell r="AB236">
            <v>299936.24</v>
          </cell>
          <cell r="AC236">
            <v>348947.14</v>
          </cell>
          <cell r="AD236">
            <v>393571.05000000005</v>
          </cell>
          <cell r="AE236">
            <v>0</v>
          </cell>
          <cell r="AF236">
            <v>0</v>
          </cell>
        </row>
        <row r="237">
          <cell r="G237">
            <v>3125</v>
          </cell>
          <cell r="H237" t="str">
            <v>YTD Target Empl_Benefits</v>
          </cell>
          <cell r="I237">
            <v>11485</v>
          </cell>
          <cell r="J237">
            <v>22995</v>
          </cell>
          <cell r="K237">
            <v>40219</v>
          </cell>
          <cell r="L237">
            <v>53276</v>
          </cell>
          <cell r="M237">
            <v>66144</v>
          </cell>
          <cell r="N237">
            <v>78980</v>
          </cell>
          <cell r="O237">
            <v>91826</v>
          </cell>
          <cell r="P237">
            <v>104668</v>
          </cell>
          <cell r="Q237">
            <v>122047</v>
          </cell>
          <cell r="R237">
            <v>134900</v>
          </cell>
          <cell r="S237">
            <v>147758</v>
          </cell>
          <cell r="T237">
            <v>160594</v>
          </cell>
          <cell r="U237">
            <v>5306</v>
          </cell>
          <cell r="V237">
            <v>20636</v>
          </cell>
          <cell r="W237">
            <v>39418</v>
          </cell>
          <cell r="X237">
            <v>54623</v>
          </cell>
          <cell r="Y237">
            <v>69847</v>
          </cell>
          <cell r="Z237">
            <v>85229</v>
          </cell>
          <cell r="AA237">
            <v>100391</v>
          </cell>
          <cell r="AB237">
            <v>115658</v>
          </cell>
          <cell r="AC237">
            <v>134473</v>
          </cell>
          <cell r="AD237">
            <v>149732</v>
          </cell>
          <cell r="AE237">
            <v>0</v>
          </cell>
          <cell r="AF237">
            <v>0</v>
          </cell>
        </row>
        <row r="238">
          <cell r="G238">
            <v>3126</v>
          </cell>
          <cell r="H238" t="str">
            <v>YTD Target Total Personnel</v>
          </cell>
          <cell r="I238">
            <v>38383</v>
          </cell>
          <cell r="J238">
            <v>71916</v>
          </cell>
          <cell r="K238">
            <v>132026</v>
          </cell>
          <cell r="L238">
            <v>179923</v>
          </cell>
          <cell r="M238">
            <v>226828</v>
          </cell>
          <cell r="N238">
            <v>271562</v>
          </cell>
          <cell r="O238">
            <v>318645</v>
          </cell>
          <cell r="P238">
            <v>362845</v>
          </cell>
          <cell r="Q238">
            <v>422274</v>
          </cell>
          <cell r="R238">
            <v>466553</v>
          </cell>
          <cell r="S238">
            <v>510586</v>
          </cell>
          <cell r="T238">
            <v>553044</v>
          </cell>
          <cell r="U238">
            <v>18961</v>
          </cell>
          <cell r="V238">
            <v>68632</v>
          </cell>
          <cell r="W238">
            <v>128668</v>
          </cell>
          <cell r="X238">
            <v>177444</v>
          </cell>
          <cell r="Y238">
            <v>226359</v>
          </cell>
          <cell r="Z238">
            <v>275736</v>
          </cell>
          <cell r="AA238">
            <v>324209</v>
          </cell>
          <cell r="AB238">
            <v>373437</v>
          </cell>
          <cell r="AC238">
            <v>433716</v>
          </cell>
          <cell r="AD238">
            <v>482886</v>
          </cell>
          <cell r="AE238">
            <v>0</v>
          </cell>
          <cell r="AF238">
            <v>0</v>
          </cell>
        </row>
        <row r="239">
          <cell r="G239">
            <v>1816</v>
          </cell>
          <cell r="H239" t="str">
            <v>Actual</v>
          </cell>
          <cell r="I239">
            <v>2704.2200000000012</v>
          </cell>
          <cell r="J239">
            <v>20951.400000000023</v>
          </cell>
          <cell r="K239">
            <v>18383.940000000031</v>
          </cell>
          <cell r="L239">
            <v>33143.539999999979</v>
          </cell>
          <cell r="M239">
            <v>22291.309999999998</v>
          </cell>
          <cell r="N239">
            <v>11292.679999999993</v>
          </cell>
          <cell r="O239">
            <v>32104.859999999986</v>
          </cell>
          <cell r="P239">
            <v>11792.51999999996</v>
          </cell>
          <cell r="Q239">
            <v>-6459.570000000007</v>
          </cell>
          <cell r="R239">
            <v>58776.229999999923</v>
          </cell>
          <cell r="S239">
            <v>3051.2000000000116</v>
          </cell>
          <cell r="T239">
            <v>-11980.389999999956</v>
          </cell>
          <cell r="U239">
            <v>52113.24000000002</v>
          </cell>
          <cell r="V239">
            <v>26184.489999999991</v>
          </cell>
          <cell r="W239">
            <v>-50716.000000000058</v>
          </cell>
          <cell r="X239">
            <v>79944.539999999979</v>
          </cell>
          <cell r="Y239">
            <v>-21969.839999999997</v>
          </cell>
          <cell r="Z239">
            <v>50584.639999999985</v>
          </cell>
          <cell r="AA239">
            <v>25733.429999999993</v>
          </cell>
          <cell r="AB239">
            <v>353361.26000000013</v>
          </cell>
          <cell r="AC239">
            <v>-44829.540000000037</v>
          </cell>
          <cell r="AD239">
            <v>-173755.90999999997</v>
          </cell>
          <cell r="AE239">
            <v>0</v>
          </cell>
          <cell r="AF239">
            <v>0</v>
          </cell>
        </row>
        <row r="240">
          <cell r="G240">
            <v>1817</v>
          </cell>
          <cell r="H240" t="str">
            <v>Target (Budget)</v>
          </cell>
          <cell r="I240">
            <v>-9043</v>
          </cell>
          <cell r="J240">
            <v>15836</v>
          </cell>
          <cell r="K240">
            <v>4967</v>
          </cell>
          <cell r="L240">
            <v>19123</v>
          </cell>
          <cell r="M240">
            <v>20147</v>
          </cell>
          <cell r="N240">
            <v>5079</v>
          </cell>
          <cell r="O240">
            <v>10150</v>
          </cell>
          <cell r="P240">
            <v>17462</v>
          </cell>
          <cell r="Q240">
            <v>8362</v>
          </cell>
          <cell r="R240">
            <v>41900</v>
          </cell>
          <cell r="S240">
            <v>29374</v>
          </cell>
          <cell r="T240">
            <v>40178</v>
          </cell>
          <cell r="U240">
            <v>93495</v>
          </cell>
          <cell r="V240">
            <v>45625</v>
          </cell>
          <cell r="W240">
            <v>-8843</v>
          </cell>
          <cell r="X240">
            <v>-10149</v>
          </cell>
          <cell r="Y240">
            <v>131926</v>
          </cell>
          <cell r="Z240">
            <v>39025</v>
          </cell>
          <cell r="AA240">
            <v>36889</v>
          </cell>
          <cell r="AB240">
            <v>14672</v>
          </cell>
          <cell r="AC240">
            <v>-12299</v>
          </cell>
          <cell r="AD240">
            <v>42381</v>
          </cell>
          <cell r="AE240">
            <v>0</v>
          </cell>
          <cell r="AF240">
            <v>0</v>
          </cell>
        </row>
        <row r="241">
          <cell r="G241">
            <v>1820</v>
          </cell>
          <cell r="H241" t="str">
            <v>YTD Actual</v>
          </cell>
          <cell r="I241">
            <v>2704.2200000000012</v>
          </cell>
          <cell r="J241">
            <v>23655.620000000054</v>
          </cell>
          <cell r="K241">
            <v>42039.560000000289</v>
          </cell>
          <cell r="L241">
            <v>75183.099999999977</v>
          </cell>
          <cell r="M241">
            <v>97474.409999999916</v>
          </cell>
          <cell r="N241">
            <v>108767.09000000008</v>
          </cell>
          <cell r="O241">
            <v>140871.94999999949</v>
          </cell>
          <cell r="P241">
            <v>152664.46999999974</v>
          </cell>
          <cell r="Q241">
            <v>146204.89999999991</v>
          </cell>
          <cell r="R241">
            <v>204981.12999999989</v>
          </cell>
          <cell r="S241">
            <v>208032.33000000007</v>
          </cell>
          <cell r="T241">
            <v>196051.93999999994</v>
          </cell>
          <cell r="U241">
            <v>52113.24000000002</v>
          </cell>
          <cell r="V241">
            <v>78297.73000000004</v>
          </cell>
          <cell r="W241">
            <v>27581.730000000098</v>
          </cell>
          <cell r="X241">
            <v>107526.27000000002</v>
          </cell>
          <cell r="Y241">
            <v>85556.429999999935</v>
          </cell>
          <cell r="Z241">
            <v>136141.07000000007</v>
          </cell>
          <cell r="AA241">
            <v>161874.50000000023</v>
          </cell>
          <cell r="AB241">
            <v>515235.76000000024</v>
          </cell>
          <cell r="AC241">
            <v>470406.2200000002</v>
          </cell>
          <cell r="AD241">
            <v>296650.31000000006</v>
          </cell>
          <cell r="AE241">
            <v>0</v>
          </cell>
          <cell r="AF241">
            <v>0</v>
          </cell>
        </row>
        <row r="242">
          <cell r="G242">
            <v>1821</v>
          </cell>
          <cell r="H242" t="str">
            <v>YTD Target (Budget)</v>
          </cell>
          <cell r="I242">
            <v>-9043</v>
          </cell>
          <cell r="J242">
            <v>18001</v>
          </cell>
          <cell r="K242">
            <v>22968</v>
          </cell>
          <cell r="L242">
            <v>41362</v>
          </cell>
          <cell r="M242">
            <v>61509</v>
          </cell>
          <cell r="N242">
            <v>66588</v>
          </cell>
          <cell r="O242">
            <v>76738</v>
          </cell>
          <cell r="P242">
            <v>94200</v>
          </cell>
          <cell r="Q242">
            <v>102562</v>
          </cell>
          <cell r="R242">
            <v>144462</v>
          </cell>
          <cell r="S242">
            <v>173836</v>
          </cell>
          <cell r="T242">
            <v>214014</v>
          </cell>
          <cell r="U242">
            <v>93495</v>
          </cell>
          <cell r="V242">
            <v>139120</v>
          </cell>
          <cell r="W242">
            <v>130277</v>
          </cell>
          <cell r="X242">
            <v>120128</v>
          </cell>
          <cell r="Y242">
            <v>252054</v>
          </cell>
          <cell r="Z242">
            <v>291079</v>
          </cell>
          <cell r="AA242">
            <v>327968</v>
          </cell>
          <cell r="AB242">
            <v>342640</v>
          </cell>
          <cell r="AC242">
            <v>330341</v>
          </cell>
          <cell r="AD242">
            <v>372722</v>
          </cell>
          <cell r="AE242">
            <v>0</v>
          </cell>
          <cell r="AF242">
            <v>0</v>
          </cell>
        </row>
        <row r="243">
          <cell r="G243">
            <v>1829</v>
          </cell>
          <cell r="H243" t="str">
            <v>Actual</v>
          </cell>
          <cell r="I243">
            <v>-1978.9399999999987</v>
          </cell>
          <cell r="J243">
            <v>13839.590000000022</v>
          </cell>
          <cell r="K243">
            <v>9768.8100000000322</v>
          </cell>
          <cell r="L243">
            <v>27310.519999999979</v>
          </cell>
          <cell r="M243">
            <v>15470.459999999995</v>
          </cell>
          <cell r="N243">
            <v>4121.469999999993</v>
          </cell>
          <cell r="O243">
            <v>25596.069999999985</v>
          </cell>
          <cell r="P243">
            <v>6314.9499999999598</v>
          </cell>
          <cell r="Q243">
            <v>-13386.100000000008</v>
          </cell>
          <cell r="R243">
            <v>49453.299999999923</v>
          </cell>
          <cell r="S243">
            <v>-2758.909999999988</v>
          </cell>
          <cell r="T243">
            <v>-21835.009999999958</v>
          </cell>
          <cell r="U243">
            <v>44313.620000000017</v>
          </cell>
          <cell r="V243">
            <v>21207.689999999988</v>
          </cell>
          <cell r="W243">
            <v>-54516.920000000056</v>
          </cell>
          <cell r="X243">
            <v>70376.559999999983</v>
          </cell>
          <cell r="Y243">
            <v>-25787.159999999996</v>
          </cell>
          <cell r="Z243">
            <v>43504.219999999987</v>
          </cell>
          <cell r="AA243">
            <v>19876.049999999992</v>
          </cell>
          <cell r="AB243">
            <v>327561.43000000011</v>
          </cell>
          <cell r="AC243">
            <v>-51327.280000000035</v>
          </cell>
          <cell r="AD243">
            <v>-167916.09999999998</v>
          </cell>
          <cell r="AE243">
            <v>0</v>
          </cell>
          <cell r="AF243">
            <v>0</v>
          </cell>
        </row>
        <row r="244">
          <cell r="G244">
            <v>1830</v>
          </cell>
          <cell r="H244" t="str">
            <v>Target (Budget)</v>
          </cell>
          <cell r="I244">
            <v>-14324</v>
          </cell>
          <cell r="J244">
            <v>9475</v>
          </cell>
          <cell r="K244">
            <v>-1649</v>
          </cell>
          <cell r="L244">
            <v>12762</v>
          </cell>
          <cell r="M244">
            <v>11626</v>
          </cell>
          <cell r="N244">
            <v>-997</v>
          </cell>
          <cell r="O244">
            <v>4329</v>
          </cell>
          <cell r="P244">
            <v>11641</v>
          </cell>
          <cell r="Q244">
            <v>1746</v>
          </cell>
          <cell r="R244">
            <v>33919</v>
          </cell>
          <cell r="S244">
            <v>21933</v>
          </cell>
          <cell r="T244">
            <v>33561</v>
          </cell>
          <cell r="U244">
            <v>85096</v>
          </cell>
          <cell r="V244">
            <v>36550</v>
          </cell>
          <cell r="W244">
            <v>-17616</v>
          </cell>
          <cell r="X244">
            <v>-18548</v>
          </cell>
          <cell r="Y244">
            <v>122851</v>
          </cell>
          <cell r="Z244">
            <v>30252</v>
          </cell>
          <cell r="AA244">
            <v>28490</v>
          </cell>
          <cell r="AB244">
            <v>6273</v>
          </cell>
          <cell r="AC244">
            <v>-21748</v>
          </cell>
          <cell r="AD244">
            <v>33306</v>
          </cell>
          <cell r="AE244">
            <v>0</v>
          </cell>
          <cell r="AF244">
            <v>0</v>
          </cell>
        </row>
        <row r="245">
          <cell r="G245">
            <v>1833</v>
          </cell>
          <cell r="H245" t="str">
            <v>YTD Actual</v>
          </cell>
          <cell r="I245">
            <v>-1978.9399999999987</v>
          </cell>
          <cell r="J245">
            <v>11860.650000000054</v>
          </cell>
          <cell r="K245">
            <v>21629.460000000287</v>
          </cell>
          <cell r="L245">
            <v>48939.979999999974</v>
          </cell>
          <cell r="M245">
            <v>64410.439999999922</v>
          </cell>
          <cell r="N245">
            <v>68531.910000000091</v>
          </cell>
          <cell r="O245">
            <v>94127.979999999487</v>
          </cell>
          <cell r="P245">
            <v>100442.92999999975</v>
          </cell>
          <cell r="Q245">
            <v>87056.8299999999</v>
          </cell>
          <cell r="R245">
            <v>136510.12999999989</v>
          </cell>
          <cell r="S245">
            <v>133751.22000000006</v>
          </cell>
          <cell r="T245">
            <v>111916.20999999995</v>
          </cell>
          <cell r="U245">
            <v>44313.620000000017</v>
          </cell>
          <cell r="V245">
            <v>65521.310000000041</v>
          </cell>
          <cell r="W245">
            <v>11004.390000000094</v>
          </cell>
          <cell r="X245">
            <v>81380.950000000026</v>
          </cell>
          <cell r="Y245">
            <v>55593.789999999935</v>
          </cell>
          <cell r="Z245">
            <v>99098.010000000068</v>
          </cell>
          <cell r="AA245">
            <v>118974.06000000023</v>
          </cell>
          <cell r="AB245">
            <v>446535.49000000022</v>
          </cell>
          <cell r="AC245">
            <v>395208.2100000002</v>
          </cell>
          <cell r="AD245">
            <v>227292.11000000004</v>
          </cell>
          <cell r="AE245">
            <v>0</v>
          </cell>
          <cell r="AF245">
            <v>0</v>
          </cell>
        </row>
        <row r="246">
          <cell r="G246">
            <v>1834</v>
          </cell>
          <cell r="H246" t="str">
            <v>YTD Target (Budget)</v>
          </cell>
          <cell r="I246">
            <v>-14324</v>
          </cell>
          <cell r="J246">
            <v>6359</v>
          </cell>
          <cell r="K246">
            <v>4710</v>
          </cell>
          <cell r="L246">
            <v>16743</v>
          </cell>
          <cell r="M246">
            <v>28369</v>
          </cell>
          <cell r="N246">
            <v>27372</v>
          </cell>
          <cell r="O246">
            <v>31701</v>
          </cell>
          <cell r="P246">
            <v>43342</v>
          </cell>
          <cell r="Q246">
            <v>45088</v>
          </cell>
          <cell r="R246">
            <v>79007</v>
          </cell>
          <cell r="S246">
            <v>100940</v>
          </cell>
          <cell r="T246">
            <v>134501</v>
          </cell>
          <cell r="U246">
            <v>85096</v>
          </cell>
          <cell r="V246">
            <v>121646</v>
          </cell>
          <cell r="W246">
            <v>104030</v>
          </cell>
          <cell r="X246">
            <v>85482</v>
          </cell>
          <cell r="Y246">
            <v>208333</v>
          </cell>
          <cell r="Z246">
            <v>238585</v>
          </cell>
          <cell r="AA246">
            <v>267075</v>
          </cell>
          <cell r="AB246">
            <v>273348</v>
          </cell>
          <cell r="AC246">
            <v>251600</v>
          </cell>
          <cell r="AD246">
            <v>284906</v>
          </cell>
          <cell r="AE246">
            <v>0</v>
          </cell>
          <cell r="AF246">
            <v>0</v>
          </cell>
        </row>
        <row r="247">
          <cell r="G247">
            <v>3208</v>
          </cell>
          <cell r="H247" t="str">
            <v>Actual</v>
          </cell>
          <cell r="I247">
            <v>1131.07</v>
          </cell>
          <cell r="J247">
            <v>830.08</v>
          </cell>
          <cell r="K247">
            <v>2223.91</v>
          </cell>
          <cell r="L247">
            <v>1605.49</v>
          </cell>
          <cell r="M247">
            <v>1781.71</v>
          </cell>
          <cell r="N247">
            <v>1061.74</v>
          </cell>
          <cell r="O247">
            <v>373.16</v>
          </cell>
          <cell r="P247">
            <v>761.84</v>
          </cell>
          <cell r="Q247">
            <v>1084.2</v>
          </cell>
          <cell r="R247">
            <v>682.23</v>
          </cell>
          <cell r="S247">
            <v>442.06</v>
          </cell>
          <cell r="T247">
            <v>702.95</v>
          </cell>
          <cell r="U247">
            <v>429.78</v>
          </cell>
          <cell r="V247">
            <v>341.3</v>
          </cell>
          <cell r="W247">
            <v>1758.91</v>
          </cell>
          <cell r="X247">
            <v>1588.4</v>
          </cell>
          <cell r="Y247">
            <v>1673.81</v>
          </cell>
          <cell r="Z247">
            <v>940.42</v>
          </cell>
          <cell r="AA247">
            <v>775.76</v>
          </cell>
          <cell r="AB247">
            <v>1174.46</v>
          </cell>
          <cell r="AC247">
            <v>1353.91</v>
          </cell>
          <cell r="AD247">
            <v>1218.77</v>
          </cell>
          <cell r="AE247">
            <v>0</v>
          </cell>
          <cell r="AF247">
            <v>0</v>
          </cell>
        </row>
        <row r="248">
          <cell r="G248">
            <v>3209</v>
          </cell>
          <cell r="H248" t="str">
            <v>Target (Budget)</v>
          </cell>
          <cell r="I248">
            <v>788</v>
          </cell>
          <cell r="J248">
            <v>1013</v>
          </cell>
          <cell r="K248">
            <v>1126</v>
          </cell>
          <cell r="L248">
            <v>1126</v>
          </cell>
          <cell r="M248">
            <v>1126</v>
          </cell>
          <cell r="N248">
            <v>901</v>
          </cell>
          <cell r="O248">
            <v>901</v>
          </cell>
          <cell r="P248">
            <v>788</v>
          </cell>
          <cell r="Q248">
            <v>788</v>
          </cell>
          <cell r="R248">
            <v>901</v>
          </cell>
          <cell r="S248">
            <v>901</v>
          </cell>
          <cell r="T248">
            <v>902</v>
          </cell>
          <cell r="U248">
            <v>910</v>
          </cell>
          <cell r="V248">
            <v>1170</v>
          </cell>
          <cell r="W248">
            <v>1300</v>
          </cell>
          <cell r="X248">
            <v>1300</v>
          </cell>
          <cell r="Y248">
            <v>1300</v>
          </cell>
          <cell r="Z248">
            <v>1040</v>
          </cell>
          <cell r="AA248">
            <v>1040</v>
          </cell>
          <cell r="AB248">
            <v>910</v>
          </cell>
          <cell r="AC248">
            <v>910</v>
          </cell>
          <cell r="AD248">
            <v>1040</v>
          </cell>
          <cell r="AE248">
            <v>0</v>
          </cell>
          <cell r="AF248">
            <v>0</v>
          </cell>
        </row>
        <row r="249">
          <cell r="G249">
            <v>3212</v>
          </cell>
          <cell r="H249" t="str">
            <v>YTD Actual</v>
          </cell>
          <cell r="I249">
            <v>1131.07</v>
          </cell>
          <cell r="J249">
            <v>1961.15</v>
          </cell>
          <cell r="K249">
            <v>4185.0600000000004</v>
          </cell>
          <cell r="L249">
            <v>5790.55</v>
          </cell>
          <cell r="M249">
            <v>7572.26</v>
          </cell>
          <cell r="N249">
            <v>8634</v>
          </cell>
          <cell r="O249">
            <v>9007.16</v>
          </cell>
          <cell r="P249">
            <v>9769</v>
          </cell>
          <cell r="Q249">
            <v>10853.2</v>
          </cell>
          <cell r="R249">
            <v>11535.43</v>
          </cell>
          <cell r="S249">
            <v>11977.49</v>
          </cell>
          <cell r="T249">
            <v>12680.44</v>
          </cell>
          <cell r="U249">
            <v>429.78</v>
          </cell>
          <cell r="V249">
            <v>771.08</v>
          </cell>
          <cell r="W249">
            <v>2529.9899999999998</v>
          </cell>
          <cell r="X249">
            <v>4118.3900000000003</v>
          </cell>
          <cell r="Y249">
            <v>5792.2</v>
          </cell>
          <cell r="Z249">
            <v>6732.62</v>
          </cell>
          <cell r="AA249">
            <v>7508.38</v>
          </cell>
          <cell r="AB249">
            <v>8682.84</v>
          </cell>
          <cell r="AC249">
            <v>10036.75</v>
          </cell>
          <cell r="AD249">
            <v>11255.52</v>
          </cell>
          <cell r="AE249">
            <v>0</v>
          </cell>
          <cell r="AF249">
            <v>0</v>
          </cell>
        </row>
        <row r="250">
          <cell r="G250">
            <v>3213</v>
          </cell>
          <cell r="H250" t="str">
            <v>YTD Target (Budget)</v>
          </cell>
          <cell r="I250">
            <v>788</v>
          </cell>
          <cell r="J250">
            <v>1801</v>
          </cell>
          <cell r="K250">
            <v>2927</v>
          </cell>
          <cell r="L250">
            <v>4053</v>
          </cell>
          <cell r="M250">
            <v>5179</v>
          </cell>
          <cell r="N250">
            <v>6080</v>
          </cell>
          <cell r="O250">
            <v>6981</v>
          </cell>
          <cell r="P250">
            <v>7769</v>
          </cell>
          <cell r="Q250">
            <v>8557</v>
          </cell>
          <cell r="R250">
            <v>9458</v>
          </cell>
          <cell r="S250">
            <v>10359</v>
          </cell>
          <cell r="T250">
            <v>11261</v>
          </cell>
          <cell r="U250">
            <v>910</v>
          </cell>
          <cell r="V250">
            <v>2080</v>
          </cell>
          <cell r="W250">
            <v>3380</v>
          </cell>
          <cell r="X250">
            <v>4680</v>
          </cell>
          <cell r="Y250">
            <v>5980</v>
          </cell>
          <cell r="Z250">
            <v>7020</v>
          </cell>
          <cell r="AA250">
            <v>8060</v>
          </cell>
          <cell r="AB250">
            <v>8970</v>
          </cell>
          <cell r="AC250">
            <v>9880</v>
          </cell>
          <cell r="AD250">
            <v>10920</v>
          </cell>
          <cell r="AE250">
            <v>0</v>
          </cell>
          <cell r="AF250">
            <v>0</v>
          </cell>
        </row>
        <row r="251">
          <cell r="G251">
            <v>3019</v>
          </cell>
          <cell r="H251" t="str">
            <v>Actual</v>
          </cell>
          <cell r="I251">
            <v>14620.11</v>
          </cell>
          <cell r="J251">
            <v>23193.88</v>
          </cell>
          <cell r="K251">
            <v>20489.260000000002</v>
          </cell>
          <cell r="L251">
            <v>2292.88</v>
          </cell>
          <cell r="M251">
            <v>10378.85</v>
          </cell>
          <cell r="N251">
            <v>53983.25</v>
          </cell>
          <cell r="O251">
            <v>2464.87</v>
          </cell>
          <cell r="P251">
            <v>49728.39</v>
          </cell>
          <cell r="Q251">
            <v>16869.3</v>
          </cell>
          <cell r="R251">
            <v>19883</v>
          </cell>
          <cell r="S251">
            <v>22804.69</v>
          </cell>
          <cell r="T251">
            <v>25419.11</v>
          </cell>
          <cell r="U251">
            <v>9739.5499999999993</v>
          </cell>
          <cell r="V251">
            <v>37792.81</v>
          </cell>
          <cell r="W251">
            <v>11842.86</v>
          </cell>
          <cell r="X251">
            <v>29533.67</v>
          </cell>
          <cell r="Y251">
            <v>33007.769999999997</v>
          </cell>
          <cell r="Z251">
            <v>17021.54</v>
          </cell>
          <cell r="AA251">
            <v>22502.39</v>
          </cell>
          <cell r="AB251">
            <v>14452.83</v>
          </cell>
          <cell r="AC251">
            <v>10705.45</v>
          </cell>
          <cell r="AD251">
            <v>8442.7999999999993</v>
          </cell>
          <cell r="AE251">
            <v>0</v>
          </cell>
          <cell r="AF251">
            <v>0</v>
          </cell>
        </row>
        <row r="252">
          <cell r="G252">
            <v>3020</v>
          </cell>
          <cell r="H252" t="str">
            <v>Target (Budget)</v>
          </cell>
          <cell r="I252">
            <v>-15145</v>
          </cell>
          <cell r="J252">
            <v>15145</v>
          </cell>
          <cell r="K252">
            <v>13645</v>
          </cell>
          <cell r="L252">
            <v>12645</v>
          </cell>
          <cell r="M252">
            <v>12145</v>
          </cell>
          <cell r="N252">
            <v>12145</v>
          </cell>
          <cell r="O252">
            <v>12145</v>
          </cell>
          <cell r="P252">
            <v>12145</v>
          </cell>
          <cell r="Q252">
            <v>13145</v>
          </cell>
          <cell r="R252">
            <v>13445</v>
          </cell>
          <cell r="S252">
            <v>13445</v>
          </cell>
          <cell r="T252">
            <v>13744</v>
          </cell>
          <cell r="U252">
            <v>26591</v>
          </cell>
          <cell r="V252">
            <v>26591</v>
          </cell>
          <cell r="W252">
            <v>26591</v>
          </cell>
          <cell r="X252">
            <v>11500</v>
          </cell>
          <cell r="Y252">
            <v>1500</v>
          </cell>
          <cell r="Z252">
            <v>6500</v>
          </cell>
          <cell r="AA252">
            <v>40500</v>
          </cell>
          <cell r="AB252">
            <v>2000</v>
          </cell>
          <cell r="AC252">
            <v>1000</v>
          </cell>
          <cell r="AD252">
            <v>1500</v>
          </cell>
          <cell r="AE252">
            <v>0</v>
          </cell>
          <cell r="AF252">
            <v>0</v>
          </cell>
        </row>
        <row r="253">
          <cell r="G253">
            <v>3023</v>
          </cell>
          <cell r="H253" t="str">
            <v>YTD Actual</v>
          </cell>
          <cell r="I253">
            <v>14620.11</v>
          </cell>
          <cell r="J253">
            <v>37813.99</v>
          </cell>
          <cell r="K253">
            <v>58303.25</v>
          </cell>
          <cell r="L253">
            <v>60596.130000000005</v>
          </cell>
          <cell r="M253">
            <v>70974.98</v>
          </cell>
          <cell r="N253">
            <v>124958.23000000001</v>
          </cell>
          <cell r="O253">
            <v>127423.1</v>
          </cell>
          <cell r="P253">
            <v>177151.49</v>
          </cell>
          <cell r="Q253">
            <v>194020.79</v>
          </cell>
          <cell r="R253">
            <v>213903.78999999998</v>
          </cell>
          <cell r="S253">
            <v>236708.47999999998</v>
          </cell>
          <cell r="T253">
            <v>262127.58999999997</v>
          </cell>
          <cell r="U253">
            <v>9739.5499999999993</v>
          </cell>
          <cell r="V253">
            <v>47532.36</v>
          </cell>
          <cell r="W253">
            <v>59375.22</v>
          </cell>
          <cell r="X253">
            <v>50006.079999999994</v>
          </cell>
          <cell r="Y253">
            <v>83013.850000000006</v>
          </cell>
          <cell r="Z253">
            <v>100035.39</v>
          </cell>
          <cell r="AA253">
            <v>122537.78000000001</v>
          </cell>
          <cell r="AB253">
            <v>136990.61000000002</v>
          </cell>
          <cell r="AC253">
            <v>147696.06</v>
          </cell>
          <cell r="AD253">
            <v>156138.86000000002</v>
          </cell>
          <cell r="AE253">
            <v>0</v>
          </cell>
          <cell r="AF253">
            <v>0</v>
          </cell>
        </row>
        <row r="254">
          <cell r="G254">
            <v>3024</v>
          </cell>
          <cell r="H254" t="str">
            <v>YTD Target (Budget)</v>
          </cell>
          <cell r="I254">
            <v>-15145</v>
          </cell>
          <cell r="J254">
            <v>30290</v>
          </cell>
          <cell r="K254">
            <v>43935</v>
          </cell>
          <cell r="L254">
            <v>56580</v>
          </cell>
          <cell r="M254">
            <v>68725</v>
          </cell>
          <cell r="N254">
            <v>80870</v>
          </cell>
          <cell r="O254">
            <v>93015</v>
          </cell>
          <cell r="P254">
            <v>105160</v>
          </cell>
          <cell r="Q254">
            <v>118305</v>
          </cell>
          <cell r="R254">
            <v>131750</v>
          </cell>
          <cell r="S254">
            <v>145195</v>
          </cell>
          <cell r="T254">
            <v>158939</v>
          </cell>
          <cell r="U254">
            <v>26591</v>
          </cell>
          <cell r="V254">
            <v>53182</v>
          </cell>
          <cell r="W254">
            <v>79773</v>
          </cell>
          <cell r="X254">
            <v>35893</v>
          </cell>
          <cell r="Y254">
            <v>37393</v>
          </cell>
          <cell r="Z254">
            <v>43893</v>
          </cell>
          <cell r="AA254">
            <v>84393</v>
          </cell>
          <cell r="AB254">
            <v>86393</v>
          </cell>
          <cell r="AC254">
            <v>87393</v>
          </cell>
          <cell r="AD254">
            <v>88893</v>
          </cell>
          <cell r="AE254">
            <v>0</v>
          </cell>
          <cell r="AF254">
            <v>0</v>
          </cell>
        </row>
        <row r="255">
          <cell r="G255">
            <v>775</v>
          </cell>
          <cell r="H255" t="str">
            <v>Actual</v>
          </cell>
          <cell r="I255">
            <v>23704.45</v>
          </cell>
          <cell r="J255">
            <v>42213.700000000004</v>
          </cell>
          <cell r="K255">
            <v>59767.57</v>
          </cell>
          <cell r="L255">
            <v>30065.620000000003</v>
          </cell>
          <cell r="M255">
            <v>48042.09</v>
          </cell>
          <cell r="N255">
            <v>45359.109999999993</v>
          </cell>
          <cell r="O255">
            <v>38248.890000000007</v>
          </cell>
          <cell r="P255">
            <v>40264.22</v>
          </cell>
          <cell r="Q255">
            <v>59797.919999999998</v>
          </cell>
          <cell r="R255">
            <v>18622.919999999998</v>
          </cell>
          <cell r="S255">
            <v>78718.73</v>
          </cell>
          <cell r="T255">
            <v>66284.69</v>
          </cell>
          <cell r="U255">
            <v>12240.83</v>
          </cell>
          <cell r="V255">
            <v>53244.61</v>
          </cell>
          <cell r="W255">
            <v>61318.409999999989</v>
          </cell>
          <cell r="X255">
            <v>39552.17</v>
          </cell>
          <cell r="Y255">
            <v>31821.75</v>
          </cell>
          <cell r="Z255">
            <v>30460.98</v>
          </cell>
          <cell r="AA255">
            <v>21014.07</v>
          </cell>
          <cell r="AB255">
            <v>20823.809999999998</v>
          </cell>
          <cell r="AC255">
            <v>28451.45</v>
          </cell>
          <cell r="AD255">
            <v>9540.6500000000015</v>
          </cell>
          <cell r="AE255">
            <v>0</v>
          </cell>
          <cell r="AF255">
            <v>0</v>
          </cell>
        </row>
        <row r="256">
          <cell r="G256">
            <v>776</v>
          </cell>
          <cell r="H256" t="str">
            <v>Target (Budget)</v>
          </cell>
          <cell r="I256">
            <v>42494.75</v>
          </cell>
          <cell r="J256">
            <v>41276.75</v>
          </cell>
          <cell r="K256">
            <v>66404.75</v>
          </cell>
          <cell r="L256">
            <v>43286.75</v>
          </cell>
          <cell r="M256">
            <v>47758.75</v>
          </cell>
          <cell r="N256">
            <v>41670.75</v>
          </cell>
          <cell r="O256">
            <v>41856.75</v>
          </cell>
          <cell r="P256">
            <v>42995.75</v>
          </cell>
          <cell r="Q256">
            <v>60870.75</v>
          </cell>
          <cell r="R256">
            <v>41761.75</v>
          </cell>
          <cell r="S256">
            <v>42042.75</v>
          </cell>
          <cell r="T256">
            <v>44954.75</v>
          </cell>
          <cell r="U256">
            <v>50182</v>
          </cell>
          <cell r="V256">
            <v>48848</v>
          </cell>
          <cell r="W256">
            <v>69304</v>
          </cell>
          <cell r="X256">
            <v>39030</v>
          </cell>
          <cell r="Y256">
            <v>35290</v>
          </cell>
          <cell r="Z256">
            <v>24631</v>
          </cell>
          <cell r="AA256">
            <v>21492</v>
          </cell>
          <cell r="AB256">
            <v>19970</v>
          </cell>
          <cell r="AC256">
            <v>16767</v>
          </cell>
          <cell r="AD256">
            <v>15507</v>
          </cell>
          <cell r="AE256">
            <v>0</v>
          </cell>
          <cell r="AF256">
            <v>0</v>
          </cell>
        </row>
        <row r="257">
          <cell r="G257">
            <v>779</v>
          </cell>
          <cell r="H257" t="str">
            <v>YTD Actual</v>
          </cell>
          <cell r="I257">
            <v>23704.45</v>
          </cell>
          <cell r="J257">
            <v>65918.149999999994</v>
          </cell>
          <cell r="K257">
            <v>125685.72</v>
          </cell>
          <cell r="L257">
            <v>155751.34</v>
          </cell>
          <cell r="M257">
            <v>203793.43</v>
          </cell>
          <cell r="N257">
            <v>249152.53999999998</v>
          </cell>
          <cell r="O257">
            <v>287401.43</v>
          </cell>
          <cell r="P257">
            <v>327665.65000000002</v>
          </cell>
          <cell r="Q257">
            <v>387463.57</v>
          </cell>
          <cell r="R257">
            <v>406086.49</v>
          </cell>
          <cell r="S257">
            <v>484805.22000000003</v>
          </cell>
          <cell r="T257">
            <v>551089.90999999992</v>
          </cell>
          <cell r="U257">
            <v>12240.83</v>
          </cell>
          <cell r="V257">
            <v>65485.440000000002</v>
          </cell>
          <cell r="W257">
            <v>126803.85</v>
          </cell>
          <cell r="X257">
            <v>167035.53</v>
          </cell>
          <cell r="Y257">
            <v>198857.28</v>
          </cell>
          <cell r="Z257">
            <v>229318.26</v>
          </cell>
          <cell r="AA257">
            <v>250332.33000000002</v>
          </cell>
          <cell r="AB257">
            <v>271156.14</v>
          </cell>
          <cell r="AC257">
            <v>299607.58999999997</v>
          </cell>
          <cell r="AD257">
            <v>309148.24</v>
          </cell>
          <cell r="AE257">
            <v>0</v>
          </cell>
          <cell r="AF257">
            <v>0</v>
          </cell>
        </row>
        <row r="258">
          <cell r="G258">
            <v>780</v>
          </cell>
          <cell r="H258" t="str">
            <v>YTD Target (Budget)</v>
          </cell>
          <cell r="I258">
            <v>42494.75</v>
          </cell>
          <cell r="J258">
            <v>83771.5</v>
          </cell>
          <cell r="K258">
            <v>150176.25</v>
          </cell>
          <cell r="L258">
            <v>193463</v>
          </cell>
          <cell r="M258">
            <v>241221.75</v>
          </cell>
          <cell r="N258">
            <v>282892.5</v>
          </cell>
          <cell r="O258">
            <v>324749.25</v>
          </cell>
          <cell r="P258">
            <v>367745</v>
          </cell>
          <cell r="Q258">
            <v>428615.75</v>
          </cell>
          <cell r="R258">
            <v>470377.5</v>
          </cell>
          <cell r="S258">
            <v>512420.25</v>
          </cell>
          <cell r="T258">
            <v>557375</v>
          </cell>
          <cell r="U258">
            <v>50182</v>
          </cell>
          <cell r="V258">
            <v>99030</v>
          </cell>
          <cell r="W258">
            <v>168334</v>
          </cell>
          <cell r="X258">
            <v>165906</v>
          </cell>
          <cell r="Y258">
            <v>201196</v>
          </cell>
          <cell r="Z258">
            <v>225827</v>
          </cell>
          <cell r="AA258">
            <v>247319</v>
          </cell>
          <cell r="AB258">
            <v>267289</v>
          </cell>
          <cell r="AC258">
            <v>284056</v>
          </cell>
          <cell r="AD258">
            <v>299563</v>
          </cell>
          <cell r="AE258">
            <v>0</v>
          </cell>
          <cell r="AF258">
            <v>0</v>
          </cell>
        </row>
        <row r="259">
          <cell r="G259">
            <v>3127</v>
          </cell>
          <cell r="H259" t="str">
            <v>Empl_Benefits</v>
          </cell>
          <cell r="I259">
            <v>4526.9100000000008</v>
          </cell>
          <cell r="J259">
            <v>12622</v>
          </cell>
          <cell r="K259">
            <v>17731.280000000002</v>
          </cell>
          <cell r="L259">
            <v>9358.130000000001</v>
          </cell>
          <cell r="M259">
            <v>12100.460000000001</v>
          </cell>
          <cell r="N259">
            <v>11552.039999999999</v>
          </cell>
          <cell r="O259">
            <v>11436.890000000001</v>
          </cell>
          <cell r="P259">
            <v>11458</v>
          </cell>
          <cell r="Q259">
            <v>17421.789999999997</v>
          </cell>
          <cell r="R259">
            <v>11580.74</v>
          </cell>
          <cell r="S259">
            <v>11621.12</v>
          </cell>
          <cell r="T259">
            <v>20172.93</v>
          </cell>
          <cell r="U259">
            <v>3218.6600000000003</v>
          </cell>
          <cell r="V259">
            <v>11085.81</v>
          </cell>
          <cell r="W259">
            <v>10490.169999999998</v>
          </cell>
          <cell r="X259">
            <v>5228.0599999999995</v>
          </cell>
          <cell r="Y259">
            <v>5147.3</v>
          </cell>
          <cell r="Z259">
            <v>5194.03</v>
          </cell>
          <cell r="AA259">
            <v>4030.98</v>
          </cell>
          <cell r="AB259">
            <v>2513.9499999999998</v>
          </cell>
          <cell r="AC259">
            <v>2404.9299999999998</v>
          </cell>
          <cell r="AD259">
            <v>939.25999999999988</v>
          </cell>
          <cell r="AE259">
            <v>0</v>
          </cell>
          <cell r="AF259">
            <v>0</v>
          </cell>
        </row>
        <row r="260">
          <cell r="G260">
            <v>3128</v>
          </cell>
          <cell r="H260" t="str">
            <v>Total Personnel</v>
          </cell>
          <cell r="I260">
            <v>20340</v>
          </cell>
          <cell r="J260">
            <v>38733.22</v>
          </cell>
          <cell r="K260">
            <v>55664.5</v>
          </cell>
          <cell r="L260">
            <v>27731.58</v>
          </cell>
          <cell r="M260">
            <v>46671.729999999996</v>
          </cell>
          <cell r="N260">
            <v>39161.799999999996</v>
          </cell>
          <cell r="O260">
            <v>37424.230000000003</v>
          </cell>
          <cell r="P260">
            <v>37282.85</v>
          </cell>
          <cell r="Q260">
            <v>57863.72</v>
          </cell>
          <cell r="R260">
            <v>38574.1</v>
          </cell>
          <cell r="S260">
            <v>38976.1</v>
          </cell>
          <cell r="T260">
            <v>63454.12</v>
          </cell>
          <cell r="U260">
            <v>11442.83</v>
          </cell>
          <cell r="V260">
            <v>36795</v>
          </cell>
          <cell r="W260">
            <v>36970.729999999996</v>
          </cell>
          <cell r="X260">
            <v>18396.739999999998</v>
          </cell>
          <cell r="Y260">
            <v>17980.740000000002</v>
          </cell>
          <cell r="Z260">
            <v>19813.14</v>
          </cell>
          <cell r="AA260">
            <v>13782.25</v>
          </cell>
          <cell r="AB260">
            <v>9763.9599999999991</v>
          </cell>
          <cell r="AC260">
            <v>23124.54</v>
          </cell>
          <cell r="AD260">
            <v>4819.16</v>
          </cell>
          <cell r="AE260">
            <v>0</v>
          </cell>
          <cell r="AF260">
            <v>0</v>
          </cell>
        </row>
        <row r="261">
          <cell r="G261">
            <v>3129</v>
          </cell>
          <cell r="H261" t="str">
            <v>Target Empl_Benefits</v>
          </cell>
          <cell r="I261">
            <v>12020</v>
          </cell>
          <cell r="J261">
            <v>11850</v>
          </cell>
          <cell r="K261">
            <v>17161</v>
          </cell>
          <cell r="L261">
            <v>11432</v>
          </cell>
          <cell r="M261">
            <v>11441</v>
          </cell>
          <cell r="N261">
            <v>11414</v>
          </cell>
          <cell r="O261">
            <v>11439</v>
          </cell>
          <cell r="P261">
            <v>11452</v>
          </cell>
          <cell r="Q261">
            <v>17211</v>
          </cell>
          <cell r="R261">
            <v>11426</v>
          </cell>
          <cell r="S261">
            <v>11465</v>
          </cell>
          <cell r="T261">
            <v>11569</v>
          </cell>
          <cell r="U261">
            <v>11561</v>
          </cell>
          <cell r="V261">
            <v>11535</v>
          </cell>
          <cell r="W261">
            <v>17426</v>
          </cell>
          <cell r="X261">
            <v>7837</v>
          </cell>
          <cell r="Y261">
            <v>7811</v>
          </cell>
          <cell r="Z261">
            <v>6339</v>
          </cell>
          <cell r="AA261">
            <v>5360</v>
          </cell>
          <cell r="AB261">
            <v>4651</v>
          </cell>
          <cell r="AC261">
            <v>3415</v>
          </cell>
          <cell r="AD261">
            <v>3208</v>
          </cell>
          <cell r="AE261">
            <v>0</v>
          </cell>
          <cell r="AF261">
            <v>0</v>
          </cell>
        </row>
        <row r="262">
          <cell r="G262">
            <v>3130</v>
          </cell>
          <cell r="H262" t="str">
            <v>Target Total Personnel</v>
          </cell>
          <cell r="I262">
            <v>38608</v>
          </cell>
          <cell r="J262">
            <v>37390</v>
          </cell>
          <cell r="K262">
            <v>56618</v>
          </cell>
          <cell r="L262">
            <v>37910</v>
          </cell>
          <cell r="M262">
            <v>37972</v>
          </cell>
          <cell r="N262">
            <v>37784</v>
          </cell>
          <cell r="O262">
            <v>37970</v>
          </cell>
          <cell r="P262">
            <v>38064</v>
          </cell>
          <cell r="Q262">
            <v>56985</v>
          </cell>
          <cell r="R262">
            <v>37876</v>
          </cell>
          <cell r="S262">
            <v>38154</v>
          </cell>
          <cell r="T262">
            <v>38903</v>
          </cell>
          <cell r="U262">
            <v>36725</v>
          </cell>
          <cell r="V262">
            <v>36549</v>
          </cell>
          <cell r="W262">
            <v>57186</v>
          </cell>
          <cell r="X262">
            <v>22524</v>
          </cell>
          <cell r="Y262">
            <v>21534</v>
          </cell>
          <cell r="Z262">
            <v>17663</v>
          </cell>
          <cell r="AA262">
            <v>13798</v>
          </cell>
          <cell r="AB262">
            <v>12915</v>
          </cell>
          <cell r="AC262">
            <v>8785</v>
          </cell>
          <cell r="AD262">
            <v>8230</v>
          </cell>
          <cell r="AE262">
            <v>0</v>
          </cell>
          <cell r="AF262">
            <v>0</v>
          </cell>
        </row>
        <row r="263">
          <cell r="G263">
            <v>3131</v>
          </cell>
          <cell r="H263" t="str">
            <v>YTD Empl_Benefits</v>
          </cell>
          <cell r="I263">
            <v>4526.9100000000008</v>
          </cell>
          <cell r="J263">
            <v>17148.910000000003</v>
          </cell>
          <cell r="K263">
            <v>34880.189999999995</v>
          </cell>
          <cell r="L263">
            <v>44238.32</v>
          </cell>
          <cell r="M263">
            <v>56338.780000000006</v>
          </cell>
          <cell r="N263">
            <v>67890.820000000007</v>
          </cell>
          <cell r="O263">
            <v>79327.710000000006</v>
          </cell>
          <cell r="P263">
            <v>90785.710000000021</v>
          </cell>
          <cell r="Q263">
            <v>108207.5</v>
          </cell>
          <cell r="R263">
            <v>119788.24</v>
          </cell>
          <cell r="S263">
            <v>131409.35999999999</v>
          </cell>
          <cell r="T263">
            <v>151582.28999999995</v>
          </cell>
          <cell r="U263">
            <v>3218.6600000000003</v>
          </cell>
          <cell r="V263">
            <v>14304.47</v>
          </cell>
          <cell r="W263">
            <v>24794.640000000003</v>
          </cell>
          <cell r="X263">
            <v>30022.7</v>
          </cell>
          <cell r="Y263">
            <v>35170.000000000007</v>
          </cell>
          <cell r="Z263">
            <v>40364.029999999992</v>
          </cell>
          <cell r="AA263">
            <v>44395.009999999995</v>
          </cell>
          <cell r="AB263">
            <v>46908.959999999999</v>
          </cell>
          <cell r="AC263">
            <v>49313.89</v>
          </cell>
          <cell r="AD263">
            <v>50253.15</v>
          </cell>
          <cell r="AE263">
            <v>0</v>
          </cell>
          <cell r="AF263">
            <v>0</v>
          </cell>
        </row>
        <row r="264">
          <cell r="G264">
            <v>3132</v>
          </cell>
          <cell r="H264" t="str">
            <v>YTD Total Personnel</v>
          </cell>
          <cell r="I264">
            <v>20340</v>
          </cell>
          <cell r="J264">
            <v>59073.22</v>
          </cell>
          <cell r="K264">
            <v>114737.72</v>
          </cell>
          <cell r="L264">
            <v>142469.29999999999</v>
          </cell>
          <cell r="M264">
            <v>189141.03</v>
          </cell>
          <cell r="N264">
            <v>228302.83</v>
          </cell>
          <cell r="O264">
            <v>265727.06</v>
          </cell>
          <cell r="P264">
            <v>303009.91000000003</v>
          </cell>
          <cell r="Q264">
            <v>360873.63</v>
          </cell>
          <cell r="R264">
            <v>399447.73</v>
          </cell>
          <cell r="S264">
            <v>438423.83</v>
          </cell>
          <cell r="T264">
            <v>501877.94999999995</v>
          </cell>
          <cell r="U264">
            <v>11442.83</v>
          </cell>
          <cell r="V264">
            <v>48237.83</v>
          </cell>
          <cell r="W264">
            <v>85208.56</v>
          </cell>
          <cell r="X264">
            <v>103605.3</v>
          </cell>
          <cell r="Y264">
            <v>121586.04000000001</v>
          </cell>
          <cell r="Z264">
            <v>141399.18</v>
          </cell>
          <cell r="AA264">
            <v>155181.43</v>
          </cell>
          <cell r="AB264">
            <v>164945.39000000001</v>
          </cell>
          <cell r="AC264">
            <v>188069.93</v>
          </cell>
          <cell r="AD264">
            <v>192889.09</v>
          </cell>
          <cell r="AE264">
            <v>0</v>
          </cell>
          <cell r="AF264">
            <v>0</v>
          </cell>
        </row>
        <row r="265">
          <cell r="G265">
            <v>3134</v>
          </cell>
          <cell r="H265" t="str">
            <v>YTD Target Empl_Benefits</v>
          </cell>
          <cell r="I265">
            <v>12020</v>
          </cell>
          <cell r="J265">
            <v>23870</v>
          </cell>
          <cell r="K265">
            <v>41031</v>
          </cell>
          <cell r="L265">
            <v>52463</v>
          </cell>
          <cell r="M265">
            <v>63904</v>
          </cell>
          <cell r="N265">
            <v>75318</v>
          </cell>
          <cell r="O265">
            <v>86757</v>
          </cell>
          <cell r="P265">
            <v>98209</v>
          </cell>
          <cell r="Q265">
            <v>115420</v>
          </cell>
          <cell r="R265">
            <v>126846</v>
          </cell>
          <cell r="S265">
            <v>138311</v>
          </cell>
          <cell r="T265">
            <v>149880</v>
          </cell>
          <cell r="U265">
            <v>11561</v>
          </cell>
          <cell r="V265">
            <v>23096</v>
          </cell>
          <cell r="W265">
            <v>40522</v>
          </cell>
          <cell r="X265">
            <v>29684</v>
          </cell>
          <cell r="Y265">
            <v>37495</v>
          </cell>
          <cell r="Z265">
            <v>43834</v>
          </cell>
          <cell r="AA265">
            <v>49194</v>
          </cell>
          <cell r="AB265">
            <v>53845</v>
          </cell>
          <cell r="AC265">
            <v>57260</v>
          </cell>
          <cell r="AD265">
            <v>60468</v>
          </cell>
          <cell r="AE265">
            <v>0</v>
          </cell>
          <cell r="AF265">
            <v>0</v>
          </cell>
        </row>
        <row r="266">
          <cell r="G266">
            <v>3135</v>
          </cell>
          <cell r="H266" t="str">
            <v>YTD Target Total Personnel</v>
          </cell>
          <cell r="I266">
            <v>38608</v>
          </cell>
          <cell r="J266">
            <v>75998</v>
          </cell>
          <cell r="K266">
            <v>132616</v>
          </cell>
          <cell r="L266">
            <v>170526</v>
          </cell>
          <cell r="M266">
            <v>208498</v>
          </cell>
          <cell r="N266">
            <v>246282</v>
          </cell>
          <cell r="O266">
            <v>284252</v>
          </cell>
          <cell r="P266">
            <v>322316</v>
          </cell>
          <cell r="Q266">
            <v>379301</v>
          </cell>
          <cell r="R266">
            <v>417177</v>
          </cell>
          <cell r="S266">
            <v>455331</v>
          </cell>
          <cell r="T266">
            <v>494234</v>
          </cell>
          <cell r="U266">
            <v>36725</v>
          </cell>
          <cell r="V266">
            <v>73274</v>
          </cell>
          <cell r="W266">
            <v>130460</v>
          </cell>
          <cell r="X266">
            <v>101333</v>
          </cell>
          <cell r="Y266">
            <v>122867</v>
          </cell>
          <cell r="Z266">
            <v>140530</v>
          </cell>
          <cell r="AA266">
            <v>154328</v>
          </cell>
          <cell r="AB266">
            <v>167243</v>
          </cell>
          <cell r="AC266">
            <v>176028</v>
          </cell>
          <cell r="AD266">
            <v>184258</v>
          </cell>
          <cell r="AE266">
            <v>0</v>
          </cell>
          <cell r="AF266">
            <v>0</v>
          </cell>
        </row>
        <row r="267">
          <cell r="G267">
            <v>788</v>
          </cell>
          <cell r="H267" t="str">
            <v>Actual</v>
          </cell>
          <cell r="I267">
            <v>-9084.34</v>
          </cell>
          <cell r="J267">
            <v>-19019.820000000003</v>
          </cell>
          <cell r="K267">
            <v>-39278.31</v>
          </cell>
          <cell r="L267">
            <v>-27772.74</v>
          </cell>
          <cell r="M267">
            <v>-37663.24</v>
          </cell>
          <cell r="N267">
            <v>8624.1400000000067</v>
          </cell>
          <cell r="O267">
            <v>-35784.020000000004</v>
          </cell>
          <cell r="P267">
            <v>9464.1699999999983</v>
          </cell>
          <cell r="Q267">
            <v>-42928.619999999995</v>
          </cell>
          <cell r="R267">
            <v>1260.0800000000017</v>
          </cell>
          <cell r="S267">
            <v>-55914.039999999994</v>
          </cell>
          <cell r="T267">
            <v>-40865.58</v>
          </cell>
          <cell r="U267">
            <v>-2501.2800000000007</v>
          </cell>
          <cell r="V267">
            <v>-15451.800000000003</v>
          </cell>
          <cell r="W267">
            <v>-49475.549999999988</v>
          </cell>
          <cell r="X267">
            <v>-10018.5</v>
          </cell>
          <cell r="Y267">
            <v>1186.0199999999968</v>
          </cell>
          <cell r="Z267">
            <v>-13439.439999999999</v>
          </cell>
          <cell r="AA267">
            <v>1488.3199999999997</v>
          </cell>
          <cell r="AB267">
            <v>-6370.9799999999977</v>
          </cell>
          <cell r="AC267">
            <v>-17746</v>
          </cell>
          <cell r="AD267">
            <v>-1097.8500000000022</v>
          </cell>
          <cell r="AE267">
            <v>0</v>
          </cell>
          <cell r="AF267">
            <v>0</v>
          </cell>
        </row>
        <row r="268">
          <cell r="G268">
            <v>789</v>
          </cell>
          <cell r="H268" t="str">
            <v>Target (Budget)</v>
          </cell>
          <cell r="I268">
            <v>-57639.75</v>
          </cell>
          <cell r="J268">
            <v>-26131.75</v>
          </cell>
          <cell r="K268">
            <v>-52759.75</v>
          </cell>
          <cell r="L268">
            <v>-30641.75</v>
          </cell>
          <cell r="M268">
            <v>-35613.75</v>
          </cell>
          <cell r="N268">
            <v>-29525.75</v>
          </cell>
          <cell r="O268">
            <v>-29711.75</v>
          </cell>
          <cell r="P268">
            <v>-30850.75</v>
          </cell>
          <cell r="Q268">
            <v>-47725.75</v>
          </cell>
          <cell r="R268">
            <v>-28316.75</v>
          </cell>
          <cell r="S268">
            <v>-28597.75</v>
          </cell>
          <cell r="T268">
            <v>-31210.75</v>
          </cell>
          <cell r="U268">
            <v>-23591</v>
          </cell>
          <cell r="V268">
            <v>-22257</v>
          </cell>
          <cell r="W268">
            <v>-42713</v>
          </cell>
          <cell r="X268">
            <v>-27530</v>
          </cell>
          <cell r="Y268">
            <v>-33790</v>
          </cell>
          <cell r="Z268">
            <v>-18131</v>
          </cell>
          <cell r="AA268">
            <v>19008</v>
          </cell>
          <cell r="AB268">
            <v>-17970</v>
          </cell>
          <cell r="AC268">
            <v>-15767</v>
          </cell>
          <cell r="AD268">
            <v>-14007</v>
          </cell>
          <cell r="AE268">
            <v>0</v>
          </cell>
          <cell r="AF268">
            <v>0</v>
          </cell>
        </row>
        <row r="269">
          <cell r="G269">
            <v>792</v>
          </cell>
          <cell r="H269" t="str">
            <v>YTD Actual</v>
          </cell>
          <cell r="I269">
            <v>-9084.34</v>
          </cell>
          <cell r="J269">
            <v>-28104.159999999996</v>
          </cell>
          <cell r="K269">
            <v>-67382.47</v>
          </cell>
          <cell r="L269">
            <v>-95155.209999999992</v>
          </cell>
          <cell r="M269">
            <v>-132818.45000000001</v>
          </cell>
          <cell r="N269">
            <v>-124194.30999999997</v>
          </cell>
          <cell r="O269">
            <v>-159978.32999999999</v>
          </cell>
          <cell r="P269">
            <v>-150514.16000000003</v>
          </cell>
          <cell r="Q269">
            <v>-193442.78</v>
          </cell>
          <cell r="R269">
            <v>-192182.7</v>
          </cell>
          <cell r="S269">
            <v>-248096.74000000005</v>
          </cell>
          <cell r="T269">
            <v>-288962.31999999995</v>
          </cell>
          <cell r="U269">
            <v>-2501.2800000000007</v>
          </cell>
          <cell r="V269">
            <v>-17953.080000000002</v>
          </cell>
          <cell r="W269">
            <v>-67428.63</v>
          </cell>
          <cell r="X269">
            <v>-117029.45000000001</v>
          </cell>
          <cell r="Y269">
            <v>-115843.43</v>
          </cell>
          <cell r="Z269">
            <v>-129282.87000000001</v>
          </cell>
          <cell r="AA269">
            <v>-127794.55</v>
          </cell>
          <cell r="AB269">
            <v>-134165.53</v>
          </cell>
          <cell r="AC269">
            <v>-151911.52999999997</v>
          </cell>
          <cell r="AD269">
            <v>-153009.37999999998</v>
          </cell>
          <cell r="AE269">
            <v>0</v>
          </cell>
          <cell r="AF269">
            <v>0</v>
          </cell>
        </row>
        <row r="270">
          <cell r="G270">
            <v>793</v>
          </cell>
          <cell r="H270" t="str">
            <v>YTD Target (Budget)</v>
          </cell>
          <cell r="I270">
            <v>-57639.75</v>
          </cell>
          <cell r="J270">
            <v>-53481.5</v>
          </cell>
          <cell r="K270">
            <v>-106241.25</v>
          </cell>
          <cell r="L270">
            <v>-136883</v>
          </cell>
          <cell r="M270">
            <v>-172496.75</v>
          </cell>
          <cell r="N270">
            <v>-202022.5</v>
          </cell>
          <cell r="O270">
            <v>-231734.25</v>
          </cell>
          <cell r="P270">
            <v>-262585</v>
          </cell>
          <cell r="Q270">
            <v>-310310.75</v>
          </cell>
          <cell r="R270">
            <v>-338627.5</v>
          </cell>
          <cell r="S270">
            <v>-367225.25</v>
          </cell>
          <cell r="T270">
            <v>-398436</v>
          </cell>
          <cell r="U270">
            <v>-23591</v>
          </cell>
          <cell r="V270">
            <v>-45848</v>
          </cell>
          <cell r="W270">
            <v>-88561</v>
          </cell>
          <cell r="X270">
            <v>-130013</v>
          </cell>
          <cell r="Y270">
            <v>-163803</v>
          </cell>
          <cell r="Z270">
            <v>-181934</v>
          </cell>
          <cell r="AA270">
            <v>-162926</v>
          </cell>
          <cell r="AB270">
            <v>-180896</v>
          </cell>
          <cell r="AC270">
            <v>-196663</v>
          </cell>
          <cell r="AD270">
            <v>-210670</v>
          </cell>
          <cell r="AE270">
            <v>0</v>
          </cell>
          <cell r="AF270">
            <v>0</v>
          </cell>
        </row>
        <row r="271">
          <cell r="G271">
            <v>801</v>
          </cell>
          <cell r="H271" t="str">
            <v>Actual</v>
          </cell>
          <cell r="I271">
            <v>-10321.99</v>
          </cell>
          <cell r="J271">
            <v>-20257.920000000002</v>
          </cell>
          <cell r="K271">
            <v>-40476.04</v>
          </cell>
          <cell r="L271">
            <v>-29010.390000000003</v>
          </cell>
          <cell r="M271">
            <v>-38860.97</v>
          </cell>
          <cell r="N271">
            <v>7386.4900000000071</v>
          </cell>
          <cell r="O271">
            <v>-37021.670000000006</v>
          </cell>
          <cell r="P271">
            <v>8346.2899999999972</v>
          </cell>
          <cell r="Q271">
            <v>-44409.689999999995</v>
          </cell>
          <cell r="R271">
            <v>-1518.2699999999982</v>
          </cell>
          <cell r="S271">
            <v>-29589.939999999995</v>
          </cell>
          <cell r="T271">
            <v>235734.21</v>
          </cell>
          <cell r="U271">
            <v>-5286.2300000000005</v>
          </cell>
          <cell r="V271">
            <v>-16567.440000000002</v>
          </cell>
          <cell r="W271">
            <v>-51381.989999999991</v>
          </cell>
          <cell r="X271">
            <v>-11342.77</v>
          </cell>
          <cell r="Y271">
            <v>216.86999999999682</v>
          </cell>
          <cell r="Z271">
            <v>-14194.039999999999</v>
          </cell>
          <cell r="AA271">
            <v>733.71999999999969</v>
          </cell>
          <cell r="AB271">
            <v>-7052.5599999999977</v>
          </cell>
          <cell r="AC271">
            <v>-18500.599999999999</v>
          </cell>
          <cell r="AD271">
            <v>-1828.1100000000022</v>
          </cell>
          <cell r="AE271">
            <v>0</v>
          </cell>
          <cell r="AF271">
            <v>0</v>
          </cell>
        </row>
        <row r="272">
          <cell r="G272">
            <v>802</v>
          </cell>
          <cell r="H272" t="str">
            <v>Target (Budget)</v>
          </cell>
          <cell r="I272">
            <v>-59300.75</v>
          </cell>
          <cell r="J272">
            <v>-27792.75</v>
          </cell>
          <cell r="K272">
            <v>-54420.75</v>
          </cell>
          <cell r="L272">
            <v>-32302.75</v>
          </cell>
          <cell r="M272">
            <v>-37274.75</v>
          </cell>
          <cell r="N272">
            <v>-31186.75</v>
          </cell>
          <cell r="O272">
            <v>-31372.75</v>
          </cell>
          <cell r="P272">
            <v>-32511.75</v>
          </cell>
          <cell r="Q272">
            <v>-49386.75</v>
          </cell>
          <cell r="R272">
            <v>-29977.75</v>
          </cell>
          <cell r="S272">
            <v>-30258.75</v>
          </cell>
          <cell r="T272">
            <v>385496.25</v>
          </cell>
          <cell r="U272">
            <v>-25384</v>
          </cell>
          <cell r="V272">
            <v>-24050</v>
          </cell>
          <cell r="W272">
            <v>-44506</v>
          </cell>
          <cell r="X272">
            <v>-28509</v>
          </cell>
          <cell r="Y272">
            <v>-34530</v>
          </cell>
          <cell r="Z272">
            <v>-18871</v>
          </cell>
          <cell r="AA272">
            <v>18268</v>
          </cell>
          <cell r="AB272">
            <v>-18710</v>
          </cell>
          <cell r="AC272">
            <v>-16507</v>
          </cell>
          <cell r="AD272">
            <v>-14747</v>
          </cell>
          <cell r="AE272">
            <v>0</v>
          </cell>
          <cell r="AF272">
            <v>0</v>
          </cell>
        </row>
        <row r="273">
          <cell r="G273">
            <v>805</v>
          </cell>
          <cell r="H273" t="str">
            <v>YTD Actual</v>
          </cell>
          <cell r="I273">
            <v>-10321.99</v>
          </cell>
          <cell r="J273">
            <v>-30579.909999999996</v>
          </cell>
          <cell r="K273">
            <v>-71055.95</v>
          </cell>
          <cell r="L273">
            <v>-100066.34</v>
          </cell>
          <cell r="M273">
            <v>-138927.31</v>
          </cell>
          <cell r="N273">
            <v>-131540.81999999998</v>
          </cell>
          <cell r="O273">
            <v>-168562.49</v>
          </cell>
          <cell r="P273">
            <v>-160216.20000000004</v>
          </cell>
          <cell r="Q273">
            <v>-204625.88999999998</v>
          </cell>
          <cell r="R273">
            <v>-206144.16</v>
          </cell>
          <cell r="S273">
            <v>-235734.10000000006</v>
          </cell>
          <cell r="T273">
            <v>0.11000000004423782</v>
          </cell>
          <cell r="U273">
            <v>-5286.2300000000005</v>
          </cell>
          <cell r="V273">
            <v>-21853.670000000002</v>
          </cell>
          <cell r="W273">
            <v>-73235.66</v>
          </cell>
          <cell r="X273">
            <v>-121943.29000000001</v>
          </cell>
          <cell r="Y273">
            <v>-121726.42</v>
          </cell>
          <cell r="Z273">
            <v>-135920.46000000002</v>
          </cell>
          <cell r="AA273">
            <v>-135186.74</v>
          </cell>
          <cell r="AB273">
            <v>-142239.29999999999</v>
          </cell>
          <cell r="AC273">
            <v>-160739.89999999997</v>
          </cell>
          <cell r="AD273">
            <v>-162568.00999999998</v>
          </cell>
          <cell r="AE273">
            <v>0</v>
          </cell>
          <cell r="AF273">
            <v>0</v>
          </cell>
        </row>
        <row r="274">
          <cell r="G274">
            <v>806</v>
          </cell>
          <cell r="H274" t="str">
            <v>YTD Target (Budget)</v>
          </cell>
          <cell r="I274">
            <v>-59300.75</v>
          </cell>
          <cell r="J274">
            <v>-56803.5</v>
          </cell>
          <cell r="K274">
            <v>-111224.25</v>
          </cell>
          <cell r="L274">
            <v>-143527</v>
          </cell>
          <cell r="M274">
            <v>-180801.75</v>
          </cell>
          <cell r="N274">
            <v>-211988.5</v>
          </cell>
          <cell r="O274">
            <v>-243361.25</v>
          </cell>
          <cell r="P274">
            <v>-275873</v>
          </cell>
          <cell r="Q274">
            <v>-325259.75</v>
          </cell>
          <cell r="R274">
            <v>-355237.5</v>
          </cell>
          <cell r="S274">
            <v>-385496.25</v>
          </cell>
          <cell r="T274">
            <v>0</v>
          </cell>
          <cell r="U274">
            <v>-25384</v>
          </cell>
          <cell r="V274">
            <v>-49434</v>
          </cell>
          <cell r="W274">
            <v>-93940</v>
          </cell>
          <cell r="X274">
            <v>-135465</v>
          </cell>
          <cell r="Y274">
            <v>-169995</v>
          </cell>
          <cell r="Z274">
            <v>-188866</v>
          </cell>
          <cell r="AA274">
            <v>-170598</v>
          </cell>
          <cell r="AB274">
            <v>-189308</v>
          </cell>
          <cell r="AC274">
            <v>-205815</v>
          </cell>
          <cell r="AD274">
            <v>-220562</v>
          </cell>
          <cell r="AE274">
            <v>0</v>
          </cell>
          <cell r="AF274">
            <v>0</v>
          </cell>
        </row>
        <row r="275">
          <cell r="G275">
            <v>840</v>
          </cell>
          <cell r="H275" t="str">
            <v>Actual</v>
          </cell>
          <cell r="I275">
            <v>0</v>
          </cell>
          <cell r="J275">
            <v>0</v>
          </cell>
          <cell r="K275">
            <v>0</v>
          </cell>
          <cell r="L275">
            <v>0</v>
          </cell>
          <cell r="M275">
            <v>0</v>
          </cell>
          <cell r="N275">
            <v>0</v>
          </cell>
          <cell r="O275">
            <v>0</v>
          </cell>
          <cell r="P275">
            <v>0</v>
          </cell>
          <cell r="Q275">
            <v>0</v>
          </cell>
          <cell r="R275">
            <v>108.81</v>
          </cell>
          <cell r="S275">
            <v>-29109.05</v>
          </cell>
          <cell r="T275">
            <v>0</v>
          </cell>
          <cell r="U275">
            <v>0</v>
          </cell>
          <cell r="V275">
            <v>0</v>
          </cell>
          <cell r="W275">
            <v>0</v>
          </cell>
          <cell r="X275">
            <v>0</v>
          </cell>
          <cell r="Y275">
            <v>0</v>
          </cell>
          <cell r="Z275">
            <v>0</v>
          </cell>
          <cell r="AA275">
            <v>0</v>
          </cell>
          <cell r="AB275">
            <v>0</v>
          </cell>
          <cell r="AC275">
            <v>0</v>
          </cell>
          <cell r="AD275">
            <v>0</v>
          </cell>
          <cell r="AE275">
            <v>0</v>
          </cell>
          <cell r="AF275">
            <v>0</v>
          </cell>
        </row>
        <row r="276">
          <cell r="G276">
            <v>841</v>
          </cell>
          <cell r="H276" t="str">
            <v>Target (Budget)</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row>
        <row r="277">
          <cell r="G277">
            <v>844</v>
          </cell>
          <cell r="H277" t="str">
            <v>YTD Actual</v>
          </cell>
          <cell r="I277">
            <v>0</v>
          </cell>
          <cell r="J277">
            <v>0</v>
          </cell>
          <cell r="K277">
            <v>0</v>
          </cell>
          <cell r="L277">
            <v>0</v>
          </cell>
          <cell r="M277">
            <v>0</v>
          </cell>
          <cell r="N277">
            <v>0</v>
          </cell>
          <cell r="O277">
            <v>0</v>
          </cell>
          <cell r="P277">
            <v>0</v>
          </cell>
          <cell r="Q277">
            <v>0</v>
          </cell>
          <cell r="R277">
            <v>108.81</v>
          </cell>
          <cell r="S277">
            <v>-29000.239999999998</v>
          </cell>
          <cell r="T277">
            <v>-29000.239999999998</v>
          </cell>
          <cell r="U277">
            <v>0</v>
          </cell>
          <cell r="V277">
            <v>0</v>
          </cell>
          <cell r="W277">
            <v>0</v>
          </cell>
          <cell r="X277">
            <v>0</v>
          </cell>
          <cell r="Y277">
            <v>0</v>
          </cell>
          <cell r="Z277">
            <v>0</v>
          </cell>
          <cell r="AA277">
            <v>0</v>
          </cell>
          <cell r="AB277">
            <v>0</v>
          </cell>
          <cell r="AC277">
            <v>0</v>
          </cell>
          <cell r="AD277">
            <v>0</v>
          </cell>
          <cell r="AE277">
            <v>0</v>
          </cell>
          <cell r="AF277">
            <v>0</v>
          </cell>
        </row>
        <row r="278">
          <cell r="G278">
            <v>845</v>
          </cell>
          <cell r="H278" t="str">
            <v>YTD Target (Budget)</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row>
        <row r="279">
          <cell r="G279">
            <v>3220</v>
          </cell>
          <cell r="H279" t="str">
            <v>Actual</v>
          </cell>
          <cell r="I279">
            <v>732.19</v>
          </cell>
          <cell r="J279">
            <v>822.95</v>
          </cell>
          <cell r="K279">
            <v>809.57</v>
          </cell>
          <cell r="L279">
            <v>415.33</v>
          </cell>
          <cell r="M279">
            <v>1084.5999999999999</v>
          </cell>
          <cell r="N279">
            <v>1132.6500000000001</v>
          </cell>
          <cell r="O279">
            <v>-27.12</v>
          </cell>
          <cell r="P279">
            <v>746.86</v>
          </cell>
          <cell r="Q279">
            <v>955.31</v>
          </cell>
          <cell r="R279">
            <v>528.74</v>
          </cell>
          <cell r="S279">
            <v>303.3</v>
          </cell>
          <cell r="T279">
            <v>56.52</v>
          </cell>
          <cell r="U279">
            <v>213.29</v>
          </cell>
          <cell r="V279">
            <v>760.18</v>
          </cell>
          <cell r="W279">
            <v>655.27</v>
          </cell>
          <cell r="X279">
            <v>0</v>
          </cell>
          <cell r="Y279">
            <v>23.81</v>
          </cell>
          <cell r="Z279">
            <v>1022.06</v>
          </cell>
          <cell r="AA279">
            <v>31.74</v>
          </cell>
          <cell r="AB279">
            <v>0</v>
          </cell>
          <cell r="AC279">
            <v>41.34</v>
          </cell>
          <cell r="AD279">
            <v>0</v>
          </cell>
          <cell r="AE279">
            <v>0</v>
          </cell>
          <cell r="AF279">
            <v>0</v>
          </cell>
        </row>
        <row r="280">
          <cell r="G280">
            <v>3221</v>
          </cell>
          <cell r="H280" t="str">
            <v>Target (Budget)</v>
          </cell>
          <cell r="I280">
            <v>1371</v>
          </cell>
          <cell r="J280">
            <v>323</v>
          </cell>
          <cell r="K280">
            <v>484</v>
          </cell>
          <cell r="L280">
            <v>564</v>
          </cell>
          <cell r="M280">
            <v>645</v>
          </cell>
          <cell r="N280">
            <v>484</v>
          </cell>
          <cell r="O280">
            <v>645</v>
          </cell>
          <cell r="P280">
            <v>726</v>
          </cell>
          <cell r="Q280">
            <v>806</v>
          </cell>
          <cell r="R280">
            <v>564</v>
          </cell>
          <cell r="S280">
            <v>403</v>
          </cell>
          <cell r="T280">
            <v>1048</v>
          </cell>
          <cell r="U280">
            <v>840</v>
          </cell>
          <cell r="V280">
            <v>940</v>
          </cell>
          <cell r="W280">
            <v>930</v>
          </cell>
          <cell r="X280">
            <v>208</v>
          </cell>
          <cell r="Y280">
            <v>58</v>
          </cell>
          <cell r="Z280">
            <v>0</v>
          </cell>
          <cell r="AA280">
            <v>0</v>
          </cell>
          <cell r="AB280">
            <v>0</v>
          </cell>
          <cell r="AC280">
            <v>0</v>
          </cell>
          <cell r="AD280">
            <v>0</v>
          </cell>
          <cell r="AE280">
            <v>0</v>
          </cell>
          <cell r="AF280">
            <v>0</v>
          </cell>
        </row>
        <row r="281">
          <cell r="G281">
            <v>3224</v>
          </cell>
          <cell r="H281" t="str">
            <v>YTD Actual</v>
          </cell>
          <cell r="I281">
            <v>732.19</v>
          </cell>
          <cell r="J281">
            <v>1555.14</v>
          </cell>
          <cell r="K281">
            <v>2364.71</v>
          </cell>
          <cell r="L281">
            <v>2780.04</v>
          </cell>
          <cell r="M281">
            <v>3864.64</v>
          </cell>
          <cell r="N281">
            <v>4997.29</v>
          </cell>
          <cell r="O281">
            <v>4970.17</v>
          </cell>
          <cell r="P281">
            <v>5717.03</v>
          </cell>
          <cell r="Q281">
            <v>6672.34</v>
          </cell>
          <cell r="R281">
            <v>7201.08</v>
          </cell>
          <cell r="S281">
            <v>7504.38</v>
          </cell>
          <cell r="T281">
            <v>7560.9</v>
          </cell>
          <cell r="U281">
            <v>213.29</v>
          </cell>
          <cell r="V281">
            <v>973.46999999999991</v>
          </cell>
          <cell r="W281">
            <v>1628.74</v>
          </cell>
          <cell r="X281">
            <v>1628.74</v>
          </cell>
          <cell r="Y281">
            <v>1652.5500000000002</v>
          </cell>
          <cell r="Z281">
            <v>2674.6099999999997</v>
          </cell>
          <cell r="AA281">
            <v>2706.35</v>
          </cell>
          <cell r="AB281">
            <v>2706.35</v>
          </cell>
          <cell r="AC281">
            <v>2747.69</v>
          </cell>
          <cell r="AD281">
            <v>2747.69</v>
          </cell>
          <cell r="AE281">
            <v>0</v>
          </cell>
          <cell r="AF281">
            <v>0</v>
          </cell>
        </row>
        <row r="282">
          <cell r="G282">
            <v>3225</v>
          </cell>
          <cell r="H282" t="str">
            <v>YTD Target (Budget)</v>
          </cell>
          <cell r="I282">
            <v>1371</v>
          </cell>
          <cell r="J282">
            <v>1694</v>
          </cell>
          <cell r="K282">
            <v>2178</v>
          </cell>
          <cell r="L282">
            <v>2178</v>
          </cell>
          <cell r="M282">
            <v>3387</v>
          </cell>
          <cell r="N282">
            <v>3871</v>
          </cell>
          <cell r="O282">
            <v>4516</v>
          </cell>
          <cell r="P282">
            <v>5242</v>
          </cell>
          <cell r="Q282">
            <v>6048</v>
          </cell>
          <cell r="R282">
            <v>6612</v>
          </cell>
          <cell r="S282">
            <v>7015</v>
          </cell>
          <cell r="T282">
            <v>8063</v>
          </cell>
          <cell r="U282">
            <v>840</v>
          </cell>
          <cell r="V282">
            <v>1780</v>
          </cell>
          <cell r="W282">
            <v>2710</v>
          </cell>
          <cell r="X282">
            <v>3823</v>
          </cell>
          <cell r="Y282">
            <v>3881</v>
          </cell>
          <cell r="Z282">
            <v>3881</v>
          </cell>
          <cell r="AA282">
            <v>3881</v>
          </cell>
          <cell r="AB282">
            <v>3881</v>
          </cell>
          <cell r="AC282">
            <v>3881</v>
          </cell>
          <cell r="AD282">
            <v>3881</v>
          </cell>
          <cell r="AE282">
            <v>0</v>
          </cell>
          <cell r="AF282">
            <v>0</v>
          </cell>
        </row>
        <row r="283">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row>
        <row r="284">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row>
        <row r="285">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AC285">
            <v>0</v>
          </cell>
        </row>
        <row r="286">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row>
        <row r="287">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row>
        <row r="288">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row>
        <row r="289">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row>
        <row r="290">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row>
        <row r="291">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row>
        <row r="292">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row>
        <row r="293">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row>
        <row r="294">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row>
        <row r="295">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row>
        <row r="296">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row>
        <row r="297">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row>
        <row r="298">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row>
        <row r="299">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row>
        <row r="300">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row>
        <row r="301">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row>
        <row r="302">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row>
        <row r="303">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row>
        <row r="304">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row>
        <row r="305">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row>
        <row r="306">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row>
        <row r="307">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row>
        <row r="308">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row>
        <row r="309">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row>
        <row r="310">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row>
        <row r="311">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row>
        <row r="312">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row>
        <row r="313">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row>
        <row r="314">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row>
        <row r="315">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row>
        <row r="316">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row>
        <row r="317">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row>
        <row r="318">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row>
        <row r="319">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row>
        <row r="320">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row>
        <row r="321">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row>
        <row r="322">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row>
        <row r="323">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row>
        <row r="324">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row>
        <row r="325">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row>
        <row r="326">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row>
        <row r="327">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row>
        <row r="328">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row>
        <row r="329">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row>
        <row r="330">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row>
        <row r="331">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row>
        <row r="332">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row>
        <row r="333">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row>
        <row r="334">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row>
        <row r="335">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row>
        <row r="336">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row>
        <row r="337">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row>
        <row r="338">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row>
        <row r="339">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row>
        <row r="340">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row>
        <row r="341">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row>
        <row r="342">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row>
        <row r="343">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row>
        <row r="344">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row>
        <row r="345">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row>
        <row r="346">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row>
        <row r="347">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row>
        <row r="348">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row>
        <row r="349">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row>
        <row r="350">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row>
        <row r="351">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row>
        <row r="352">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row>
        <row r="353">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row>
        <row r="354">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row>
        <row r="355">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row>
        <row r="356">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row>
        <row r="357">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row>
        <row r="358">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row>
        <row r="359">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row>
        <row r="360">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row>
        <row r="361">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row>
        <row r="362">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row>
        <row r="363">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row>
        <row r="364">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row>
        <row r="365">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row>
        <row r="366">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row>
        <row r="367">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row>
        <row r="368">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row>
        <row r="369">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row>
        <row r="370">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row>
        <row r="371">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row>
        <row r="372">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row>
        <row r="373">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row>
        <row r="374">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row>
        <row r="375">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row>
        <row r="376">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row>
        <row r="377">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row>
        <row r="378">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row>
        <row r="379">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row>
        <row r="380">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row>
        <row r="381">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row>
        <row r="382">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row>
        <row r="383">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row>
        <row r="384">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row>
        <row r="385">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row>
        <row r="386">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row>
        <row r="387">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row>
        <row r="388">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row>
        <row r="389">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row>
        <row r="390">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row>
        <row r="391">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row>
        <row r="392">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row>
        <row r="393">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row>
        <row r="394">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row>
        <row r="395">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row>
        <row r="396">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row>
        <row r="397">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row>
        <row r="398">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row>
        <row r="399">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row>
        <row r="400">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row>
        <row r="401">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row>
        <row r="402">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row>
        <row r="403">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row>
        <row r="404">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row>
        <row r="405">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row>
        <row r="406">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row>
        <row r="407">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row>
        <row r="408">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row>
        <row r="409">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row>
        <row r="410">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row>
        <row r="411">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row>
        <row r="412">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row>
        <row r="413">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row>
        <row r="414">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row>
        <row r="415">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row>
        <row r="416">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row>
        <row r="417">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row>
        <row r="418">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row>
        <row r="419">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row>
        <row r="420">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row>
        <row r="421">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row>
        <row r="422">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row>
        <row r="423">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row>
        <row r="424">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row>
        <row r="425">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row>
        <row r="426">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row>
        <row r="427">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row>
        <row r="428">
          <cell r="G428">
            <v>0</v>
          </cell>
          <cell r="H428">
            <v>0</v>
          </cell>
          <cell r="I428">
            <v>0</v>
          </cell>
          <cell r="J428">
            <v>0</v>
          </cell>
          <cell r="K428">
            <v>0</v>
          </cell>
          <cell r="L428">
            <v>0</v>
          </cell>
          <cell r="M428">
            <v>0</v>
          </cell>
          <cell r="N428">
            <v>0</v>
          </cell>
          <cell r="O428">
            <v>0</v>
          </cell>
          <cell r="P428">
            <v>0</v>
          </cell>
          <cell r="Q428">
            <v>0</v>
          </cell>
        </row>
        <row r="429">
          <cell r="G429">
            <v>0</v>
          </cell>
          <cell r="H429">
            <v>0</v>
          </cell>
          <cell r="I429">
            <v>0</v>
          </cell>
          <cell r="J429">
            <v>0</v>
          </cell>
          <cell r="K429">
            <v>0</v>
          </cell>
          <cell r="L429">
            <v>0</v>
          </cell>
          <cell r="M429">
            <v>0</v>
          </cell>
          <cell r="N429">
            <v>0</v>
          </cell>
          <cell r="O429">
            <v>0</v>
          </cell>
          <cell r="P429">
            <v>0</v>
          </cell>
          <cell r="Q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row>
        <row r="430">
          <cell r="G430">
            <v>0</v>
          </cell>
          <cell r="H430">
            <v>0</v>
          </cell>
          <cell r="I430">
            <v>0</v>
          </cell>
          <cell r="J430">
            <v>0</v>
          </cell>
          <cell r="K430">
            <v>0</v>
          </cell>
          <cell r="L430">
            <v>0</v>
          </cell>
          <cell r="M430">
            <v>0</v>
          </cell>
          <cell r="N430">
            <v>0</v>
          </cell>
          <cell r="O430">
            <v>0</v>
          </cell>
          <cell r="P430">
            <v>0</v>
          </cell>
          <cell r="Q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row>
        <row r="431">
          <cell r="G431">
            <v>0</v>
          </cell>
          <cell r="H431">
            <v>0</v>
          </cell>
          <cell r="I431">
            <v>0</v>
          </cell>
          <cell r="J431">
            <v>0</v>
          </cell>
          <cell r="K431">
            <v>0</v>
          </cell>
          <cell r="L431">
            <v>0</v>
          </cell>
          <cell r="M431">
            <v>0</v>
          </cell>
          <cell r="N431">
            <v>0</v>
          </cell>
          <cell r="O431">
            <v>0</v>
          </cell>
          <cell r="P431">
            <v>0</v>
          </cell>
          <cell r="Q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row>
        <row r="432">
          <cell r="G432">
            <v>0</v>
          </cell>
          <cell r="H432">
            <v>0</v>
          </cell>
          <cell r="I432">
            <v>0</v>
          </cell>
          <cell r="J432">
            <v>0</v>
          </cell>
          <cell r="K432">
            <v>0</v>
          </cell>
          <cell r="L432">
            <v>0</v>
          </cell>
          <cell r="M432">
            <v>0</v>
          </cell>
          <cell r="N432">
            <v>0</v>
          </cell>
          <cell r="O432">
            <v>0</v>
          </cell>
          <cell r="P432">
            <v>0</v>
          </cell>
          <cell r="Q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row>
        <row r="433">
          <cell r="G433">
            <v>0</v>
          </cell>
          <cell r="H433">
            <v>0</v>
          </cell>
          <cell r="I433">
            <v>0</v>
          </cell>
          <cell r="J433">
            <v>0</v>
          </cell>
          <cell r="K433">
            <v>0</v>
          </cell>
          <cell r="L433">
            <v>0</v>
          </cell>
          <cell r="M433">
            <v>0</v>
          </cell>
          <cell r="N433">
            <v>0</v>
          </cell>
          <cell r="O433">
            <v>0</v>
          </cell>
          <cell r="P433">
            <v>0</v>
          </cell>
          <cell r="Q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row>
        <row r="434">
          <cell r="G434">
            <v>0</v>
          </cell>
          <cell r="H434">
            <v>0</v>
          </cell>
          <cell r="I434">
            <v>0</v>
          </cell>
          <cell r="J434">
            <v>0</v>
          </cell>
          <cell r="K434">
            <v>0</v>
          </cell>
          <cell r="L434">
            <v>0</v>
          </cell>
          <cell r="M434">
            <v>0</v>
          </cell>
          <cell r="N434">
            <v>0</v>
          </cell>
          <cell r="O434">
            <v>0</v>
          </cell>
          <cell r="P434">
            <v>0</v>
          </cell>
          <cell r="Q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row>
        <row r="435">
          <cell r="G435">
            <v>0</v>
          </cell>
          <cell r="H435">
            <v>0</v>
          </cell>
          <cell r="I435">
            <v>0</v>
          </cell>
          <cell r="J435">
            <v>0</v>
          </cell>
          <cell r="K435">
            <v>0</v>
          </cell>
          <cell r="L435">
            <v>0</v>
          </cell>
          <cell r="M435">
            <v>0</v>
          </cell>
          <cell r="N435">
            <v>0</v>
          </cell>
          <cell r="O435">
            <v>0</v>
          </cell>
          <cell r="P435">
            <v>0</v>
          </cell>
          <cell r="Q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row>
        <row r="436">
          <cell r="G436">
            <v>0</v>
          </cell>
          <cell r="H436">
            <v>0</v>
          </cell>
          <cell r="I436">
            <v>0</v>
          </cell>
          <cell r="J436">
            <v>0</v>
          </cell>
          <cell r="K436">
            <v>0</v>
          </cell>
          <cell r="L436">
            <v>0</v>
          </cell>
          <cell r="M436">
            <v>0</v>
          </cell>
          <cell r="N436">
            <v>0</v>
          </cell>
          <cell r="O436">
            <v>0</v>
          </cell>
          <cell r="P436">
            <v>0</v>
          </cell>
          <cell r="Q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row>
        <row r="437">
          <cell r="G437">
            <v>0</v>
          </cell>
          <cell r="H437">
            <v>0</v>
          </cell>
          <cell r="I437">
            <v>0</v>
          </cell>
          <cell r="J437">
            <v>0</v>
          </cell>
          <cell r="K437">
            <v>0</v>
          </cell>
          <cell r="L437">
            <v>0</v>
          </cell>
          <cell r="M437">
            <v>0</v>
          </cell>
          <cell r="N437">
            <v>0</v>
          </cell>
          <cell r="O437">
            <v>0</v>
          </cell>
          <cell r="P437">
            <v>0</v>
          </cell>
          <cell r="Q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row>
        <row r="438">
          <cell r="G438">
            <v>0</v>
          </cell>
          <cell r="H438">
            <v>0</v>
          </cell>
          <cell r="I438">
            <v>0</v>
          </cell>
          <cell r="J438">
            <v>0</v>
          </cell>
          <cell r="K438">
            <v>0</v>
          </cell>
          <cell r="L438">
            <v>0</v>
          </cell>
          <cell r="M438">
            <v>0</v>
          </cell>
          <cell r="N438">
            <v>0</v>
          </cell>
          <cell r="O438">
            <v>0</v>
          </cell>
          <cell r="P438">
            <v>0</v>
          </cell>
          <cell r="Q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row>
        <row r="439">
          <cell r="G439">
            <v>0</v>
          </cell>
          <cell r="H439">
            <v>0</v>
          </cell>
          <cell r="I439">
            <v>0</v>
          </cell>
          <cell r="J439">
            <v>0</v>
          </cell>
          <cell r="K439">
            <v>0</v>
          </cell>
          <cell r="L439">
            <v>0</v>
          </cell>
          <cell r="M439">
            <v>0</v>
          </cell>
          <cell r="N439">
            <v>0</v>
          </cell>
          <cell r="O439">
            <v>0</v>
          </cell>
          <cell r="P439">
            <v>0</v>
          </cell>
          <cell r="Q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row>
        <row r="440">
          <cell r="G440">
            <v>0</v>
          </cell>
          <cell r="H440">
            <v>0</v>
          </cell>
          <cell r="I440">
            <v>0</v>
          </cell>
          <cell r="J440">
            <v>0</v>
          </cell>
          <cell r="K440">
            <v>0</v>
          </cell>
          <cell r="L440">
            <v>0</v>
          </cell>
          <cell r="M440">
            <v>0</v>
          </cell>
          <cell r="N440">
            <v>0</v>
          </cell>
          <cell r="O440">
            <v>0</v>
          </cell>
          <cell r="P440">
            <v>0</v>
          </cell>
          <cell r="Q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row>
        <row r="441">
          <cell r="G441">
            <v>0</v>
          </cell>
          <cell r="H441">
            <v>0</v>
          </cell>
          <cell r="I441">
            <v>0</v>
          </cell>
          <cell r="J441">
            <v>0</v>
          </cell>
          <cell r="K441">
            <v>0</v>
          </cell>
          <cell r="L441">
            <v>0</v>
          </cell>
          <cell r="M441">
            <v>0</v>
          </cell>
          <cell r="N441">
            <v>0</v>
          </cell>
          <cell r="O441">
            <v>0</v>
          </cell>
          <cell r="P441">
            <v>0</v>
          </cell>
          <cell r="Q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row>
        <row r="442">
          <cell r="G442">
            <v>0</v>
          </cell>
          <cell r="H442">
            <v>0</v>
          </cell>
          <cell r="I442">
            <v>0</v>
          </cell>
          <cell r="J442">
            <v>0</v>
          </cell>
          <cell r="K442">
            <v>0</v>
          </cell>
          <cell r="L442">
            <v>0</v>
          </cell>
          <cell r="M442">
            <v>0</v>
          </cell>
          <cell r="N442">
            <v>0</v>
          </cell>
          <cell r="O442">
            <v>0</v>
          </cell>
          <cell r="P442">
            <v>0</v>
          </cell>
          <cell r="Q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row>
        <row r="443">
          <cell r="G443">
            <v>0</v>
          </cell>
          <cell r="H443">
            <v>0</v>
          </cell>
          <cell r="I443">
            <v>0</v>
          </cell>
          <cell r="J443">
            <v>0</v>
          </cell>
          <cell r="K443">
            <v>0</v>
          </cell>
          <cell r="L443">
            <v>0</v>
          </cell>
          <cell r="M443">
            <v>0</v>
          </cell>
          <cell r="N443">
            <v>0</v>
          </cell>
          <cell r="O443">
            <v>0</v>
          </cell>
          <cell r="P443">
            <v>0</v>
          </cell>
          <cell r="Q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row>
        <row r="444">
          <cell r="G444">
            <v>0</v>
          </cell>
          <cell r="H444">
            <v>0</v>
          </cell>
          <cell r="I444">
            <v>0</v>
          </cell>
          <cell r="J444">
            <v>0</v>
          </cell>
          <cell r="K444">
            <v>0</v>
          </cell>
          <cell r="L444">
            <v>0</v>
          </cell>
          <cell r="M444">
            <v>0</v>
          </cell>
          <cell r="N444">
            <v>0</v>
          </cell>
          <cell r="O444">
            <v>0</v>
          </cell>
          <cell r="P444">
            <v>0</v>
          </cell>
          <cell r="Q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row>
        <row r="445">
          <cell r="G445">
            <v>0</v>
          </cell>
          <cell r="H445">
            <v>0</v>
          </cell>
          <cell r="I445">
            <v>0</v>
          </cell>
          <cell r="J445">
            <v>0</v>
          </cell>
          <cell r="K445">
            <v>0</v>
          </cell>
          <cell r="L445">
            <v>0</v>
          </cell>
          <cell r="M445">
            <v>0</v>
          </cell>
          <cell r="N445">
            <v>0</v>
          </cell>
          <cell r="O445">
            <v>0</v>
          </cell>
          <cell r="P445">
            <v>0</v>
          </cell>
          <cell r="Q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row>
        <row r="446">
          <cell r="G446">
            <v>0</v>
          </cell>
          <cell r="H446">
            <v>0</v>
          </cell>
          <cell r="I446">
            <v>0</v>
          </cell>
          <cell r="J446">
            <v>0</v>
          </cell>
          <cell r="K446">
            <v>0</v>
          </cell>
          <cell r="L446">
            <v>0</v>
          </cell>
          <cell r="M446">
            <v>0</v>
          </cell>
          <cell r="N446">
            <v>0</v>
          </cell>
          <cell r="O446">
            <v>0</v>
          </cell>
          <cell r="P446">
            <v>0</v>
          </cell>
          <cell r="Q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row>
        <row r="447">
          <cell r="G447">
            <v>0</v>
          </cell>
          <cell r="H447">
            <v>0</v>
          </cell>
          <cell r="I447">
            <v>0</v>
          </cell>
          <cell r="J447">
            <v>0</v>
          </cell>
          <cell r="K447">
            <v>0</v>
          </cell>
          <cell r="L447">
            <v>0</v>
          </cell>
          <cell r="M447">
            <v>0</v>
          </cell>
          <cell r="N447">
            <v>0</v>
          </cell>
          <cell r="O447">
            <v>0</v>
          </cell>
          <cell r="P447">
            <v>0</v>
          </cell>
          <cell r="Q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row>
        <row r="448">
          <cell r="G448">
            <v>0</v>
          </cell>
          <cell r="H448">
            <v>0</v>
          </cell>
          <cell r="I448">
            <v>0</v>
          </cell>
          <cell r="J448">
            <v>0</v>
          </cell>
          <cell r="K448">
            <v>0</v>
          </cell>
          <cell r="L448">
            <v>0</v>
          </cell>
          <cell r="M448">
            <v>0</v>
          </cell>
          <cell r="N448">
            <v>0</v>
          </cell>
          <cell r="O448">
            <v>0</v>
          </cell>
          <cell r="P448">
            <v>0</v>
          </cell>
          <cell r="Q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row>
        <row r="449">
          <cell r="G449">
            <v>0</v>
          </cell>
          <cell r="H449">
            <v>0</v>
          </cell>
          <cell r="I449">
            <v>0</v>
          </cell>
          <cell r="J449">
            <v>0</v>
          </cell>
          <cell r="K449">
            <v>0</v>
          </cell>
          <cell r="L449">
            <v>0</v>
          </cell>
          <cell r="M449">
            <v>0</v>
          </cell>
          <cell r="N449">
            <v>0</v>
          </cell>
          <cell r="O449">
            <v>0</v>
          </cell>
          <cell r="P449">
            <v>0</v>
          </cell>
          <cell r="Q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row>
        <row r="450">
          <cell r="G450">
            <v>0</v>
          </cell>
          <cell r="H450">
            <v>0</v>
          </cell>
          <cell r="I450">
            <v>0</v>
          </cell>
          <cell r="J450">
            <v>0</v>
          </cell>
          <cell r="K450">
            <v>0</v>
          </cell>
          <cell r="L450">
            <v>0</v>
          </cell>
          <cell r="M450">
            <v>0</v>
          </cell>
          <cell r="N450">
            <v>0</v>
          </cell>
          <cell r="O450">
            <v>0</v>
          </cell>
          <cell r="P450">
            <v>0</v>
          </cell>
          <cell r="Q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row>
        <row r="451">
          <cell r="G451">
            <v>0</v>
          </cell>
          <cell r="H451">
            <v>0</v>
          </cell>
          <cell r="I451">
            <v>0</v>
          </cell>
          <cell r="J451">
            <v>0</v>
          </cell>
          <cell r="K451">
            <v>0</v>
          </cell>
          <cell r="L451">
            <v>0</v>
          </cell>
          <cell r="M451">
            <v>0</v>
          </cell>
          <cell r="N451">
            <v>0</v>
          </cell>
          <cell r="O451">
            <v>0</v>
          </cell>
          <cell r="P451">
            <v>0</v>
          </cell>
          <cell r="Q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row>
        <row r="452">
          <cell r="G452">
            <v>0</v>
          </cell>
          <cell r="H452">
            <v>0</v>
          </cell>
          <cell r="I452">
            <v>0</v>
          </cell>
          <cell r="J452">
            <v>0</v>
          </cell>
          <cell r="K452">
            <v>0</v>
          </cell>
          <cell r="L452">
            <v>0</v>
          </cell>
          <cell r="M452">
            <v>0</v>
          </cell>
          <cell r="N452">
            <v>0</v>
          </cell>
          <cell r="O452">
            <v>0</v>
          </cell>
          <cell r="P452">
            <v>0</v>
          </cell>
          <cell r="Q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row>
        <row r="453">
          <cell r="G453">
            <v>0</v>
          </cell>
          <cell r="H453">
            <v>0</v>
          </cell>
          <cell r="I453">
            <v>0</v>
          </cell>
          <cell r="J453">
            <v>0</v>
          </cell>
          <cell r="K453">
            <v>0</v>
          </cell>
          <cell r="L453">
            <v>0</v>
          </cell>
          <cell r="M453">
            <v>0</v>
          </cell>
          <cell r="N453">
            <v>0</v>
          </cell>
          <cell r="O453">
            <v>0</v>
          </cell>
          <cell r="P453">
            <v>0</v>
          </cell>
          <cell r="Q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row>
        <row r="454">
          <cell r="G454">
            <v>0</v>
          </cell>
          <cell r="H454">
            <v>0</v>
          </cell>
          <cell r="I454">
            <v>0</v>
          </cell>
          <cell r="J454">
            <v>0</v>
          </cell>
          <cell r="K454">
            <v>0</v>
          </cell>
          <cell r="L454">
            <v>0</v>
          </cell>
          <cell r="M454">
            <v>0</v>
          </cell>
          <cell r="N454">
            <v>0</v>
          </cell>
          <cell r="O454">
            <v>0</v>
          </cell>
          <cell r="P454">
            <v>0</v>
          </cell>
          <cell r="Q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row>
        <row r="455">
          <cell r="G455">
            <v>0</v>
          </cell>
          <cell r="H455">
            <v>0</v>
          </cell>
          <cell r="I455">
            <v>0</v>
          </cell>
          <cell r="J455">
            <v>0</v>
          </cell>
          <cell r="K455">
            <v>0</v>
          </cell>
          <cell r="L455">
            <v>0</v>
          </cell>
          <cell r="M455">
            <v>0</v>
          </cell>
          <cell r="N455">
            <v>0</v>
          </cell>
          <cell r="O455">
            <v>0</v>
          </cell>
          <cell r="P455">
            <v>0</v>
          </cell>
          <cell r="Q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row>
        <row r="456">
          <cell r="G456">
            <v>0</v>
          </cell>
          <cell r="H456">
            <v>0</v>
          </cell>
          <cell r="I456">
            <v>0</v>
          </cell>
          <cell r="J456">
            <v>0</v>
          </cell>
          <cell r="K456">
            <v>0</v>
          </cell>
          <cell r="L456">
            <v>0</v>
          </cell>
          <cell r="M456">
            <v>0</v>
          </cell>
          <cell r="N456">
            <v>0</v>
          </cell>
          <cell r="O456">
            <v>0</v>
          </cell>
          <cell r="P456">
            <v>0</v>
          </cell>
          <cell r="Q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row>
        <row r="457">
          <cell r="G457">
            <v>0</v>
          </cell>
          <cell r="H457">
            <v>0</v>
          </cell>
          <cell r="I457">
            <v>0</v>
          </cell>
          <cell r="J457">
            <v>0</v>
          </cell>
          <cell r="K457">
            <v>0</v>
          </cell>
          <cell r="L457">
            <v>0</v>
          </cell>
          <cell r="M457">
            <v>0</v>
          </cell>
          <cell r="N457">
            <v>0</v>
          </cell>
          <cell r="O457">
            <v>0</v>
          </cell>
          <cell r="P457">
            <v>0</v>
          </cell>
          <cell r="Q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row>
        <row r="458">
          <cell r="G458">
            <v>0</v>
          </cell>
          <cell r="H458">
            <v>0</v>
          </cell>
          <cell r="I458">
            <v>0</v>
          </cell>
          <cell r="J458">
            <v>0</v>
          </cell>
          <cell r="K458">
            <v>0</v>
          </cell>
          <cell r="L458">
            <v>0</v>
          </cell>
          <cell r="M458">
            <v>0</v>
          </cell>
          <cell r="N458">
            <v>0</v>
          </cell>
          <cell r="O458">
            <v>0</v>
          </cell>
          <cell r="P458">
            <v>0</v>
          </cell>
          <cell r="Q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row>
        <row r="459">
          <cell r="G459">
            <v>0</v>
          </cell>
          <cell r="H459">
            <v>0</v>
          </cell>
          <cell r="I459">
            <v>0</v>
          </cell>
          <cell r="J459">
            <v>0</v>
          </cell>
          <cell r="K459">
            <v>0</v>
          </cell>
          <cell r="L459">
            <v>0</v>
          </cell>
          <cell r="M459">
            <v>0</v>
          </cell>
          <cell r="N459">
            <v>0</v>
          </cell>
          <cell r="O459">
            <v>0</v>
          </cell>
          <cell r="P459">
            <v>0</v>
          </cell>
          <cell r="Q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row>
        <row r="460">
          <cell r="G460">
            <v>0</v>
          </cell>
          <cell r="H460">
            <v>0</v>
          </cell>
          <cell r="I460">
            <v>0</v>
          </cell>
          <cell r="J460">
            <v>0</v>
          </cell>
          <cell r="K460">
            <v>0</v>
          </cell>
          <cell r="L460">
            <v>0</v>
          </cell>
          <cell r="M460">
            <v>0</v>
          </cell>
          <cell r="N460">
            <v>0</v>
          </cell>
          <cell r="O460">
            <v>0</v>
          </cell>
          <cell r="P460">
            <v>0</v>
          </cell>
          <cell r="Q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row>
        <row r="461">
          <cell r="G461">
            <v>0</v>
          </cell>
          <cell r="H461">
            <v>0</v>
          </cell>
          <cell r="I461">
            <v>0</v>
          </cell>
          <cell r="J461">
            <v>0</v>
          </cell>
          <cell r="K461">
            <v>0</v>
          </cell>
          <cell r="L461">
            <v>0</v>
          </cell>
          <cell r="M461">
            <v>0</v>
          </cell>
          <cell r="N461">
            <v>0</v>
          </cell>
          <cell r="O461">
            <v>0</v>
          </cell>
          <cell r="P461">
            <v>0</v>
          </cell>
          <cell r="Q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row>
        <row r="462">
          <cell r="G462">
            <v>0</v>
          </cell>
          <cell r="H462">
            <v>0</v>
          </cell>
          <cell r="I462">
            <v>0</v>
          </cell>
          <cell r="J462">
            <v>0</v>
          </cell>
          <cell r="K462">
            <v>0</v>
          </cell>
          <cell r="L462">
            <v>0</v>
          </cell>
          <cell r="M462">
            <v>0</v>
          </cell>
          <cell r="N462">
            <v>0</v>
          </cell>
          <cell r="O462">
            <v>0</v>
          </cell>
          <cell r="P462">
            <v>0</v>
          </cell>
          <cell r="Q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row>
        <row r="463">
          <cell r="G463">
            <v>0</v>
          </cell>
          <cell r="H463">
            <v>0</v>
          </cell>
          <cell r="I463">
            <v>0</v>
          </cell>
          <cell r="J463">
            <v>0</v>
          </cell>
          <cell r="K463">
            <v>0</v>
          </cell>
          <cell r="L463">
            <v>0</v>
          </cell>
          <cell r="M463">
            <v>0</v>
          </cell>
          <cell r="N463">
            <v>0</v>
          </cell>
          <cell r="O463">
            <v>0</v>
          </cell>
          <cell r="P463">
            <v>0</v>
          </cell>
          <cell r="Q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row>
        <row r="464">
          <cell r="G464">
            <v>0</v>
          </cell>
          <cell r="H464">
            <v>0</v>
          </cell>
          <cell r="I464">
            <v>0</v>
          </cell>
          <cell r="J464">
            <v>0</v>
          </cell>
          <cell r="K464">
            <v>0</v>
          </cell>
          <cell r="L464">
            <v>0</v>
          </cell>
          <cell r="M464">
            <v>0</v>
          </cell>
          <cell r="N464">
            <v>0</v>
          </cell>
          <cell r="O464">
            <v>0</v>
          </cell>
          <cell r="P464">
            <v>0</v>
          </cell>
          <cell r="Q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row>
        <row r="465">
          <cell r="G465">
            <v>0</v>
          </cell>
          <cell r="H465">
            <v>0</v>
          </cell>
          <cell r="I465">
            <v>0</v>
          </cell>
          <cell r="J465">
            <v>0</v>
          </cell>
          <cell r="K465">
            <v>0</v>
          </cell>
          <cell r="L465">
            <v>0</v>
          </cell>
          <cell r="M465">
            <v>0</v>
          </cell>
          <cell r="N465">
            <v>0</v>
          </cell>
          <cell r="O465">
            <v>0</v>
          </cell>
          <cell r="P465">
            <v>0</v>
          </cell>
          <cell r="Q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row>
        <row r="466">
          <cell r="G466">
            <v>0</v>
          </cell>
          <cell r="H466">
            <v>0</v>
          </cell>
          <cell r="I466">
            <v>0</v>
          </cell>
          <cell r="J466">
            <v>0</v>
          </cell>
          <cell r="K466">
            <v>0</v>
          </cell>
          <cell r="L466">
            <v>0</v>
          </cell>
          <cell r="M466">
            <v>0</v>
          </cell>
          <cell r="N466">
            <v>0</v>
          </cell>
          <cell r="O466">
            <v>0</v>
          </cell>
          <cell r="P466">
            <v>0</v>
          </cell>
          <cell r="Q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row>
        <row r="467">
          <cell r="G467">
            <v>0</v>
          </cell>
          <cell r="H467">
            <v>0</v>
          </cell>
          <cell r="I467">
            <v>0</v>
          </cell>
          <cell r="J467">
            <v>0</v>
          </cell>
          <cell r="K467">
            <v>0</v>
          </cell>
          <cell r="L467">
            <v>0</v>
          </cell>
          <cell r="M467">
            <v>0</v>
          </cell>
          <cell r="N467">
            <v>0</v>
          </cell>
          <cell r="O467">
            <v>0</v>
          </cell>
          <cell r="P467">
            <v>0</v>
          </cell>
          <cell r="Q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row>
        <row r="468">
          <cell r="G468">
            <v>0</v>
          </cell>
          <cell r="H468">
            <v>0</v>
          </cell>
          <cell r="I468">
            <v>0</v>
          </cell>
          <cell r="J468">
            <v>0</v>
          </cell>
          <cell r="K468">
            <v>0</v>
          </cell>
          <cell r="L468">
            <v>0</v>
          </cell>
          <cell r="M468">
            <v>0</v>
          </cell>
          <cell r="N468">
            <v>0</v>
          </cell>
          <cell r="O468">
            <v>0</v>
          </cell>
          <cell r="P468">
            <v>0</v>
          </cell>
          <cell r="Q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row>
        <row r="469">
          <cell r="G469">
            <v>0</v>
          </cell>
          <cell r="H469">
            <v>0</v>
          </cell>
          <cell r="I469">
            <v>0</v>
          </cell>
          <cell r="J469">
            <v>0</v>
          </cell>
          <cell r="K469">
            <v>0</v>
          </cell>
          <cell r="L469">
            <v>0</v>
          </cell>
          <cell r="M469">
            <v>0</v>
          </cell>
          <cell r="N469">
            <v>0</v>
          </cell>
          <cell r="O469">
            <v>0</v>
          </cell>
          <cell r="P469">
            <v>0</v>
          </cell>
          <cell r="Q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row>
        <row r="470">
          <cell r="G470">
            <v>0</v>
          </cell>
          <cell r="H470">
            <v>0</v>
          </cell>
          <cell r="I470">
            <v>0</v>
          </cell>
          <cell r="J470">
            <v>0</v>
          </cell>
          <cell r="K470">
            <v>0</v>
          </cell>
          <cell r="L470">
            <v>0</v>
          </cell>
          <cell r="M470">
            <v>0</v>
          </cell>
          <cell r="N470">
            <v>0</v>
          </cell>
          <cell r="O470">
            <v>0</v>
          </cell>
          <cell r="P470">
            <v>0</v>
          </cell>
          <cell r="Q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row>
        <row r="471">
          <cell r="G471">
            <v>0</v>
          </cell>
          <cell r="H471">
            <v>0</v>
          </cell>
          <cell r="I471">
            <v>0</v>
          </cell>
          <cell r="J471">
            <v>0</v>
          </cell>
          <cell r="K471">
            <v>0</v>
          </cell>
          <cell r="L471">
            <v>0</v>
          </cell>
          <cell r="M471">
            <v>0</v>
          </cell>
          <cell r="N471">
            <v>0</v>
          </cell>
          <cell r="O471">
            <v>0</v>
          </cell>
          <cell r="P471">
            <v>0</v>
          </cell>
          <cell r="Q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row>
        <row r="472">
          <cell r="G472">
            <v>0</v>
          </cell>
          <cell r="H472">
            <v>0</v>
          </cell>
          <cell r="I472">
            <v>0</v>
          </cell>
          <cell r="J472">
            <v>0</v>
          </cell>
          <cell r="K472">
            <v>0</v>
          </cell>
          <cell r="L472">
            <v>0</v>
          </cell>
          <cell r="M472">
            <v>0</v>
          </cell>
          <cell r="N472">
            <v>0</v>
          </cell>
          <cell r="O472">
            <v>0</v>
          </cell>
          <cell r="P472">
            <v>0</v>
          </cell>
          <cell r="Q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row>
        <row r="473">
          <cell r="G473">
            <v>0</v>
          </cell>
          <cell r="H473">
            <v>0</v>
          </cell>
          <cell r="I473">
            <v>0</v>
          </cell>
          <cell r="J473">
            <v>0</v>
          </cell>
          <cell r="K473">
            <v>0</v>
          </cell>
          <cell r="L473">
            <v>0</v>
          </cell>
          <cell r="M473">
            <v>0</v>
          </cell>
          <cell r="N473">
            <v>0</v>
          </cell>
          <cell r="O473">
            <v>0</v>
          </cell>
          <cell r="P473">
            <v>0</v>
          </cell>
          <cell r="Q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row>
        <row r="474">
          <cell r="G474">
            <v>0</v>
          </cell>
          <cell r="H474">
            <v>0</v>
          </cell>
          <cell r="I474">
            <v>0</v>
          </cell>
          <cell r="J474">
            <v>0</v>
          </cell>
          <cell r="K474">
            <v>0</v>
          </cell>
          <cell r="L474">
            <v>0</v>
          </cell>
          <cell r="M474">
            <v>0</v>
          </cell>
          <cell r="N474">
            <v>0</v>
          </cell>
          <cell r="O474">
            <v>0</v>
          </cell>
          <cell r="P474">
            <v>0</v>
          </cell>
          <cell r="Q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row>
        <row r="475">
          <cell r="G475">
            <v>0</v>
          </cell>
          <cell r="H475">
            <v>0</v>
          </cell>
          <cell r="I475">
            <v>0</v>
          </cell>
          <cell r="J475">
            <v>0</v>
          </cell>
          <cell r="K475">
            <v>0</v>
          </cell>
          <cell r="L475">
            <v>0</v>
          </cell>
          <cell r="M475">
            <v>0</v>
          </cell>
          <cell r="N475">
            <v>0</v>
          </cell>
          <cell r="O475">
            <v>0</v>
          </cell>
          <cell r="P475">
            <v>0</v>
          </cell>
          <cell r="Q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row>
        <row r="476">
          <cell r="G476">
            <v>0</v>
          </cell>
          <cell r="H476">
            <v>0</v>
          </cell>
          <cell r="I476">
            <v>0</v>
          </cell>
          <cell r="J476">
            <v>0</v>
          </cell>
          <cell r="K476">
            <v>0</v>
          </cell>
          <cell r="L476">
            <v>0</v>
          </cell>
          <cell r="M476">
            <v>0</v>
          </cell>
          <cell r="N476">
            <v>0</v>
          </cell>
          <cell r="O476">
            <v>0</v>
          </cell>
          <cell r="P476">
            <v>0</v>
          </cell>
          <cell r="Q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row>
        <row r="477">
          <cell r="G477">
            <v>0</v>
          </cell>
          <cell r="H477">
            <v>0</v>
          </cell>
          <cell r="I477">
            <v>0</v>
          </cell>
          <cell r="J477">
            <v>0</v>
          </cell>
          <cell r="K477">
            <v>0</v>
          </cell>
          <cell r="L477">
            <v>0</v>
          </cell>
          <cell r="M477">
            <v>0</v>
          </cell>
          <cell r="N477">
            <v>0</v>
          </cell>
          <cell r="O477">
            <v>0</v>
          </cell>
          <cell r="P477">
            <v>0</v>
          </cell>
          <cell r="Q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row>
        <row r="478">
          <cell r="G478">
            <v>0</v>
          </cell>
          <cell r="H478">
            <v>0</v>
          </cell>
          <cell r="I478">
            <v>0</v>
          </cell>
          <cell r="J478">
            <v>0</v>
          </cell>
          <cell r="K478">
            <v>0</v>
          </cell>
          <cell r="L478">
            <v>0</v>
          </cell>
          <cell r="M478">
            <v>0</v>
          </cell>
          <cell r="N478">
            <v>0</v>
          </cell>
          <cell r="O478">
            <v>0</v>
          </cell>
          <cell r="P478">
            <v>0</v>
          </cell>
          <cell r="Q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row>
        <row r="479">
          <cell r="G479">
            <v>0</v>
          </cell>
          <cell r="H479">
            <v>0</v>
          </cell>
          <cell r="I479">
            <v>0</v>
          </cell>
          <cell r="J479">
            <v>0</v>
          </cell>
          <cell r="K479">
            <v>0</v>
          </cell>
          <cell r="L479">
            <v>0</v>
          </cell>
          <cell r="M479">
            <v>0</v>
          </cell>
          <cell r="N479">
            <v>0</v>
          </cell>
          <cell r="O479">
            <v>0</v>
          </cell>
          <cell r="P479">
            <v>0</v>
          </cell>
          <cell r="Q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row>
        <row r="480">
          <cell r="G480">
            <v>0</v>
          </cell>
          <cell r="H480">
            <v>0</v>
          </cell>
          <cell r="I480">
            <v>0</v>
          </cell>
          <cell r="J480">
            <v>0</v>
          </cell>
          <cell r="K480">
            <v>0</v>
          </cell>
          <cell r="L480">
            <v>0</v>
          </cell>
          <cell r="M480">
            <v>0</v>
          </cell>
          <cell r="N480">
            <v>0</v>
          </cell>
          <cell r="O480">
            <v>0</v>
          </cell>
          <cell r="P480">
            <v>0</v>
          </cell>
          <cell r="Q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row>
        <row r="481">
          <cell r="G481">
            <v>0</v>
          </cell>
          <cell r="H481">
            <v>0</v>
          </cell>
          <cell r="I481">
            <v>0</v>
          </cell>
          <cell r="J481">
            <v>0</v>
          </cell>
          <cell r="K481">
            <v>0</v>
          </cell>
          <cell r="L481">
            <v>0</v>
          </cell>
          <cell r="M481">
            <v>0</v>
          </cell>
          <cell r="N481">
            <v>0</v>
          </cell>
          <cell r="O481">
            <v>0</v>
          </cell>
          <cell r="P481">
            <v>0</v>
          </cell>
          <cell r="Q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row>
        <row r="482">
          <cell r="G482">
            <v>0</v>
          </cell>
          <cell r="H482">
            <v>0</v>
          </cell>
          <cell r="I482">
            <v>0</v>
          </cell>
          <cell r="J482">
            <v>0</v>
          </cell>
          <cell r="K482">
            <v>0</v>
          </cell>
          <cell r="L482">
            <v>0</v>
          </cell>
          <cell r="M482">
            <v>0</v>
          </cell>
          <cell r="N482">
            <v>0</v>
          </cell>
          <cell r="O482">
            <v>0</v>
          </cell>
          <cell r="P482">
            <v>0</v>
          </cell>
          <cell r="Q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row>
        <row r="483">
          <cell r="G483">
            <v>0</v>
          </cell>
          <cell r="H483">
            <v>0</v>
          </cell>
          <cell r="I483">
            <v>0</v>
          </cell>
          <cell r="J483">
            <v>0</v>
          </cell>
          <cell r="K483">
            <v>0</v>
          </cell>
          <cell r="L483">
            <v>0</v>
          </cell>
          <cell r="M483">
            <v>0</v>
          </cell>
          <cell r="N483">
            <v>0</v>
          </cell>
          <cell r="O483">
            <v>0</v>
          </cell>
          <cell r="P483">
            <v>0</v>
          </cell>
          <cell r="Q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row>
        <row r="484">
          <cell r="G484">
            <v>0</v>
          </cell>
          <cell r="H484">
            <v>0</v>
          </cell>
          <cell r="I484">
            <v>0</v>
          </cell>
          <cell r="J484">
            <v>0</v>
          </cell>
          <cell r="K484">
            <v>0</v>
          </cell>
          <cell r="L484">
            <v>0</v>
          </cell>
          <cell r="M484">
            <v>0</v>
          </cell>
          <cell r="N484">
            <v>0</v>
          </cell>
          <cell r="O484">
            <v>0</v>
          </cell>
          <cell r="P484">
            <v>0</v>
          </cell>
          <cell r="Q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row>
        <row r="485">
          <cell r="G485">
            <v>0</v>
          </cell>
          <cell r="H485">
            <v>0</v>
          </cell>
          <cell r="I485">
            <v>0</v>
          </cell>
          <cell r="J485">
            <v>0</v>
          </cell>
          <cell r="K485">
            <v>0</v>
          </cell>
          <cell r="L485">
            <v>0</v>
          </cell>
          <cell r="M485">
            <v>0</v>
          </cell>
          <cell r="N485">
            <v>0</v>
          </cell>
          <cell r="O485">
            <v>0</v>
          </cell>
          <cell r="P485">
            <v>0</v>
          </cell>
          <cell r="Q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row>
        <row r="486">
          <cell r="G486">
            <v>0</v>
          </cell>
          <cell r="H486">
            <v>0</v>
          </cell>
          <cell r="I486">
            <v>0</v>
          </cell>
          <cell r="J486">
            <v>0</v>
          </cell>
          <cell r="K486">
            <v>0</v>
          </cell>
          <cell r="L486">
            <v>0</v>
          </cell>
          <cell r="M486">
            <v>0</v>
          </cell>
          <cell r="N486">
            <v>0</v>
          </cell>
          <cell r="O486">
            <v>0</v>
          </cell>
          <cell r="P486">
            <v>0</v>
          </cell>
          <cell r="Q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row>
        <row r="487">
          <cell r="G487">
            <v>0</v>
          </cell>
          <cell r="H487">
            <v>0</v>
          </cell>
          <cell r="I487">
            <v>0</v>
          </cell>
          <cell r="J487">
            <v>0</v>
          </cell>
          <cell r="K487">
            <v>0</v>
          </cell>
          <cell r="L487">
            <v>0</v>
          </cell>
          <cell r="M487">
            <v>0</v>
          </cell>
          <cell r="N487">
            <v>0</v>
          </cell>
          <cell r="O487">
            <v>0</v>
          </cell>
          <cell r="P487">
            <v>0</v>
          </cell>
          <cell r="Q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row>
        <row r="488">
          <cell r="G488">
            <v>0</v>
          </cell>
          <cell r="H488">
            <v>0</v>
          </cell>
          <cell r="I488">
            <v>0</v>
          </cell>
          <cell r="J488">
            <v>0</v>
          </cell>
          <cell r="K488">
            <v>0</v>
          </cell>
          <cell r="L488">
            <v>0</v>
          </cell>
          <cell r="M488">
            <v>0</v>
          </cell>
          <cell r="N488">
            <v>0</v>
          </cell>
          <cell r="O488">
            <v>0</v>
          </cell>
          <cell r="P488">
            <v>0</v>
          </cell>
          <cell r="Q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row>
        <row r="489">
          <cell r="G489">
            <v>0</v>
          </cell>
          <cell r="H489">
            <v>0</v>
          </cell>
          <cell r="I489">
            <v>0</v>
          </cell>
          <cell r="J489">
            <v>0</v>
          </cell>
          <cell r="K489">
            <v>0</v>
          </cell>
          <cell r="L489">
            <v>0</v>
          </cell>
          <cell r="M489">
            <v>0</v>
          </cell>
          <cell r="N489">
            <v>0</v>
          </cell>
          <cell r="O489">
            <v>0</v>
          </cell>
          <cell r="P489">
            <v>0</v>
          </cell>
          <cell r="Q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row>
        <row r="490">
          <cell r="G490">
            <v>0</v>
          </cell>
          <cell r="H490">
            <v>0</v>
          </cell>
          <cell r="I490">
            <v>0</v>
          </cell>
          <cell r="J490">
            <v>0</v>
          </cell>
          <cell r="K490">
            <v>0</v>
          </cell>
          <cell r="L490">
            <v>0</v>
          </cell>
          <cell r="M490">
            <v>0</v>
          </cell>
          <cell r="N490">
            <v>0</v>
          </cell>
          <cell r="O490">
            <v>0</v>
          </cell>
          <cell r="P490">
            <v>0</v>
          </cell>
          <cell r="Q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row>
        <row r="491">
          <cell r="G491">
            <v>0</v>
          </cell>
          <cell r="H491">
            <v>0</v>
          </cell>
          <cell r="I491">
            <v>0</v>
          </cell>
          <cell r="J491">
            <v>0</v>
          </cell>
          <cell r="K491">
            <v>0</v>
          </cell>
          <cell r="L491">
            <v>0</v>
          </cell>
          <cell r="M491">
            <v>0</v>
          </cell>
          <cell r="N491">
            <v>0</v>
          </cell>
          <cell r="O491">
            <v>0</v>
          </cell>
          <cell r="P491">
            <v>0</v>
          </cell>
          <cell r="Q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row>
        <row r="492">
          <cell r="G492">
            <v>0</v>
          </cell>
          <cell r="H492">
            <v>0</v>
          </cell>
          <cell r="I492">
            <v>0</v>
          </cell>
          <cell r="J492">
            <v>0</v>
          </cell>
          <cell r="K492">
            <v>0</v>
          </cell>
          <cell r="L492">
            <v>0</v>
          </cell>
          <cell r="M492">
            <v>0</v>
          </cell>
          <cell r="N492">
            <v>0</v>
          </cell>
          <cell r="O492">
            <v>0</v>
          </cell>
          <cell r="P492">
            <v>0</v>
          </cell>
          <cell r="Q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row>
        <row r="493">
          <cell r="G493">
            <v>0</v>
          </cell>
          <cell r="H493">
            <v>0</v>
          </cell>
          <cell r="I493">
            <v>0</v>
          </cell>
          <cell r="J493">
            <v>0</v>
          </cell>
          <cell r="K493">
            <v>0</v>
          </cell>
          <cell r="L493">
            <v>0</v>
          </cell>
          <cell r="M493">
            <v>0</v>
          </cell>
          <cell r="N493">
            <v>0</v>
          </cell>
          <cell r="O493">
            <v>0</v>
          </cell>
          <cell r="P493">
            <v>0</v>
          </cell>
          <cell r="Q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row>
        <row r="494">
          <cell r="G494">
            <v>0</v>
          </cell>
          <cell r="H494">
            <v>0</v>
          </cell>
          <cell r="I494">
            <v>0</v>
          </cell>
          <cell r="J494">
            <v>0</v>
          </cell>
          <cell r="K494">
            <v>0</v>
          </cell>
          <cell r="L494">
            <v>0</v>
          </cell>
          <cell r="M494">
            <v>0</v>
          </cell>
          <cell r="N494">
            <v>0</v>
          </cell>
          <cell r="O494">
            <v>0</v>
          </cell>
          <cell r="P494">
            <v>0</v>
          </cell>
          <cell r="Q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row>
        <row r="495">
          <cell r="G495">
            <v>0</v>
          </cell>
          <cell r="H495">
            <v>0</v>
          </cell>
          <cell r="I495">
            <v>0</v>
          </cell>
          <cell r="J495">
            <v>0</v>
          </cell>
          <cell r="K495">
            <v>0</v>
          </cell>
          <cell r="L495">
            <v>0</v>
          </cell>
          <cell r="M495">
            <v>0</v>
          </cell>
          <cell r="N495">
            <v>0</v>
          </cell>
          <cell r="O495">
            <v>0</v>
          </cell>
          <cell r="P495">
            <v>0</v>
          </cell>
          <cell r="Q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row>
        <row r="496">
          <cell r="G496">
            <v>0</v>
          </cell>
          <cell r="H496">
            <v>0</v>
          </cell>
          <cell r="I496">
            <v>0</v>
          </cell>
          <cell r="J496">
            <v>0</v>
          </cell>
          <cell r="K496">
            <v>0</v>
          </cell>
          <cell r="L496">
            <v>0</v>
          </cell>
          <cell r="M496">
            <v>0</v>
          </cell>
          <cell r="N496">
            <v>0</v>
          </cell>
          <cell r="O496">
            <v>0</v>
          </cell>
          <cell r="P496">
            <v>0</v>
          </cell>
          <cell r="Q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row>
        <row r="497">
          <cell r="G497">
            <v>0</v>
          </cell>
          <cell r="H497">
            <v>0</v>
          </cell>
          <cell r="I497">
            <v>0</v>
          </cell>
          <cell r="J497">
            <v>0</v>
          </cell>
          <cell r="K497">
            <v>0</v>
          </cell>
          <cell r="L497">
            <v>0</v>
          </cell>
          <cell r="M497">
            <v>0</v>
          </cell>
          <cell r="N497">
            <v>0</v>
          </cell>
          <cell r="O497">
            <v>0</v>
          </cell>
          <cell r="P497">
            <v>0</v>
          </cell>
          <cell r="Q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row>
        <row r="498">
          <cell r="G498">
            <v>0</v>
          </cell>
          <cell r="H498">
            <v>0</v>
          </cell>
          <cell r="I498">
            <v>0</v>
          </cell>
          <cell r="J498">
            <v>0</v>
          </cell>
          <cell r="K498">
            <v>0</v>
          </cell>
          <cell r="L498">
            <v>0</v>
          </cell>
          <cell r="M498">
            <v>0</v>
          </cell>
          <cell r="N498">
            <v>0</v>
          </cell>
          <cell r="O498">
            <v>0</v>
          </cell>
          <cell r="P498">
            <v>0</v>
          </cell>
          <cell r="Q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row>
        <row r="499">
          <cell r="G499">
            <v>0</v>
          </cell>
          <cell r="H499">
            <v>0</v>
          </cell>
          <cell r="I499">
            <v>0</v>
          </cell>
          <cell r="J499">
            <v>0</v>
          </cell>
          <cell r="K499">
            <v>0</v>
          </cell>
          <cell r="L499">
            <v>0</v>
          </cell>
          <cell r="M499">
            <v>0</v>
          </cell>
          <cell r="N499">
            <v>0</v>
          </cell>
          <cell r="O499">
            <v>0</v>
          </cell>
          <cell r="P499">
            <v>0</v>
          </cell>
          <cell r="Q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row>
        <row r="500">
          <cell r="G500">
            <v>0</v>
          </cell>
          <cell r="H500">
            <v>0</v>
          </cell>
          <cell r="I500">
            <v>0</v>
          </cell>
          <cell r="J500">
            <v>0</v>
          </cell>
          <cell r="K500">
            <v>0</v>
          </cell>
          <cell r="L500">
            <v>0</v>
          </cell>
          <cell r="M500">
            <v>0</v>
          </cell>
          <cell r="N500">
            <v>0</v>
          </cell>
          <cell r="O500">
            <v>0</v>
          </cell>
          <cell r="P500">
            <v>0</v>
          </cell>
          <cell r="Q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row>
        <row r="501">
          <cell r="G501">
            <v>0</v>
          </cell>
          <cell r="H501">
            <v>0</v>
          </cell>
          <cell r="I501">
            <v>0</v>
          </cell>
          <cell r="J501">
            <v>0</v>
          </cell>
          <cell r="K501">
            <v>0</v>
          </cell>
          <cell r="L501">
            <v>0</v>
          </cell>
          <cell r="M501">
            <v>0</v>
          </cell>
          <cell r="N501">
            <v>0</v>
          </cell>
          <cell r="O501">
            <v>0</v>
          </cell>
          <cell r="P501">
            <v>0</v>
          </cell>
          <cell r="Q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row>
        <row r="502">
          <cell r="G502">
            <v>0</v>
          </cell>
          <cell r="H502">
            <v>0</v>
          </cell>
          <cell r="I502">
            <v>0</v>
          </cell>
          <cell r="J502">
            <v>0</v>
          </cell>
          <cell r="K502">
            <v>0</v>
          </cell>
          <cell r="L502">
            <v>0</v>
          </cell>
          <cell r="M502">
            <v>0</v>
          </cell>
          <cell r="N502">
            <v>0</v>
          </cell>
          <cell r="O502">
            <v>0</v>
          </cell>
          <cell r="P502">
            <v>0</v>
          </cell>
          <cell r="Q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row>
        <row r="503">
          <cell r="G503">
            <v>0</v>
          </cell>
          <cell r="H503">
            <v>0</v>
          </cell>
          <cell r="I503">
            <v>0</v>
          </cell>
          <cell r="J503">
            <v>0</v>
          </cell>
          <cell r="K503">
            <v>0</v>
          </cell>
          <cell r="L503">
            <v>0</v>
          </cell>
          <cell r="M503">
            <v>0</v>
          </cell>
          <cell r="N503">
            <v>0</v>
          </cell>
          <cell r="O503">
            <v>0</v>
          </cell>
          <cell r="P503">
            <v>0</v>
          </cell>
          <cell r="Q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row>
        <row r="504">
          <cell r="G504">
            <v>0</v>
          </cell>
          <cell r="H504">
            <v>0</v>
          </cell>
          <cell r="I504">
            <v>0</v>
          </cell>
          <cell r="J504">
            <v>0</v>
          </cell>
          <cell r="K504">
            <v>0</v>
          </cell>
          <cell r="L504">
            <v>0</v>
          </cell>
          <cell r="M504">
            <v>0</v>
          </cell>
          <cell r="N504">
            <v>0</v>
          </cell>
          <cell r="O504">
            <v>0</v>
          </cell>
          <cell r="P504">
            <v>0</v>
          </cell>
          <cell r="Q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row>
        <row r="505">
          <cell r="G505">
            <v>0</v>
          </cell>
          <cell r="H505">
            <v>0</v>
          </cell>
          <cell r="I505">
            <v>0</v>
          </cell>
          <cell r="J505">
            <v>0</v>
          </cell>
          <cell r="K505">
            <v>0</v>
          </cell>
          <cell r="L505">
            <v>0</v>
          </cell>
          <cell r="M505">
            <v>0</v>
          </cell>
          <cell r="N505">
            <v>0</v>
          </cell>
          <cell r="O505">
            <v>0</v>
          </cell>
          <cell r="P505">
            <v>0</v>
          </cell>
          <cell r="Q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row>
        <row r="506">
          <cell r="G506">
            <v>0</v>
          </cell>
          <cell r="H506">
            <v>0</v>
          </cell>
          <cell r="I506">
            <v>0</v>
          </cell>
          <cell r="J506">
            <v>0</v>
          </cell>
          <cell r="K506">
            <v>0</v>
          </cell>
          <cell r="L506">
            <v>0</v>
          </cell>
          <cell r="M506">
            <v>0</v>
          </cell>
          <cell r="N506">
            <v>0</v>
          </cell>
          <cell r="O506">
            <v>0</v>
          </cell>
          <cell r="P506">
            <v>0</v>
          </cell>
          <cell r="Q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row>
        <row r="507">
          <cell r="G507">
            <v>0</v>
          </cell>
          <cell r="H507">
            <v>0</v>
          </cell>
          <cell r="I507">
            <v>0</v>
          </cell>
          <cell r="J507">
            <v>0</v>
          </cell>
          <cell r="K507">
            <v>0</v>
          </cell>
          <cell r="L507">
            <v>0</v>
          </cell>
          <cell r="M507">
            <v>0</v>
          </cell>
          <cell r="N507">
            <v>0</v>
          </cell>
          <cell r="O507">
            <v>0</v>
          </cell>
          <cell r="P507">
            <v>0</v>
          </cell>
          <cell r="Q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row>
        <row r="508">
          <cell r="G508">
            <v>0</v>
          </cell>
          <cell r="H508">
            <v>0</v>
          </cell>
          <cell r="I508">
            <v>0</v>
          </cell>
          <cell r="J508">
            <v>0</v>
          </cell>
          <cell r="K508">
            <v>0</v>
          </cell>
          <cell r="L508">
            <v>0</v>
          </cell>
          <cell r="M508">
            <v>0</v>
          </cell>
          <cell r="N508">
            <v>0</v>
          </cell>
          <cell r="O508">
            <v>0</v>
          </cell>
          <cell r="P508">
            <v>0</v>
          </cell>
          <cell r="Q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row>
        <row r="509">
          <cell r="G509">
            <v>0</v>
          </cell>
          <cell r="H509">
            <v>0</v>
          </cell>
          <cell r="I509">
            <v>0</v>
          </cell>
          <cell r="J509">
            <v>0</v>
          </cell>
          <cell r="K509">
            <v>0</v>
          </cell>
          <cell r="L509">
            <v>0</v>
          </cell>
          <cell r="M509">
            <v>0</v>
          </cell>
          <cell r="N509">
            <v>0</v>
          </cell>
          <cell r="O509">
            <v>0</v>
          </cell>
          <cell r="P509">
            <v>0</v>
          </cell>
          <cell r="Q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row>
        <row r="510">
          <cell r="G510">
            <v>0</v>
          </cell>
          <cell r="H510">
            <v>0</v>
          </cell>
          <cell r="I510">
            <v>0</v>
          </cell>
          <cell r="J510">
            <v>0</v>
          </cell>
          <cell r="K510">
            <v>0</v>
          </cell>
          <cell r="L510">
            <v>0</v>
          </cell>
          <cell r="M510">
            <v>0</v>
          </cell>
          <cell r="N510">
            <v>0</v>
          </cell>
          <cell r="O510">
            <v>0</v>
          </cell>
          <cell r="P510">
            <v>0</v>
          </cell>
          <cell r="Q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row>
        <row r="511">
          <cell r="G511">
            <v>0</v>
          </cell>
          <cell r="H511">
            <v>0</v>
          </cell>
          <cell r="I511">
            <v>0</v>
          </cell>
          <cell r="J511">
            <v>0</v>
          </cell>
          <cell r="K511">
            <v>0</v>
          </cell>
          <cell r="L511">
            <v>0</v>
          </cell>
          <cell r="M511">
            <v>0</v>
          </cell>
          <cell r="N511">
            <v>0</v>
          </cell>
          <cell r="O511">
            <v>0</v>
          </cell>
          <cell r="P511">
            <v>0</v>
          </cell>
          <cell r="Q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row>
        <row r="512">
          <cell r="G512">
            <v>0</v>
          </cell>
          <cell r="H512">
            <v>0</v>
          </cell>
          <cell r="I512">
            <v>0</v>
          </cell>
          <cell r="J512">
            <v>0</v>
          </cell>
          <cell r="K512">
            <v>0</v>
          </cell>
          <cell r="L512">
            <v>0</v>
          </cell>
          <cell r="M512">
            <v>0</v>
          </cell>
          <cell r="N512">
            <v>0</v>
          </cell>
          <cell r="O512">
            <v>0</v>
          </cell>
          <cell r="P512">
            <v>0</v>
          </cell>
          <cell r="Q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row>
        <row r="513">
          <cell r="G513">
            <v>0</v>
          </cell>
          <cell r="H513">
            <v>0</v>
          </cell>
          <cell r="I513">
            <v>0</v>
          </cell>
          <cell r="J513">
            <v>0</v>
          </cell>
          <cell r="K513">
            <v>0</v>
          </cell>
          <cell r="L513">
            <v>0</v>
          </cell>
          <cell r="M513">
            <v>0</v>
          </cell>
          <cell r="N513">
            <v>0</v>
          </cell>
          <cell r="O513">
            <v>0</v>
          </cell>
          <cell r="P513">
            <v>0</v>
          </cell>
          <cell r="Q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row>
        <row r="514">
          <cell r="G514">
            <v>0</v>
          </cell>
          <cell r="H514">
            <v>0</v>
          </cell>
          <cell r="I514">
            <v>0</v>
          </cell>
          <cell r="J514">
            <v>0</v>
          </cell>
          <cell r="K514">
            <v>0</v>
          </cell>
          <cell r="L514">
            <v>0</v>
          </cell>
          <cell r="M514">
            <v>0</v>
          </cell>
          <cell r="N514">
            <v>0</v>
          </cell>
          <cell r="O514">
            <v>0</v>
          </cell>
          <cell r="P514">
            <v>0</v>
          </cell>
          <cell r="Q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row>
        <row r="515">
          <cell r="G515">
            <v>0</v>
          </cell>
          <cell r="H515">
            <v>0</v>
          </cell>
          <cell r="I515">
            <v>0</v>
          </cell>
          <cell r="J515">
            <v>0</v>
          </cell>
          <cell r="K515">
            <v>0</v>
          </cell>
          <cell r="L515">
            <v>0</v>
          </cell>
          <cell r="M515">
            <v>0</v>
          </cell>
          <cell r="N515">
            <v>0</v>
          </cell>
          <cell r="O515">
            <v>0</v>
          </cell>
          <cell r="P515">
            <v>0</v>
          </cell>
          <cell r="Q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row>
        <row r="516">
          <cell r="G516">
            <v>0</v>
          </cell>
          <cell r="H516">
            <v>0</v>
          </cell>
          <cell r="I516">
            <v>0</v>
          </cell>
          <cell r="J516">
            <v>0</v>
          </cell>
          <cell r="K516">
            <v>0</v>
          </cell>
          <cell r="L516">
            <v>0</v>
          </cell>
          <cell r="M516">
            <v>0</v>
          </cell>
          <cell r="N516">
            <v>0</v>
          </cell>
          <cell r="O516">
            <v>0</v>
          </cell>
          <cell r="P516">
            <v>0</v>
          </cell>
          <cell r="Q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row>
        <row r="517">
          <cell r="G517">
            <v>0</v>
          </cell>
          <cell r="H517">
            <v>0</v>
          </cell>
          <cell r="I517">
            <v>0</v>
          </cell>
          <cell r="J517">
            <v>0</v>
          </cell>
          <cell r="K517">
            <v>0</v>
          </cell>
          <cell r="L517">
            <v>0</v>
          </cell>
          <cell r="M517">
            <v>0</v>
          </cell>
          <cell r="N517">
            <v>0</v>
          </cell>
          <cell r="O517">
            <v>0</v>
          </cell>
          <cell r="P517">
            <v>0</v>
          </cell>
          <cell r="Q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row>
        <row r="518">
          <cell r="G518">
            <v>0</v>
          </cell>
          <cell r="H518">
            <v>0</v>
          </cell>
          <cell r="I518">
            <v>0</v>
          </cell>
          <cell r="J518">
            <v>0</v>
          </cell>
          <cell r="K518">
            <v>0</v>
          </cell>
          <cell r="L518">
            <v>0</v>
          </cell>
          <cell r="M518">
            <v>0</v>
          </cell>
          <cell r="N518">
            <v>0</v>
          </cell>
          <cell r="O518">
            <v>0</v>
          </cell>
          <cell r="P518">
            <v>0</v>
          </cell>
          <cell r="Q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row>
        <row r="519">
          <cell r="G519">
            <v>0</v>
          </cell>
          <cell r="H519">
            <v>0</v>
          </cell>
          <cell r="I519">
            <v>0</v>
          </cell>
          <cell r="J519">
            <v>0</v>
          </cell>
          <cell r="K519">
            <v>0</v>
          </cell>
          <cell r="L519">
            <v>0</v>
          </cell>
          <cell r="M519">
            <v>0</v>
          </cell>
          <cell r="N519">
            <v>0</v>
          </cell>
          <cell r="O519">
            <v>0</v>
          </cell>
          <cell r="P519">
            <v>0</v>
          </cell>
          <cell r="Q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row>
        <row r="520">
          <cell r="G520">
            <v>0</v>
          </cell>
          <cell r="H520">
            <v>0</v>
          </cell>
          <cell r="I520">
            <v>0</v>
          </cell>
          <cell r="J520">
            <v>0</v>
          </cell>
          <cell r="K520">
            <v>0</v>
          </cell>
          <cell r="L520">
            <v>0</v>
          </cell>
          <cell r="M520">
            <v>0</v>
          </cell>
          <cell r="N520">
            <v>0</v>
          </cell>
          <cell r="O520">
            <v>0</v>
          </cell>
          <cell r="P520">
            <v>0</v>
          </cell>
          <cell r="Q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row>
        <row r="521">
          <cell r="G521">
            <v>0</v>
          </cell>
          <cell r="H521">
            <v>0</v>
          </cell>
          <cell r="I521">
            <v>0</v>
          </cell>
          <cell r="J521">
            <v>0</v>
          </cell>
          <cell r="K521">
            <v>0</v>
          </cell>
          <cell r="L521">
            <v>0</v>
          </cell>
          <cell r="M521">
            <v>0</v>
          </cell>
          <cell r="N521">
            <v>0</v>
          </cell>
          <cell r="O521">
            <v>0</v>
          </cell>
          <cell r="P521">
            <v>0</v>
          </cell>
          <cell r="Q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row>
        <row r="522">
          <cell r="G522">
            <v>0</v>
          </cell>
          <cell r="H522">
            <v>0</v>
          </cell>
          <cell r="I522">
            <v>0</v>
          </cell>
          <cell r="J522">
            <v>0</v>
          </cell>
          <cell r="K522">
            <v>0</v>
          </cell>
          <cell r="L522">
            <v>0</v>
          </cell>
          <cell r="M522">
            <v>0</v>
          </cell>
          <cell r="N522">
            <v>0</v>
          </cell>
          <cell r="O522">
            <v>0</v>
          </cell>
          <cell r="P522">
            <v>0</v>
          </cell>
          <cell r="Q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row>
        <row r="523">
          <cell r="G523">
            <v>0</v>
          </cell>
          <cell r="H523">
            <v>0</v>
          </cell>
          <cell r="I523">
            <v>0</v>
          </cell>
          <cell r="J523">
            <v>0</v>
          </cell>
          <cell r="K523">
            <v>0</v>
          </cell>
          <cell r="L523">
            <v>0</v>
          </cell>
          <cell r="M523">
            <v>0</v>
          </cell>
          <cell r="N523">
            <v>0</v>
          </cell>
          <cell r="O523">
            <v>0</v>
          </cell>
          <cell r="P523">
            <v>0</v>
          </cell>
          <cell r="Q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row>
        <row r="524">
          <cell r="G524">
            <v>0</v>
          </cell>
          <cell r="H524">
            <v>0</v>
          </cell>
          <cell r="I524">
            <v>0</v>
          </cell>
          <cell r="J524">
            <v>0</v>
          </cell>
          <cell r="K524">
            <v>0</v>
          </cell>
          <cell r="L524">
            <v>0</v>
          </cell>
          <cell r="M524">
            <v>0</v>
          </cell>
          <cell r="N524">
            <v>0</v>
          </cell>
          <cell r="O524">
            <v>0</v>
          </cell>
          <cell r="P524">
            <v>0</v>
          </cell>
          <cell r="Q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row>
        <row r="525">
          <cell r="G525">
            <v>0</v>
          </cell>
          <cell r="H525">
            <v>0</v>
          </cell>
          <cell r="I525">
            <v>0</v>
          </cell>
          <cell r="J525">
            <v>0</v>
          </cell>
          <cell r="K525">
            <v>0</v>
          </cell>
          <cell r="L525">
            <v>0</v>
          </cell>
          <cell r="M525">
            <v>0</v>
          </cell>
          <cell r="N525">
            <v>0</v>
          </cell>
          <cell r="O525">
            <v>0</v>
          </cell>
          <cell r="P525">
            <v>0</v>
          </cell>
          <cell r="Q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row>
        <row r="526">
          <cell r="G526">
            <v>0</v>
          </cell>
          <cell r="H526">
            <v>0</v>
          </cell>
          <cell r="I526">
            <v>0</v>
          </cell>
          <cell r="J526">
            <v>0</v>
          </cell>
          <cell r="K526">
            <v>0</v>
          </cell>
          <cell r="L526">
            <v>0</v>
          </cell>
          <cell r="M526">
            <v>0</v>
          </cell>
          <cell r="N526">
            <v>0</v>
          </cell>
          <cell r="O526">
            <v>0</v>
          </cell>
          <cell r="P526">
            <v>0</v>
          </cell>
          <cell r="Q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row>
        <row r="527">
          <cell r="G527">
            <v>0</v>
          </cell>
          <cell r="H527">
            <v>0</v>
          </cell>
          <cell r="I527">
            <v>0</v>
          </cell>
          <cell r="J527">
            <v>0</v>
          </cell>
          <cell r="K527">
            <v>0</v>
          </cell>
          <cell r="L527">
            <v>0</v>
          </cell>
          <cell r="M527">
            <v>0</v>
          </cell>
          <cell r="N527">
            <v>0</v>
          </cell>
          <cell r="O527">
            <v>0</v>
          </cell>
          <cell r="P527">
            <v>0</v>
          </cell>
          <cell r="Q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row>
        <row r="528">
          <cell r="G528">
            <v>0</v>
          </cell>
          <cell r="H528">
            <v>0</v>
          </cell>
          <cell r="I528">
            <v>0</v>
          </cell>
          <cell r="J528">
            <v>0</v>
          </cell>
          <cell r="K528">
            <v>0</v>
          </cell>
          <cell r="L528">
            <v>0</v>
          </cell>
          <cell r="M528">
            <v>0</v>
          </cell>
          <cell r="N528">
            <v>0</v>
          </cell>
          <cell r="O528">
            <v>0</v>
          </cell>
          <cell r="P528">
            <v>0</v>
          </cell>
          <cell r="Q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row>
        <row r="529">
          <cell r="G529">
            <v>0</v>
          </cell>
          <cell r="H529">
            <v>0</v>
          </cell>
          <cell r="I529">
            <v>0</v>
          </cell>
          <cell r="J529">
            <v>0</v>
          </cell>
          <cell r="K529">
            <v>0</v>
          </cell>
          <cell r="L529">
            <v>0</v>
          </cell>
          <cell r="M529">
            <v>0</v>
          </cell>
          <cell r="N529">
            <v>0</v>
          </cell>
          <cell r="O529">
            <v>0</v>
          </cell>
          <cell r="P529">
            <v>0</v>
          </cell>
          <cell r="Q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row>
        <row r="530">
          <cell r="G530">
            <v>0</v>
          </cell>
          <cell r="H530">
            <v>0</v>
          </cell>
          <cell r="I530">
            <v>0</v>
          </cell>
          <cell r="J530">
            <v>0</v>
          </cell>
          <cell r="K530">
            <v>0</v>
          </cell>
          <cell r="L530">
            <v>0</v>
          </cell>
          <cell r="M530">
            <v>0</v>
          </cell>
          <cell r="N530">
            <v>0</v>
          </cell>
          <cell r="O530">
            <v>0</v>
          </cell>
          <cell r="P530">
            <v>0</v>
          </cell>
          <cell r="Q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row>
        <row r="531">
          <cell r="G531">
            <v>0</v>
          </cell>
          <cell r="H531">
            <v>0</v>
          </cell>
          <cell r="I531">
            <v>0</v>
          </cell>
          <cell r="J531">
            <v>0</v>
          </cell>
          <cell r="K531">
            <v>0</v>
          </cell>
          <cell r="L531">
            <v>0</v>
          </cell>
          <cell r="M531">
            <v>0</v>
          </cell>
          <cell r="N531">
            <v>0</v>
          </cell>
          <cell r="O531">
            <v>0</v>
          </cell>
          <cell r="P531">
            <v>0</v>
          </cell>
          <cell r="Q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row>
        <row r="532">
          <cell r="G532">
            <v>0</v>
          </cell>
          <cell r="H532">
            <v>0</v>
          </cell>
          <cell r="I532">
            <v>0</v>
          </cell>
          <cell r="J532">
            <v>0</v>
          </cell>
          <cell r="K532">
            <v>0</v>
          </cell>
          <cell r="L532">
            <v>0</v>
          </cell>
          <cell r="M532">
            <v>0</v>
          </cell>
          <cell r="N532">
            <v>0</v>
          </cell>
          <cell r="O532">
            <v>0</v>
          </cell>
          <cell r="P532">
            <v>0</v>
          </cell>
          <cell r="Q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row>
        <row r="533">
          <cell r="G533">
            <v>0</v>
          </cell>
          <cell r="H533">
            <v>0</v>
          </cell>
          <cell r="I533">
            <v>0</v>
          </cell>
          <cell r="J533">
            <v>0</v>
          </cell>
          <cell r="K533">
            <v>0</v>
          </cell>
          <cell r="L533">
            <v>0</v>
          </cell>
          <cell r="M533">
            <v>0</v>
          </cell>
          <cell r="N533">
            <v>0</v>
          </cell>
          <cell r="O533">
            <v>0</v>
          </cell>
          <cell r="P533">
            <v>0</v>
          </cell>
          <cell r="Q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row>
        <row r="534">
          <cell r="G534">
            <v>0</v>
          </cell>
          <cell r="H534">
            <v>0</v>
          </cell>
          <cell r="I534">
            <v>0</v>
          </cell>
          <cell r="J534">
            <v>0</v>
          </cell>
          <cell r="K534">
            <v>0</v>
          </cell>
          <cell r="L534">
            <v>0</v>
          </cell>
          <cell r="M534">
            <v>0</v>
          </cell>
          <cell r="N534">
            <v>0</v>
          </cell>
          <cell r="O534">
            <v>0</v>
          </cell>
          <cell r="P534">
            <v>0</v>
          </cell>
          <cell r="Q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row>
        <row r="535">
          <cell r="G535">
            <v>0</v>
          </cell>
          <cell r="H535">
            <v>0</v>
          </cell>
          <cell r="I535">
            <v>0</v>
          </cell>
          <cell r="J535">
            <v>0</v>
          </cell>
          <cell r="K535">
            <v>0</v>
          </cell>
          <cell r="L535">
            <v>0</v>
          </cell>
          <cell r="M535">
            <v>0</v>
          </cell>
          <cell r="N535">
            <v>0</v>
          </cell>
          <cell r="O535">
            <v>0</v>
          </cell>
          <cell r="P535">
            <v>0</v>
          </cell>
          <cell r="Q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row>
        <row r="536">
          <cell r="G536">
            <v>0</v>
          </cell>
          <cell r="H536">
            <v>0</v>
          </cell>
          <cell r="I536">
            <v>0</v>
          </cell>
          <cell r="J536">
            <v>0</v>
          </cell>
          <cell r="K536">
            <v>0</v>
          </cell>
          <cell r="L536">
            <v>0</v>
          </cell>
          <cell r="M536">
            <v>0</v>
          </cell>
          <cell r="N536">
            <v>0</v>
          </cell>
          <cell r="O536">
            <v>0</v>
          </cell>
          <cell r="P536">
            <v>0</v>
          </cell>
          <cell r="Q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row>
        <row r="537">
          <cell r="G537">
            <v>0</v>
          </cell>
          <cell r="H537">
            <v>0</v>
          </cell>
          <cell r="I537">
            <v>0</v>
          </cell>
          <cell r="J537">
            <v>0</v>
          </cell>
          <cell r="K537">
            <v>0</v>
          </cell>
          <cell r="L537">
            <v>0</v>
          </cell>
          <cell r="M537">
            <v>0</v>
          </cell>
          <cell r="N537">
            <v>0</v>
          </cell>
          <cell r="O537">
            <v>0</v>
          </cell>
          <cell r="P537">
            <v>0</v>
          </cell>
          <cell r="Q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row>
        <row r="538">
          <cell r="G538">
            <v>0</v>
          </cell>
          <cell r="H538">
            <v>0</v>
          </cell>
          <cell r="I538">
            <v>0</v>
          </cell>
          <cell r="J538">
            <v>0</v>
          </cell>
          <cell r="K538">
            <v>0</v>
          </cell>
          <cell r="L538">
            <v>0</v>
          </cell>
          <cell r="M538">
            <v>0</v>
          </cell>
          <cell r="N538">
            <v>0</v>
          </cell>
          <cell r="O538">
            <v>0</v>
          </cell>
          <cell r="P538">
            <v>0</v>
          </cell>
          <cell r="Q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row>
        <row r="539">
          <cell r="G539">
            <v>0</v>
          </cell>
          <cell r="H539">
            <v>0</v>
          </cell>
          <cell r="I539">
            <v>0</v>
          </cell>
          <cell r="J539">
            <v>0</v>
          </cell>
          <cell r="K539">
            <v>0</v>
          </cell>
          <cell r="L539">
            <v>0</v>
          </cell>
          <cell r="M539">
            <v>0</v>
          </cell>
          <cell r="N539">
            <v>0</v>
          </cell>
          <cell r="O539">
            <v>0</v>
          </cell>
          <cell r="P539">
            <v>0</v>
          </cell>
          <cell r="Q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row>
        <row r="540">
          <cell r="G540">
            <v>0</v>
          </cell>
          <cell r="H540">
            <v>0</v>
          </cell>
          <cell r="I540">
            <v>0</v>
          </cell>
          <cell r="J540">
            <v>0</v>
          </cell>
          <cell r="K540">
            <v>0</v>
          </cell>
          <cell r="L540">
            <v>0</v>
          </cell>
          <cell r="M540">
            <v>0</v>
          </cell>
          <cell r="N540">
            <v>0</v>
          </cell>
          <cell r="O540">
            <v>0</v>
          </cell>
          <cell r="P540">
            <v>0</v>
          </cell>
          <cell r="Q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row>
        <row r="541">
          <cell r="G541">
            <v>0</v>
          </cell>
          <cell r="H541">
            <v>0</v>
          </cell>
          <cell r="I541">
            <v>0</v>
          </cell>
          <cell r="J541">
            <v>0</v>
          </cell>
          <cell r="K541">
            <v>0</v>
          </cell>
          <cell r="L541">
            <v>0</v>
          </cell>
          <cell r="M541">
            <v>0</v>
          </cell>
          <cell r="N541">
            <v>0</v>
          </cell>
          <cell r="O541">
            <v>0</v>
          </cell>
          <cell r="P541">
            <v>0</v>
          </cell>
          <cell r="Q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row>
        <row r="542">
          <cell r="G542">
            <v>0</v>
          </cell>
          <cell r="H542">
            <v>0</v>
          </cell>
          <cell r="I542">
            <v>0</v>
          </cell>
          <cell r="J542">
            <v>0</v>
          </cell>
          <cell r="K542">
            <v>0</v>
          </cell>
          <cell r="L542">
            <v>0</v>
          </cell>
          <cell r="M542">
            <v>0</v>
          </cell>
          <cell r="N542">
            <v>0</v>
          </cell>
          <cell r="O542">
            <v>0</v>
          </cell>
          <cell r="P542">
            <v>0</v>
          </cell>
          <cell r="Q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row>
        <row r="543">
          <cell r="G543">
            <v>0</v>
          </cell>
          <cell r="H543">
            <v>0</v>
          </cell>
          <cell r="I543">
            <v>0</v>
          </cell>
          <cell r="J543">
            <v>0</v>
          </cell>
          <cell r="K543">
            <v>0</v>
          </cell>
          <cell r="L543">
            <v>0</v>
          </cell>
          <cell r="M543">
            <v>0</v>
          </cell>
          <cell r="N543">
            <v>0</v>
          </cell>
          <cell r="O543">
            <v>0</v>
          </cell>
          <cell r="P543">
            <v>0</v>
          </cell>
          <cell r="Q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row>
        <row r="544">
          <cell r="G544">
            <v>0</v>
          </cell>
          <cell r="H544">
            <v>0</v>
          </cell>
          <cell r="I544">
            <v>0</v>
          </cell>
          <cell r="J544">
            <v>0</v>
          </cell>
          <cell r="K544">
            <v>0</v>
          </cell>
          <cell r="L544">
            <v>0</v>
          </cell>
          <cell r="M544">
            <v>0</v>
          </cell>
          <cell r="N544">
            <v>0</v>
          </cell>
          <cell r="O544">
            <v>0</v>
          </cell>
          <cell r="P544">
            <v>0</v>
          </cell>
          <cell r="Q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row>
        <row r="545">
          <cell r="G545">
            <v>0</v>
          </cell>
          <cell r="H545">
            <v>0</v>
          </cell>
          <cell r="I545">
            <v>0</v>
          </cell>
          <cell r="J545">
            <v>0</v>
          </cell>
          <cell r="K545">
            <v>0</v>
          </cell>
          <cell r="L545">
            <v>0</v>
          </cell>
          <cell r="M545">
            <v>0</v>
          </cell>
          <cell r="N545">
            <v>0</v>
          </cell>
          <cell r="O545">
            <v>0</v>
          </cell>
          <cell r="P545">
            <v>0</v>
          </cell>
          <cell r="Q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row>
        <row r="546">
          <cell r="G546">
            <v>0</v>
          </cell>
          <cell r="H546">
            <v>0</v>
          </cell>
          <cell r="I546">
            <v>0</v>
          </cell>
          <cell r="J546">
            <v>0</v>
          </cell>
          <cell r="K546">
            <v>0</v>
          </cell>
          <cell r="L546">
            <v>0</v>
          </cell>
          <cell r="M546">
            <v>0</v>
          </cell>
          <cell r="N546">
            <v>0</v>
          </cell>
          <cell r="O546">
            <v>0</v>
          </cell>
          <cell r="P546">
            <v>0</v>
          </cell>
          <cell r="Q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row>
        <row r="547">
          <cell r="G547">
            <v>0</v>
          </cell>
          <cell r="H547">
            <v>0</v>
          </cell>
          <cell r="I547">
            <v>0</v>
          </cell>
          <cell r="J547">
            <v>0</v>
          </cell>
          <cell r="K547">
            <v>0</v>
          </cell>
          <cell r="L547">
            <v>0</v>
          </cell>
          <cell r="M547">
            <v>0</v>
          </cell>
          <cell r="N547">
            <v>0</v>
          </cell>
          <cell r="O547">
            <v>0</v>
          </cell>
          <cell r="P547">
            <v>0</v>
          </cell>
          <cell r="Q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row>
        <row r="548">
          <cell r="G548">
            <v>0</v>
          </cell>
          <cell r="H548">
            <v>0</v>
          </cell>
          <cell r="I548">
            <v>0</v>
          </cell>
          <cell r="J548">
            <v>0</v>
          </cell>
          <cell r="K548">
            <v>0</v>
          </cell>
          <cell r="L548">
            <v>0</v>
          </cell>
          <cell r="M548">
            <v>0</v>
          </cell>
          <cell r="N548">
            <v>0</v>
          </cell>
          <cell r="O548">
            <v>0</v>
          </cell>
          <cell r="P548">
            <v>0</v>
          </cell>
          <cell r="Q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row>
        <row r="549">
          <cell r="G549">
            <v>0</v>
          </cell>
          <cell r="H549">
            <v>0</v>
          </cell>
          <cell r="I549">
            <v>0</v>
          </cell>
          <cell r="J549">
            <v>0</v>
          </cell>
          <cell r="K549">
            <v>0</v>
          </cell>
          <cell r="L549">
            <v>0</v>
          </cell>
          <cell r="M549">
            <v>0</v>
          </cell>
          <cell r="N549">
            <v>0</v>
          </cell>
          <cell r="O549">
            <v>0</v>
          </cell>
          <cell r="P549">
            <v>0</v>
          </cell>
          <cell r="Q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row>
        <row r="550">
          <cell r="G550">
            <v>0</v>
          </cell>
          <cell r="H550">
            <v>0</v>
          </cell>
          <cell r="I550">
            <v>0</v>
          </cell>
          <cell r="J550">
            <v>0</v>
          </cell>
          <cell r="K550">
            <v>0</v>
          </cell>
          <cell r="L550">
            <v>0</v>
          </cell>
          <cell r="M550">
            <v>0</v>
          </cell>
          <cell r="N550">
            <v>0</v>
          </cell>
          <cell r="O550">
            <v>0</v>
          </cell>
          <cell r="P550">
            <v>0</v>
          </cell>
          <cell r="Q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row>
        <row r="551">
          <cell r="G551">
            <v>0</v>
          </cell>
          <cell r="H551">
            <v>0</v>
          </cell>
          <cell r="I551">
            <v>0</v>
          </cell>
          <cell r="J551">
            <v>0</v>
          </cell>
          <cell r="K551">
            <v>0</v>
          </cell>
          <cell r="L551">
            <v>0</v>
          </cell>
          <cell r="M551">
            <v>0</v>
          </cell>
          <cell r="N551">
            <v>0</v>
          </cell>
          <cell r="O551">
            <v>0</v>
          </cell>
          <cell r="P551">
            <v>0</v>
          </cell>
          <cell r="Q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row>
        <row r="552">
          <cell r="G552">
            <v>0</v>
          </cell>
          <cell r="H552">
            <v>0</v>
          </cell>
          <cell r="I552">
            <v>0</v>
          </cell>
          <cell r="J552">
            <v>0</v>
          </cell>
          <cell r="K552">
            <v>0</v>
          </cell>
          <cell r="L552">
            <v>0</v>
          </cell>
          <cell r="M552">
            <v>0</v>
          </cell>
          <cell r="N552">
            <v>0</v>
          </cell>
          <cell r="O552">
            <v>0</v>
          </cell>
          <cell r="P552">
            <v>0</v>
          </cell>
          <cell r="Q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row>
        <row r="553">
          <cell r="G553">
            <v>0</v>
          </cell>
          <cell r="H553">
            <v>0</v>
          </cell>
          <cell r="I553">
            <v>0</v>
          </cell>
          <cell r="J553">
            <v>0</v>
          </cell>
          <cell r="K553">
            <v>0</v>
          </cell>
          <cell r="L553">
            <v>0</v>
          </cell>
          <cell r="M553">
            <v>0</v>
          </cell>
          <cell r="N553">
            <v>0</v>
          </cell>
          <cell r="O553">
            <v>0</v>
          </cell>
          <cell r="P553">
            <v>0</v>
          </cell>
          <cell r="Q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row>
        <row r="554">
          <cell r="G554">
            <v>0</v>
          </cell>
          <cell r="H554">
            <v>0</v>
          </cell>
          <cell r="I554">
            <v>0</v>
          </cell>
          <cell r="J554">
            <v>0</v>
          </cell>
          <cell r="K554">
            <v>0</v>
          </cell>
          <cell r="L554">
            <v>0</v>
          </cell>
          <cell r="M554">
            <v>0</v>
          </cell>
          <cell r="N554">
            <v>0</v>
          </cell>
          <cell r="O554">
            <v>0</v>
          </cell>
          <cell r="P554">
            <v>0</v>
          </cell>
          <cell r="Q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row>
        <row r="555">
          <cell r="G555">
            <v>0</v>
          </cell>
          <cell r="H555">
            <v>0</v>
          </cell>
          <cell r="I555">
            <v>0</v>
          </cell>
          <cell r="J555">
            <v>0</v>
          </cell>
          <cell r="K555">
            <v>0</v>
          </cell>
          <cell r="L555">
            <v>0</v>
          </cell>
          <cell r="M555">
            <v>0</v>
          </cell>
          <cell r="N555">
            <v>0</v>
          </cell>
          <cell r="O555">
            <v>0</v>
          </cell>
          <cell r="P555">
            <v>0</v>
          </cell>
          <cell r="Q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row>
        <row r="556">
          <cell r="G556">
            <v>0</v>
          </cell>
          <cell r="H556">
            <v>0</v>
          </cell>
          <cell r="I556">
            <v>0</v>
          </cell>
          <cell r="J556">
            <v>0</v>
          </cell>
          <cell r="K556">
            <v>0</v>
          </cell>
          <cell r="L556">
            <v>0</v>
          </cell>
          <cell r="M556">
            <v>0</v>
          </cell>
          <cell r="N556">
            <v>0</v>
          </cell>
          <cell r="O556">
            <v>0</v>
          </cell>
          <cell r="P556">
            <v>0</v>
          </cell>
          <cell r="Q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row>
        <row r="557">
          <cell r="G557">
            <v>0</v>
          </cell>
          <cell r="H557">
            <v>0</v>
          </cell>
          <cell r="I557">
            <v>0</v>
          </cell>
          <cell r="J557">
            <v>0</v>
          </cell>
          <cell r="K557">
            <v>0</v>
          </cell>
          <cell r="L557">
            <v>0</v>
          </cell>
          <cell r="M557">
            <v>0</v>
          </cell>
          <cell r="N557">
            <v>0</v>
          </cell>
          <cell r="O557">
            <v>0</v>
          </cell>
          <cell r="P557">
            <v>0</v>
          </cell>
          <cell r="Q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row>
        <row r="558">
          <cell r="G558">
            <v>0</v>
          </cell>
          <cell r="H558">
            <v>0</v>
          </cell>
          <cell r="I558">
            <v>0</v>
          </cell>
          <cell r="J558">
            <v>0</v>
          </cell>
          <cell r="K558">
            <v>0</v>
          </cell>
          <cell r="L558">
            <v>0</v>
          </cell>
          <cell r="M558">
            <v>0</v>
          </cell>
          <cell r="N558">
            <v>0</v>
          </cell>
          <cell r="O558">
            <v>0</v>
          </cell>
          <cell r="P558">
            <v>0</v>
          </cell>
          <cell r="Q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row>
        <row r="559">
          <cell r="G559">
            <v>0</v>
          </cell>
          <cell r="H559">
            <v>0</v>
          </cell>
          <cell r="I559">
            <v>0</v>
          </cell>
          <cell r="J559">
            <v>0</v>
          </cell>
          <cell r="K559">
            <v>0</v>
          </cell>
          <cell r="L559">
            <v>0</v>
          </cell>
          <cell r="M559">
            <v>0</v>
          </cell>
          <cell r="N559">
            <v>0</v>
          </cell>
          <cell r="O559">
            <v>0</v>
          </cell>
          <cell r="P559">
            <v>0</v>
          </cell>
          <cell r="Q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row>
        <row r="560">
          <cell r="G560">
            <v>0</v>
          </cell>
          <cell r="H560">
            <v>0</v>
          </cell>
          <cell r="I560">
            <v>0</v>
          </cell>
          <cell r="J560">
            <v>0</v>
          </cell>
          <cell r="K560">
            <v>0</v>
          </cell>
          <cell r="L560">
            <v>0</v>
          </cell>
          <cell r="M560">
            <v>0</v>
          </cell>
          <cell r="N560">
            <v>0</v>
          </cell>
          <cell r="O560">
            <v>0</v>
          </cell>
          <cell r="P560">
            <v>0</v>
          </cell>
          <cell r="Q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row>
        <row r="561">
          <cell r="G561">
            <v>0</v>
          </cell>
          <cell r="H561">
            <v>0</v>
          </cell>
          <cell r="I561">
            <v>0</v>
          </cell>
          <cell r="J561">
            <v>0</v>
          </cell>
          <cell r="K561">
            <v>0</v>
          </cell>
          <cell r="L561">
            <v>0</v>
          </cell>
          <cell r="M561">
            <v>0</v>
          </cell>
          <cell r="N561">
            <v>0</v>
          </cell>
          <cell r="O561">
            <v>0</v>
          </cell>
          <cell r="P561">
            <v>0</v>
          </cell>
          <cell r="Q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row>
        <row r="562">
          <cell r="G562">
            <v>0</v>
          </cell>
          <cell r="H562">
            <v>0</v>
          </cell>
          <cell r="I562">
            <v>0</v>
          </cell>
          <cell r="J562">
            <v>0</v>
          </cell>
          <cell r="K562">
            <v>0</v>
          </cell>
          <cell r="L562">
            <v>0</v>
          </cell>
          <cell r="M562">
            <v>0</v>
          </cell>
          <cell r="N562">
            <v>0</v>
          </cell>
          <cell r="O562">
            <v>0</v>
          </cell>
          <cell r="P562">
            <v>0</v>
          </cell>
          <cell r="Q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row>
        <row r="563">
          <cell r="G563">
            <v>0</v>
          </cell>
          <cell r="H563">
            <v>0</v>
          </cell>
          <cell r="I563">
            <v>0</v>
          </cell>
          <cell r="J563">
            <v>0</v>
          </cell>
          <cell r="K563">
            <v>0</v>
          </cell>
          <cell r="L563">
            <v>0</v>
          </cell>
          <cell r="M563">
            <v>0</v>
          </cell>
          <cell r="N563">
            <v>0</v>
          </cell>
          <cell r="O563">
            <v>0</v>
          </cell>
          <cell r="P563">
            <v>0</v>
          </cell>
          <cell r="Q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row>
        <row r="564">
          <cell r="G564">
            <v>0</v>
          </cell>
          <cell r="H564">
            <v>0</v>
          </cell>
          <cell r="I564">
            <v>0</v>
          </cell>
          <cell r="J564">
            <v>0</v>
          </cell>
          <cell r="K564">
            <v>0</v>
          </cell>
          <cell r="L564">
            <v>0</v>
          </cell>
          <cell r="M564">
            <v>0</v>
          </cell>
          <cell r="N564">
            <v>0</v>
          </cell>
          <cell r="O564">
            <v>0</v>
          </cell>
          <cell r="P564">
            <v>0</v>
          </cell>
          <cell r="Q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row>
        <row r="565">
          <cell r="G565">
            <v>0</v>
          </cell>
          <cell r="H565">
            <v>0</v>
          </cell>
          <cell r="I565">
            <v>0</v>
          </cell>
          <cell r="J565">
            <v>0</v>
          </cell>
          <cell r="K565">
            <v>0</v>
          </cell>
          <cell r="L565">
            <v>0</v>
          </cell>
          <cell r="M565">
            <v>0</v>
          </cell>
          <cell r="N565">
            <v>0</v>
          </cell>
          <cell r="O565">
            <v>0</v>
          </cell>
          <cell r="P565">
            <v>0</v>
          </cell>
          <cell r="Q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row>
        <row r="566">
          <cell r="G566">
            <v>0</v>
          </cell>
          <cell r="H566">
            <v>0</v>
          </cell>
          <cell r="I566">
            <v>0</v>
          </cell>
          <cell r="J566">
            <v>0</v>
          </cell>
          <cell r="K566">
            <v>0</v>
          </cell>
          <cell r="L566">
            <v>0</v>
          </cell>
          <cell r="M566">
            <v>0</v>
          </cell>
          <cell r="N566">
            <v>0</v>
          </cell>
          <cell r="O566">
            <v>0</v>
          </cell>
          <cell r="P566">
            <v>0</v>
          </cell>
          <cell r="Q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row>
        <row r="567">
          <cell r="G567">
            <v>0</v>
          </cell>
          <cell r="H567">
            <v>0</v>
          </cell>
          <cell r="I567">
            <v>0</v>
          </cell>
          <cell r="J567">
            <v>0</v>
          </cell>
          <cell r="K567">
            <v>0</v>
          </cell>
          <cell r="L567">
            <v>0</v>
          </cell>
          <cell r="M567">
            <v>0</v>
          </cell>
          <cell r="N567">
            <v>0</v>
          </cell>
          <cell r="O567">
            <v>0</v>
          </cell>
          <cell r="P567">
            <v>0</v>
          </cell>
          <cell r="Q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row>
        <row r="568">
          <cell r="G568">
            <v>0</v>
          </cell>
          <cell r="H568">
            <v>0</v>
          </cell>
          <cell r="I568">
            <v>0</v>
          </cell>
          <cell r="J568">
            <v>0</v>
          </cell>
          <cell r="K568">
            <v>0</v>
          </cell>
          <cell r="L568">
            <v>0</v>
          </cell>
          <cell r="M568">
            <v>0</v>
          </cell>
          <cell r="N568">
            <v>0</v>
          </cell>
          <cell r="O568">
            <v>0</v>
          </cell>
          <cell r="P568">
            <v>0</v>
          </cell>
          <cell r="Q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row>
        <row r="569">
          <cell r="G569">
            <v>0</v>
          </cell>
          <cell r="H569">
            <v>0</v>
          </cell>
          <cell r="I569">
            <v>0</v>
          </cell>
          <cell r="J569">
            <v>0</v>
          </cell>
          <cell r="K569">
            <v>0</v>
          </cell>
          <cell r="L569">
            <v>0</v>
          </cell>
          <cell r="M569">
            <v>0</v>
          </cell>
          <cell r="N569">
            <v>0</v>
          </cell>
          <cell r="O569">
            <v>0</v>
          </cell>
          <cell r="P569">
            <v>0</v>
          </cell>
          <cell r="Q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row>
        <row r="570">
          <cell r="G570">
            <v>0</v>
          </cell>
          <cell r="H570">
            <v>0</v>
          </cell>
          <cell r="I570">
            <v>0</v>
          </cell>
          <cell r="J570">
            <v>0</v>
          </cell>
          <cell r="K570">
            <v>0</v>
          </cell>
          <cell r="L570">
            <v>0</v>
          </cell>
          <cell r="M570">
            <v>0</v>
          </cell>
          <cell r="N570">
            <v>0</v>
          </cell>
          <cell r="O570">
            <v>0</v>
          </cell>
          <cell r="P570">
            <v>0</v>
          </cell>
          <cell r="Q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row>
        <row r="571">
          <cell r="G571">
            <v>0</v>
          </cell>
          <cell r="H571">
            <v>0</v>
          </cell>
          <cell r="I571">
            <v>0</v>
          </cell>
          <cell r="J571">
            <v>0</v>
          </cell>
          <cell r="K571">
            <v>0</v>
          </cell>
          <cell r="L571">
            <v>0</v>
          </cell>
          <cell r="M571">
            <v>0</v>
          </cell>
          <cell r="N571">
            <v>0</v>
          </cell>
          <cell r="O571">
            <v>0</v>
          </cell>
          <cell r="P571">
            <v>0</v>
          </cell>
          <cell r="Q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row>
        <row r="572">
          <cell r="G572">
            <v>0</v>
          </cell>
          <cell r="H572">
            <v>0</v>
          </cell>
          <cell r="I572">
            <v>0</v>
          </cell>
          <cell r="J572">
            <v>0</v>
          </cell>
          <cell r="K572">
            <v>0</v>
          </cell>
          <cell r="L572">
            <v>0</v>
          </cell>
          <cell r="M572">
            <v>0</v>
          </cell>
          <cell r="N572">
            <v>0</v>
          </cell>
          <cell r="O572">
            <v>0</v>
          </cell>
          <cell r="P572">
            <v>0</v>
          </cell>
          <cell r="Q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row>
        <row r="573">
          <cell r="G573">
            <v>0</v>
          </cell>
          <cell r="H573">
            <v>0</v>
          </cell>
          <cell r="I573">
            <v>0</v>
          </cell>
          <cell r="J573">
            <v>0</v>
          </cell>
          <cell r="K573">
            <v>0</v>
          </cell>
          <cell r="L573">
            <v>0</v>
          </cell>
          <cell r="M573">
            <v>0</v>
          </cell>
          <cell r="N573">
            <v>0</v>
          </cell>
          <cell r="O573">
            <v>0</v>
          </cell>
          <cell r="P573">
            <v>0</v>
          </cell>
          <cell r="Q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row>
        <row r="574">
          <cell r="G574">
            <v>0</v>
          </cell>
          <cell r="H574">
            <v>0</v>
          </cell>
          <cell r="I574">
            <v>0</v>
          </cell>
          <cell r="J574">
            <v>0</v>
          </cell>
          <cell r="K574">
            <v>0</v>
          </cell>
          <cell r="L574">
            <v>0</v>
          </cell>
          <cell r="M574">
            <v>0</v>
          </cell>
          <cell r="N574">
            <v>0</v>
          </cell>
          <cell r="O574">
            <v>0</v>
          </cell>
          <cell r="P574">
            <v>0</v>
          </cell>
          <cell r="Q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row>
        <row r="575">
          <cell r="G575">
            <v>0</v>
          </cell>
          <cell r="H575">
            <v>0</v>
          </cell>
          <cell r="I575">
            <v>0</v>
          </cell>
          <cell r="J575">
            <v>0</v>
          </cell>
          <cell r="K575">
            <v>0</v>
          </cell>
          <cell r="L575">
            <v>0</v>
          </cell>
          <cell r="M575">
            <v>0</v>
          </cell>
          <cell r="N575">
            <v>0</v>
          </cell>
          <cell r="O575">
            <v>0</v>
          </cell>
          <cell r="P575">
            <v>0</v>
          </cell>
          <cell r="Q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row>
        <row r="576">
          <cell r="G576">
            <v>0</v>
          </cell>
          <cell r="H576">
            <v>0</v>
          </cell>
          <cell r="I576">
            <v>0</v>
          </cell>
          <cell r="J576">
            <v>0</v>
          </cell>
          <cell r="K576">
            <v>0</v>
          </cell>
          <cell r="L576">
            <v>0</v>
          </cell>
          <cell r="M576">
            <v>0</v>
          </cell>
          <cell r="N576">
            <v>0</v>
          </cell>
          <cell r="O576">
            <v>0</v>
          </cell>
          <cell r="P576">
            <v>0</v>
          </cell>
          <cell r="Q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row>
        <row r="577">
          <cell r="G577">
            <v>0</v>
          </cell>
          <cell r="H577">
            <v>0</v>
          </cell>
          <cell r="I577">
            <v>0</v>
          </cell>
          <cell r="J577">
            <v>0</v>
          </cell>
          <cell r="K577">
            <v>0</v>
          </cell>
          <cell r="L577">
            <v>0</v>
          </cell>
          <cell r="M577">
            <v>0</v>
          </cell>
          <cell r="N577">
            <v>0</v>
          </cell>
          <cell r="O577">
            <v>0</v>
          </cell>
          <cell r="P577">
            <v>0</v>
          </cell>
          <cell r="Q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row>
        <row r="578">
          <cell r="G578">
            <v>0</v>
          </cell>
          <cell r="H578">
            <v>0</v>
          </cell>
          <cell r="I578">
            <v>0</v>
          </cell>
          <cell r="J578">
            <v>0</v>
          </cell>
          <cell r="K578">
            <v>0</v>
          </cell>
          <cell r="L578">
            <v>0</v>
          </cell>
          <cell r="M578">
            <v>0</v>
          </cell>
          <cell r="N578">
            <v>0</v>
          </cell>
          <cell r="O578">
            <v>0</v>
          </cell>
          <cell r="P578">
            <v>0</v>
          </cell>
          <cell r="Q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row>
        <row r="579">
          <cell r="G579">
            <v>0</v>
          </cell>
          <cell r="H579">
            <v>0</v>
          </cell>
          <cell r="I579">
            <v>0</v>
          </cell>
          <cell r="J579">
            <v>0</v>
          </cell>
          <cell r="K579">
            <v>0</v>
          </cell>
          <cell r="L579">
            <v>0</v>
          </cell>
          <cell r="M579">
            <v>0</v>
          </cell>
          <cell r="N579">
            <v>0</v>
          </cell>
          <cell r="O579">
            <v>0</v>
          </cell>
          <cell r="P579">
            <v>0</v>
          </cell>
          <cell r="Q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row>
        <row r="580">
          <cell r="G580">
            <v>0</v>
          </cell>
          <cell r="H580">
            <v>0</v>
          </cell>
          <cell r="I580">
            <v>0</v>
          </cell>
          <cell r="J580">
            <v>0</v>
          </cell>
          <cell r="K580">
            <v>0</v>
          </cell>
          <cell r="L580">
            <v>0</v>
          </cell>
          <cell r="M580">
            <v>0</v>
          </cell>
          <cell r="N580">
            <v>0</v>
          </cell>
          <cell r="O580">
            <v>0</v>
          </cell>
          <cell r="P580">
            <v>0</v>
          </cell>
          <cell r="Q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row>
        <row r="581">
          <cell r="G581">
            <v>0</v>
          </cell>
          <cell r="H581">
            <v>0</v>
          </cell>
          <cell r="I581">
            <v>0</v>
          </cell>
          <cell r="J581">
            <v>0</v>
          </cell>
          <cell r="K581">
            <v>0</v>
          </cell>
          <cell r="L581">
            <v>0</v>
          </cell>
          <cell r="M581">
            <v>0</v>
          </cell>
          <cell r="N581">
            <v>0</v>
          </cell>
          <cell r="O581">
            <v>0</v>
          </cell>
          <cell r="P581">
            <v>0</v>
          </cell>
          <cell r="Q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row>
        <row r="582">
          <cell r="G582">
            <v>0</v>
          </cell>
          <cell r="H582">
            <v>0</v>
          </cell>
          <cell r="I582">
            <v>0</v>
          </cell>
          <cell r="J582">
            <v>0</v>
          </cell>
          <cell r="K582">
            <v>0</v>
          </cell>
          <cell r="L582">
            <v>0</v>
          </cell>
          <cell r="M582">
            <v>0</v>
          </cell>
          <cell r="N582">
            <v>0</v>
          </cell>
          <cell r="O582">
            <v>0</v>
          </cell>
          <cell r="P582">
            <v>0</v>
          </cell>
          <cell r="Q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row>
        <row r="583">
          <cell r="G583">
            <v>0</v>
          </cell>
          <cell r="H583">
            <v>0</v>
          </cell>
          <cell r="I583">
            <v>0</v>
          </cell>
          <cell r="J583">
            <v>0</v>
          </cell>
          <cell r="K583">
            <v>0</v>
          </cell>
          <cell r="L583">
            <v>0</v>
          </cell>
          <cell r="M583">
            <v>0</v>
          </cell>
          <cell r="N583">
            <v>0</v>
          </cell>
          <cell r="O583">
            <v>0</v>
          </cell>
          <cell r="P583">
            <v>0</v>
          </cell>
          <cell r="Q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row>
        <row r="584">
          <cell r="G584">
            <v>0</v>
          </cell>
          <cell r="H584">
            <v>0</v>
          </cell>
          <cell r="I584">
            <v>0</v>
          </cell>
          <cell r="J584">
            <v>0</v>
          </cell>
          <cell r="K584">
            <v>0</v>
          </cell>
          <cell r="L584">
            <v>0</v>
          </cell>
          <cell r="M584">
            <v>0</v>
          </cell>
          <cell r="N584">
            <v>0</v>
          </cell>
          <cell r="O584">
            <v>0</v>
          </cell>
          <cell r="P584">
            <v>0</v>
          </cell>
          <cell r="Q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row>
        <row r="585">
          <cell r="G585">
            <v>0</v>
          </cell>
          <cell r="H585">
            <v>0</v>
          </cell>
          <cell r="I585">
            <v>0</v>
          </cell>
          <cell r="J585">
            <v>0</v>
          </cell>
          <cell r="K585">
            <v>0</v>
          </cell>
          <cell r="L585">
            <v>0</v>
          </cell>
          <cell r="M585">
            <v>0</v>
          </cell>
          <cell r="N585">
            <v>0</v>
          </cell>
          <cell r="O585">
            <v>0</v>
          </cell>
          <cell r="P585">
            <v>0</v>
          </cell>
          <cell r="Q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row>
        <row r="586">
          <cell r="G586">
            <v>0</v>
          </cell>
          <cell r="H586">
            <v>0</v>
          </cell>
          <cell r="I586">
            <v>0</v>
          </cell>
          <cell r="J586">
            <v>0</v>
          </cell>
          <cell r="K586">
            <v>0</v>
          </cell>
          <cell r="L586">
            <v>0</v>
          </cell>
          <cell r="M586">
            <v>0</v>
          </cell>
          <cell r="N586">
            <v>0</v>
          </cell>
          <cell r="O586">
            <v>0</v>
          </cell>
          <cell r="P586">
            <v>0</v>
          </cell>
          <cell r="Q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row>
        <row r="587">
          <cell r="G587">
            <v>0</v>
          </cell>
          <cell r="H587">
            <v>0</v>
          </cell>
          <cell r="I587">
            <v>0</v>
          </cell>
          <cell r="J587">
            <v>0</v>
          </cell>
          <cell r="K587">
            <v>0</v>
          </cell>
          <cell r="L587">
            <v>0</v>
          </cell>
          <cell r="M587">
            <v>0</v>
          </cell>
          <cell r="N587">
            <v>0</v>
          </cell>
          <cell r="O587">
            <v>0</v>
          </cell>
          <cell r="P587">
            <v>0</v>
          </cell>
          <cell r="Q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row>
        <row r="588">
          <cell r="G588">
            <v>0</v>
          </cell>
          <cell r="H588">
            <v>0</v>
          </cell>
          <cell r="I588">
            <v>0</v>
          </cell>
          <cell r="J588">
            <v>0</v>
          </cell>
          <cell r="K588">
            <v>0</v>
          </cell>
          <cell r="L588">
            <v>0</v>
          </cell>
          <cell r="M588">
            <v>0</v>
          </cell>
          <cell r="N588">
            <v>0</v>
          </cell>
          <cell r="O588">
            <v>0</v>
          </cell>
          <cell r="P588">
            <v>0</v>
          </cell>
          <cell r="Q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row>
        <row r="589">
          <cell r="G589">
            <v>0</v>
          </cell>
          <cell r="H589">
            <v>0</v>
          </cell>
          <cell r="I589">
            <v>0</v>
          </cell>
          <cell r="J589">
            <v>0</v>
          </cell>
          <cell r="K589">
            <v>0</v>
          </cell>
          <cell r="L589">
            <v>0</v>
          </cell>
          <cell r="M589">
            <v>0</v>
          </cell>
          <cell r="N589">
            <v>0</v>
          </cell>
          <cell r="O589">
            <v>0</v>
          </cell>
          <cell r="P589">
            <v>0</v>
          </cell>
          <cell r="Q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row>
        <row r="590">
          <cell r="G590">
            <v>0</v>
          </cell>
          <cell r="H590">
            <v>0</v>
          </cell>
          <cell r="I590">
            <v>0</v>
          </cell>
          <cell r="J590">
            <v>0</v>
          </cell>
          <cell r="K590">
            <v>0</v>
          </cell>
          <cell r="L590">
            <v>0</v>
          </cell>
          <cell r="M590">
            <v>0</v>
          </cell>
          <cell r="N590">
            <v>0</v>
          </cell>
          <cell r="O590">
            <v>0</v>
          </cell>
          <cell r="P590">
            <v>0</v>
          </cell>
          <cell r="Q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row>
        <row r="591">
          <cell r="G591">
            <v>0</v>
          </cell>
          <cell r="H591">
            <v>0</v>
          </cell>
          <cell r="I591">
            <v>0</v>
          </cell>
          <cell r="J591">
            <v>0</v>
          </cell>
          <cell r="K591">
            <v>0</v>
          </cell>
          <cell r="L591">
            <v>0</v>
          </cell>
          <cell r="M591">
            <v>0</v>
          </cell>
          <cell r="N591">
            <v>0</v>
          </cell>
          <cell r="O591">
            <v>0</v>
          </cell>
          <cell r="P591">
            <v>0</v>
          </cell>
          <cell r="Q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row>
        <row r="592">
          <cell r="G592">
            <v>0</v>
          </cell>
          <cell r="H592">
            <v>0</v>
          </cell>
          <cell r="I592">
            <v>0</v>
          </cell>
          <cell r="J592">
            <v>0</v>
          </cell>
          <cell r="K592">
            <v>0</v>
          </cell>
          <cell r="L592">
            <v>0</v>
          </cell>
          <cell r="M592">
            <v>0</v>
          </cell>
          <cell r="N592">
            <v>0</v>
          </cell>
          <cell r="O592">
            <v>0</v>
          </cell>
          <cell r="P592">
            <v>0</v>
          </cell>
          <cell r="Q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row>
        <row r="593">
          <cell r="G593">
            <v>0</v>
          </cell>
          <cell r="H593">
            <v>0</v>
          </cell>
          <cell r="I593">
            <v>0</v>
          </cell>
          <cell r="J593">
            <v>0</v>
          </cell>
          <cell r="K593">
            <v>0</v>
          </cell>
          <cell r="L593">
            <v>0</v>
          </cell>
          <cell r="M593">
            <v>0</v>
          </cell>
          <cell r="N593">
            <v>0</v>
          </cell>
          <cell r="O593">
            <v>0</v>
          </cell>
          <cell r="P593">
            <v>0</v>
          </cell>
          <cell r="Q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row>
        <row r="594">
          <cell r="G594">
            <v>0</v>
          </cell>
          <cell r="H594">
            <v>0</v>
          </cell>
          <cell r="I594">
            <v>0</v>
          </cell>
          <cell r="J594">
            <v>0</v>
          </cell>
          <cell r="K594">
            <v>0</v>
          </cell>
          <cell r="L594">
            <v>0</v>
          </cell>
          <cell r="M594">
            <v>0</v>
          </cell>
          <cell r="N594">
            <v>0</v>
          </cell>
          <cell r="O594">
            <v>0</v>
          </cell>
          <cell r="P594">
            <v>0</v>
          </cell>
          <cell r="Q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row>
        <row r="595">
          <cell r="G595">
            <v>0</v>
          </cell>
          <cell r="H595">
            <v>0</v>
          </cell>
          <cell r="I595">
            <v>0</v>
          </cell>
          <cell r="J595">
            <v>0</v>
          </cell>
          <cell r="K595">
            <v>0</v>
          </cell>
          <cell r="L595">
            <v>0</v>
          </cell>
          <cell r="M595">
            <v>0</v>
          </cell>
          <cell r="N595">
            <v>0</v>
          </cell>
          <cell r="O595">
            <v>0</v>
          </cell>
          <cell r="P595">
            <v>0</v>
          </cell>
          <cell r="Q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row>
        <row r="596">
          <cell r="G596">
            <v>0</v>
          </cell>
          <cell r="H596">
            <v>0</v>
          </cell>
          <cell r="I596">
            <v>0</v>
          </cell>
          <cell r="J596">
            <v>0</v>
          </cell>
          <cell r="K596">
            <v>0</v>
          </cell>
          <cell r="L596">
            <v>0</v>
          </cell>
          <cell r="M596">
            <v>0</v>
          </cell>
          <cell r="N596">
            <v>0</v>
          </cell>
          <cell r="O596">
            <v>0</v>
          </cell>
          <cell r="P596">
            <v>0</v>
          </cell>
          <cell r="Q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row>
        <row r="597">
          <cell r="G597">
            <v>0</v>
          </cell>
          <cell r="H597">
            <v>0</v>
          </cell>
          <cell r="I597">
            <v>0</v>
          </cell>
          <cell r="J597">
            <v>0</v>
          </cell>
          <cell r="K597">
            <v>0</v>
          </cell>
          <cell r="L597">
            <v>0</v>
          </cell>
          <cell r="M597">
            <v>0</v>
          </cell>
          <cell r="N597">
            <v>0</v>
          </cell>
          <cell r="O597">
            <v>0</v>
          </cell>
          <cell r="P597">
            <v>0</v>
          </cell>
          <cell r="Q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row>
        <row r="598">
          <cell r="G598">
            <v>0</v>
          </cell>
          <cell r="H598">
            <v>0</v>
          </cell>
          <cell r="I598">
            <v>0</v>
          </cell>
          <cell r="J598">
            <v>0</v>
          </cell>
          <cell r="K598">
            <v>0</v>
          </cell>
          <cell r="L598">
            <v>0</v>
          </cell>
          <cell r="M598">
            <v>0</v>
          </cell>
          <cell r="N598">
            <v>0</v>
          </cell>
          <cell r="O598">
            <v>0</v>
          </cell>
          <cell r="P598">
            <v>0</v>
          </cell>
          <cell r="Q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row>
        <row r="599">
          <cell r="G599">
            <v>0</v>
          </cell>
          <cell r="H599">
            <v>0</v>
          </cell>
          <cell r="I599">
            <v>0</v>
          </cell>
          <cell r="J599">
            <v>0</v>
          </cell>
          <cell r="K599">
            <v>0</v>
          </cell>
          <cell r="L599">
            <v>0</v>
          </cell>
          <cell r="M599">
            <v>0</v>
          </cell>
          <cell r="N599">
            <v>0</v>
          </cell>
          <cell r="O599">
            <v>0</v>
          </cell>
          <cell r="P599">
            <v>0</v>
          </cell>
          <cell r="Q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row>
        <row r="600">
          <cell r="G600">
            <v>0</v>
          </cell>
          <cell r="H600">
            <v>0</v>
          </cell>
          <cell r="I600">
            <v>0</v>
          </cell>
          <cell r="J600">
            <v>0</v>
          </cell>
          <cell r="K600">
            <v>0</v>
          </cell>
          <cell r="L600">
            <v>0</v>
          </cell>
          <cell r="M600">
            <v>0</v>
          </cell>
          <cell r="N600">
            <v>0</v>
          </cell>
          <cell r="O600">
            <v>0</v>
          </cell>
          <cell r="P600">
            <v>0</v>
          </cell>
          <cell r="Q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row>
        <row r="601">
          <cell r="G601">
            <v>0</v>
          </cell>
          <cell r="H601">
            <v>0</v>
          </cell>
          <cell r="I601">
            <v>0</v>
          </cell>
          <cell r="J601">
            <v>0</v>
          </cell>
          <cell r="K601">
            <v>0</v>
          </cell>
          <cell r="L601">
            <v>0</v>
          </cell>
          <cell r="M601">
            <v>0</v>
          </cell>
          <cell r="N601">
            <v>0</v>
          </cell>
          <cell r="O601">
            <v>0</v>
          </cell>
          <cell r="P601">
            <v>0</v>
          </cell>
          <cell r="Q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row>
        <row r="602">
          <cell r="G602">
            <v>0</v>
          </cell>
          <cell r="H602">
            <v>0</v>
          </cell>
          <cell r="I602">
            <v>0</v>
          </cell>
          <cell r="J602">
            <v>0</v>
          </cell>
          <cell r="K602">
            <v>0</v>
          </cell>
          <cell r="L602">
            <v>0</v>
          </cell>
          <cell r="M602">
            <v>0</v>
          </cell>
          <cell r="N602">
            <v>0</v>
          </cell>
          <cell r="O602">
            <v>0</v>
          </cell>
          <cell r="P602">
            <v>0</v>
          </cell>
          <cell r="Q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row>
        <row r="603">
          <cell r="G603">
            <v>0</v>
          </cell>
          <cell r="H603">
            <v>0</v>
          </cell>
          <cell r="I603">
            <v>0</v>
          </cell>
          <cell r="J603">
            <v>0</v>
          </cell>
          <cell r="K603">
            <v>0</v>
          </cell>
          <cell r="L603">
            <v>0</v>
          </cell>
          <cell r="M603">
            <v>0</v>
          </cell>
          <cell r="N603">
            <v>0</v>
          </cell>
          <cell r="O603">
            <v>0</v>
          </cell>
          <cell r="P603">
            <v>0</v>
          </cell>
          <cell r="Q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row>
        <row r="604">
          <cell r="G604">
            <v>0</v>
          </cell>
          <cell r="H604">
            <v>0</v>
          </cell>
          <cell r="I604">
            <v>0</v>
          </cell>
          <cell r="J604">
            <v>0</v>
          </cell>
          <cell r="K604">
            <v>0</v>
          </cell>
          <cell r="L604">
            <v>0</v>
          </cell>
          <cell r="M604">
            <v>0</v>
          </cell>
          <cell r="N604">
            <v>0</v>
          </cell>
          <cell r="O604">
            <v>0</v>
          </cell>
          <cell r="P604">
            <v>0</v>
          </cell>
          <cell r="Q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row>
        <row r="605">
          <cell r="G605">
            <v>0</v>
          </cell>
          <cell r="H605">
            <v>0</v>
          </cell>
          <cell r="I605">
            <v>0</v>
          </cell>
          <cell r="J605">
            <v>0</v>
          </cell>
          <cell r="K605">
            <v>0</v>
          </cell>
          <cell r="L605">
            <v>0</v>
          </cell>
          <cell r="M605">
            <v>0</v>
          </cell>
          <cell r="N605">
            <v>0</v>
          </cell>
          <cell r="O605">
            <v>0</v>
          </cell>
          <cell r="P605">
            <v>0</v>
          </cell>
          <cell r="Q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row>
        <row r="606">
          <cell r="G606">
            <v>0</v>
          </cell>
          <cell r="H606">
            <v>0</v>
          </cell>
          <cell r="I606">
            <v>0</v>
          </cell>
          <cell r="J606">
            <v>0</v>
          </cell>
          <cell r="K606">
            <v>0</v>
          </cell>
          <cell r="L606">
            <v>0</v>
          </cell>
          <cell r="M606">
            <v>0</v>
          </cell>
          <cell r="N606">
            <v>0</v>
          </cell>
          <cell r="O606">
            <v>0</v>
          </cell>
          <cell r="P606">
            <v>0</v>
          </cell>
          <cell r="Q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row>
        <row r="607">
          <cell r="G607">
            <v>0</v>
          </cell>
          <cell r="H607">
            <v>0</v>
          </cell>
          <cell r="I607">
            <v>0</v>
          </cell>
          <cell r="J607">
            <v>0</v>
          </cell>
          <cell r="K607">
            <v>0</v>
          </cell>
          <cell r="L607">
            <v>0</v>
          </cell>
          <cell r="M607">
            <v>0</v>
          </cell>
          <cell r="N607">
            <v>0</v>
          </cell>
          <cell r="O607">
            <v>0</v>
          </cell>
          <cell r="P607">
            <v>0</v>
          </cell>
          <cell r="Q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row>
        <row r="608">
          <cell r="G608">
            <v>0</v>
          </cell>
          <cell r="H608">
            <v>0</v>
          </cell>
          <cell r="I608">
            <v>0</v>
          </cell>
          <cell r="J608">
            <v>0</v>
          </cell>
          <cell r="K608">
            <v>0</v>
          </cell>
          <cell r="L608">
            <v>0</v>
          </cell>
          <cell r="M608">
            <v>0</v>
          </cell>
          <cell r="N608">
            <v>0</v>
          </cell>
          <cell r="O608">
            <v>0</v>
          </cell>
          <cell r="P608">
            <v>0</v>
          </cell>
          <cell r="Q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row>
        <row r="609">
          <cell r="G609">
            <v>0</v>
          </cell>
          <cell r="H609">
            <v>0</v>
          </cell>
          <cell r="I609">
            <v>0</v>
          </cell>
          <cell r="J609">
            <v>0</v>
          </cell>
          <cell r="K609">
            <v>0</v>
          </cell>
          <cell r="L609">
            <v>0</v>
          </cell>
          <cell r="M609">
            <v>0</v>
          </cell>
          <cell r="N609">
            <v>0</v>
          </cell>
          <cell r="O609">
            <v>0</v>
          </cell>
          <cell r="P609">
            <v>0</v>
          </cell>
          <cell r="Q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row>
        <row r="610">
          <cell r="G610">
            <v>0</v>
          </cell>
          <cell r="H610">
            <v>0</v>
          </cell>
          <cell r="I610">
            <v>0</v>
          </cell>
          <cell r="J610">
            <v>0</v>
          </cell>
          <cell r="K610">
            <v>0</v>
          </cell>
          <cell r="L610">
            <v>0</v>
          </cell>
          <cell r="M610">
            <v>0</v>
          </cell>
          <cell r="N610">
            <v>0</v>
          </cell>
          <cell r="O610">
            <v>0</v>
          </cell>
          <cell r="P610">
            <v>0</v>
          </cell>
          <cell r="Q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row>
        <row r="611">
          <cell r="G611">
            <v>0</v>
          </cell>
          <cell r="H611">
            <v>0</v>
          </cell>
          <cell r="I611">
            <v>0</v>
          </cell>
          <cell r="J611">
            <v>0</v>
          </cell>
          <cell r="K611">
            <v>0</v>
          </cell>
          <cell r="L611">
            <v>0</v>
          </cell>
          <cell r="M611">
            <v>0</v>
          </cell>
          <cell r="N611">
            <v>0</v>
          </cell>
          <cell r="O611">
            <v>0</v>
          </cell>
          <cell r="P611">
            <v>0</v>
          </cell>
          <cell r="Q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row>
        <row r="612">
          <cell r="G612">
            <v>0</v>
          </cell>
          <cell r="H612">
            <v>0</v>
          </cell>
          <cell r="I612">
            <v>0</v>
          </cell>
          <cell r="J612">
            <v>0</v>
          </cell>
          <cell r="K612">
            <v>0</v>
          </cell>
          <cell r="L612">
            <v>0</v>
          </cell>
          <cell r="M612">
            <v>0</v>
          </cell>
          <cell r="N612">
            <v>0</v>
          </cell>
          <cell r="O612">
            <v>0</v>
          </cell>
          <cell r="P612">
            <v>0</v>
          </cell>
          <cell r="Q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row>
        <row r="613">
          <cell r="G613">
            <v>0</v>
          </cell>
          <cell r="H613">
            <v>0</v>
          </cell>
          <cell r="I613">
            <v>0</v>
          </cell>
          <cell r="J613">
            <v>0</v>
          </cell>
          <cell r="K613">
            <v>0</v>
          </cell>
          <cell r="L613">
            <v>0</v>
          </cell>
          <cell r="M613">
            <v>0</v>
          </cell>
          <cell r="N613">
            <v>0</v>
          </cell>
          <cell r="O613">
            <v>0</v>
          </cell>
          <cell r="P613">
            <v>0</v>
          </cell>
          <cell r="Q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row>
        <row r="614">
          <cell r="G614">
            <v>0</v>
          </cell>
          <cell r="H614">
            <v>0</v>
          </cell>
          <cell r="I614">
            <v>0</v>
          </cell>
          <cell r="J614">
            <v>0</v>
          </cell>
          <cell r="K614">
            <v>0</v>
          </cell>
          <cell r="L614">
            <v>0</v>
          </cell>
          <cell r="M614">
            <v>0</v>
          </cell>
          <cell r="N614">
            <v>0</v>
          </cell>
          <cell r="O614">
            <v>0</v>
          </cell>
          <cell r="P614">
            <v>0</v>
          </cell>
          <cell r="Q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row>
        <row r="615">
          <cell r="G615">
            <v>0</v>
          </cell>
          <cell r="H615">
            <v>0</v>
          </cell>
          <cell r="I615">
            <v>0</v>
          </cell>
          <cell r="J615">
            <v>0</v>
          </cell>
          <cell r="K615">
            <v>0</v>
          </cell>
          <cell r="L615">
            <v>0</v>
          </cell>
          <cell r="M615">
            <v>0</v>
          </cell>
          <cell r="N615">
            <v>0</v>
          </cell>
          <cell r="O615">
            <v>0</v>
          </cell>
          <cell r="P615">
            <v>0</v>
          </cell>
          <cell r="Q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row>
        <row r="616">
          <cell r="G616">
            <v>0</v>
          </cell>
          <cell r="H616">
            <v>0</v>
          </cell>
          <cell r="I616">
            <v>0</v>
          </cell>
          <cell r="J616">
            <v>0</v>
          </cell>
          <cell r="K616">
            <v>0</v>
          </cell>
          <cell r="L616">
            <v>0</v>
          </cell>
          <cell r="M616">
            <v>0</v>
          </cell>
          <cell r="N616">
            <v>0</v>
          </cell>
          <cell r="O616">
            <v>0</v>
          </cell>
          <cell r="P616">
            <v>0</v>
          </cell>
          <cell r="Q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row>
        <row r="617">
          <cell r="G617">
            <v>0</v>
          </cell>
          <cell r="H617">
            <v>0</v>
          </cell>
          <cell r="I617">
            <v>0</v>
          </cell>
          <cell r="J617">
            <v>0</v>
          </cell>
          <cell r="K617">
            <v>0</v>
          </cell>
          <cell r="L617">
            <v>0</v>
          </cell>
          <cell r="M617">
            <v>0</v>
          </cell>
          <cell r="N617">
            <v>0</v>
          </cell>
          <cell r="O617">
            <v>0</v>
          </cell>
          <cell r="P617">
            <v>0</v>
          </cell>
          <cell r="Q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row>
        <row r="618">
          <cell r="G618">
            <v>0</v>
          </cell>
          <cell r="H618">
            <v>0</v>
          </cell>
          <cell r="I618">
            <v>0</v>
          </cell>
          <cell r="J618">
            <v>0</v>
          </cell>
          <cell r="K618">
            <v>0</v>
          </cell>
          <cell r="L618">
            <v>0</v>
          </cell>
          <cell r="M618">
            <v>0</v>
          </cell>
          <cell r="N618">
            <v>0</v>
          </cell>
          <cell r="O618">
            <v>0</v>
          </cell>
          <cell r="P618">
            <v>0</v>
          </cell>
          <cell r="Q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row>
        <row r="619">
          <cell r="G619">
            <v>0</v>
          </cell>
          <cell r="H619">
            <v>0</v>
          </cell>
          <cell r="I619">
            <v>0</v>
          </cell>
          <cell r="J619">
            <v>0</v>
          </cell>
          <cell r="K619">
            <v>0</v>
          </cell>
          <cell r="L619">
            <v>0</v>
          </cell>
          <cell r="M619">
            <v>0</v>
          </cell>
          <cell r="N619">
            <v>0</v>
          </cell>
          <cell r="O619">
            <v>0</v>
          </cell>
          <cell r="P619">
            <v>0</v>
          </cell>
          <cell r="Q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row>
        <row r="620">
          <cell r="G620">
            <v>0</v>
          </cell>
          <cell r="H620">
            <v>0</v>
          </cell>
          <cell r="I620">
            <v>0</v>
          </cell>
          <cell r="J620">
            <v>0</v>
          </cell>
          <cell r="K620">
            <v>0</v>
          </cell>
          <cell r="L620">
            <v>0</v>
          </cell>
          <cell r="M620">
            <v>0</v>
          </cell>
          <cell r="N620">
            <v>0</v>
          </cell>
          <cell r="O620">
            <v>0</v>
          </cell>
          <cell r="P620">
            <v>0</v>
          </cell>
          <cell r="Q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row>
        <row r="621">
          <cell r="G621">
            <v>0</v>
          </cell>
          <cell r="H621">
            <v>0</v>
          </cell>
          <cell r="I621">
            <v>0</v>
          </cell>
          <cell r="J621">
            <v>0</v>
          </cell>
          <cell r="K621">
            <v>0</v>
          </cell>
          <cell r="L621">
            <v>0</v>
          </cell>
          <cell r="M621">
            <v>0</v>
          </cell>
          <cell r="N621">
            <v>0</v>
          </cell>
          <cell r="O621">
            <v>0</v>
          </cell>
          <cell r="P621">
            <v>0</v>
          </cell>
          <cell r="Q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row>
        <row r="622">
          <cell r="G622">
            <v>0</v>
          </cell>
          <cell r="H622">
            <v>0</v>
          </cell>
          <cell r="I622">
            <v>0</v>
          </cell>
          <cell r="J622">
            <v>0</v>
          </cell>
          <cell r="K622">
            <v>0</v>
          </cell>
          <cell r="L622">
            <v>0</v>
          </cell>
          <cell r="M622">
            <v>0</v>
          </cell>
          <cell r="N622">
            <v>0</v>
          </cell>
          <cell r="O622">
            <v>0</v>
          </cell>
          <cell r="P622">
            <v>0</v>
          </cell>
          <cell r="Q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row>
        <row r="623">
          <cell r="G623">
            <v>0</v>
          </cell>
          <cell r="H623">
            <v>0</v>
          </cell>
          <cell r="I623">
            <v>0</v>
          </cell>
          <cell r="J623">
            <v>0</v>
          </cell>
          <cell r="K623">
            <v>0</v>
          </cell>
          <cell r="L623">
            <v>0</v>
          </cell>
          <cell r="M623">
            <v>0</v>
          </cell>
          <cell r="N623">
            <v>0</v>
          </cell>
          <cell r="O623">
            <v>0</v>
          </cell>
          <cell r="P623">
            <v>0</v>
          </cell>
          <cell r="Q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row>
        <row r="624">
          <cell r="G624">
            <v>0</v>
          </cell>
          <cell r="H624">
            <v>0</v>
          </cell>
          <cell r="I624">
            <v>0</v>
          </cell>
          <cell r="J624">
            <v>0</v>
          </cell>
          <cell r="K624">
            <v>0</v>
          </cell>
          <cell r="L624">
            <v>0</v>
          </cell>
          <cell r="M624">
            <v>0</v>
          </cell>
          <cell r="N624">
            <v>0</v>
          </cell>
          <cell r="O624">
            <v>0</v>
          </cell>
          <cell r="P624">
            <v>0</v>
          </cell>
          <cell r="Q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row>
        <row r="625">
          <cell r="G625">
            <v>0</v>
          </cell>
          <cell r="H625">
            <v>0</v>
          </cell>
          <cell r="I625">
            <v>0</v>
          </cell>
          <cell r="J625">
            <v>0</v>
          </cell>
          <cell r="K625">
            <v>0</v>
          </cell>
          <cell r="L625">
            <v>0</v>
          </cell>
          <cell r="M625">
            <v>0</v>
          </cell>
          <cell r="N625">
            <v>0</v>
          </cell>
          <cell r="O625">
            <v>0</v>
          </cell>
          <cell r="P625">
            <v>0</v>
          </cell>
          <cell r="Q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row>
        <row r="626">
          <cell r="G626">
            <v>0</v>
          </cell>
          <cell r="H626">
            <v>0</v>
          </cell>
          <cell r="I626">
            <v>0</v>
          </cell>
          <cell r="J626">
            <v>0</v>
          </cell>
          <cell r="K626">
            <v>0</v>
          </cell>
          <cell r="L626">
            <v>0</v>
          </cell>
          <cell r="M626">
            <v>0</v>
          </cell>
          <cell r="N626">
            <v>0</v>
          </cell>
          <cell r="O626">
            <v>0</v>
          </cell>
          <cell r="P626">
            <v>0</v>
          </cell>
          <cell r="Q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row>
        <row r="627">
          <cell r="G627">
            <v>0</v>
          </cell>
          <cell r="H627">
            <v>0</v>
          </cell>
          <cell r="I627">
            <v>0</v>
          </cell>
          <cell r="J627">
            <v>0</v>
          </cell>
          <cell r="K627">
            <v>0</v>
          </cell>
          <cell r="L627">
            <v>0</v>
          </cell>
          <cell r="M627">
            <v>0</v>
          </cell>
          <cell r="N627">
            <v>0</v>
          </cell>
          <cell r="O627">
            <v>0</v>
          </cell>
          <cell r="P627">
            <v>0</v>
          </cell>
          <cell r="Q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row>
        <row r="628">
          <cell r="G628">
            <v>0</v>
          </cell>
          <cell r="H628">
            <v>0</v>
          </cell>
          <cell r="I628">
            <v>0</v>
          </cell>
          <cell r="J628">
            <v>0</v>
          </cell>
          <cell r="K628">
            <v>0</v>
          </cell>
          <cell r="L628">
            <v>0</v>
          </cell>
          <cell r="M628">
            <v>0</v>
          </cell>
          <cell r="N628">
            <v>0</v>
          </cell>
          <cell r="O628">
            <v>0</v>
          </cell>
          <cell r="P628">
            <v>0</v>
          </cell>
          <cell r="Q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row>
        <row r="629">
          <cell r="G629">
            <v>0</v>
          </cell>
          <cell r="H629">
            <v>0</v>
          </cell>
          <cell r="I629">
            <v>0</v>
          </cell>
          <cell r="J629">
            <v>0</v>
          </cell>
          <cell r="K629">
            <v>0</v>
          </cell>
          <cell r="L629">
            <v>0</v>
          </cell>
          <cell r="M629">
            <v>0</v>
          </cell>
          <cell r="N629">
            <v>0</v>
          </cell>
          <cell r="O629">
            <v>0</v>
          </cell>
          <cell r="P629">
            <v>0</v>
          </cell>
          <cell r="Q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row>
        <row r="630">
          <cell r="G630">
            <v>0</v>
          </cell>
          <cell r="H630">
            <v>0</v>
          </cell>
          <cell r="I630">
            <v>0</v>
          </cell>
          <cell r="J630">
            <v>0</v>
          </cell>
          <cell r="K630">
            <v>0</v>
          </cell>
          <cell r="L630">
            <v>0</v>
          </cell>
          <cell r="M630">
            <v>0</v>
          </cell>
          <cell r="N630">
            <v>0</v>
          </cell>
          <cell r="O630">
            <v>0</v>
          </cell>
          <cell r="P630">
            <v>0</v>
          </cell>
          <cell r="Q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row>
        <row r="631">
          <cell r="G631">
            <v>0</v>
          </cell>
          <cell r="H631">
            <v>0</v>
          </cell>
          <cell r="I631">
            <v>0</v>
          </cell>
          <cell r="J631">
            <v>0</v>
          </cell>
          <cell r="K631">
            <v>0</v>
          </cell>
          <cell r="L631">
            <v>0</v>
          </cell>
          <cell r="M631">
            <v>0</v>
          </cell>
          <cell r="N631">
            <v>0</v>
          </cell>
          <cell r="O631">
            <v>0</v>
          </cell>
          <cell r="P631">
            <v>0</v>
          </cell>
          <cell r="Q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row>
        <row r="632">
          <cell r="G632">
            <v>0</v>
          </cell>
          <cell r="H632">
            <v>0</v>
          </cell>
          <cell r="I632">
            <v>0</v>
          </cell>
          <cell r="J632">
            <v>0</v>
          </cell>
          <cell r="K632">
            <v>0</v>
          </cell>
          <cell r="L632">
            <v>0</v>
          </cell>
          <cell r="M632">
            <v>0</v>
          </cell>
          <cell r="N632">
            <v>0</v>
          </cell>
          <cell r="O632">
            <v>0</v>
          </cell>
          <cell r="P632">
            <v>0</v>
          </cell>
          <cell r="Q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row>
        <row r="633">
          <cell r="G633">
            <v>0</v>
          </cell>
          <cell r="H633">
            <v>0</v>
          </cell>
          <cell r="I633">
            <v>0</v>
          </cell>
          <cell r="J633">
            <v>0</v>
          </cell>
          <cell r="K633">
            <v>0</v>
          </cell>
          <cell r="L633">
            <v>0</v>
          </cell>
          <cell r="M633">
            <v>0</v>
          </cell>
          <cell r="N633">
            <v>0</v>
          </cell>
          <cell r="O633">
            <v>0</v>
          </cell>
          <cell r="P633">
            <v>0</v>
          </cell>
          <cell r="Q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row>
        <row r="634">
          <cell r="G634">
            <v>0</v>
          </cell>
          <cell r="H634">
            <v>0</v>
          </cell>
          <cell r="I634">
            <v>0</v>
          </cell>
          <cell r="J634">
            <v>0</v>
          </cell>
          <cell r="K634">
            <v>0</v>
          </cell>
          <cell r="L634">
            <v>0</v>
          </cell>
          <cell r="M634">
            <v>0</v>
          </cell>
          <cell r="N634">
            <v>0</v>
          </cell>
          <cell r="O634">
            <v>0</v>
          </cell>
          <cell r="P634">
            <v>0</v>
          </cell>
          <cell r="Q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row>
        <row r="635">
          <cell r="G635">
            <v>0</v>
          </cell>
          <cell r="H635">
            <v>0</v>
          </cell>
          <cell r="I635">
            <v>0</v>
          </cell>
          <cell r="J635">
            <v>0</v>
          </cell>
          <cell r="K635">
            <v>0</v>
          </cell>
          <cell r="L635">
            <v>0</v>
          </cell>
          <cell r="M635">
            <v>0</v>
          </cell>
          <cell r="N635">
            <v>0</v>
          </cell>
          <cell r="O635">
            <v>0</v>
          </cell>
          <cell r="P635">
            <v>0</v>
          </cell>
          <cell r="Q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row>
        <row r="636">
          <cell r="G636">
            <v>0</v>
          </cell>
          <cell r="H636">
            <v>0</v>
          </cell>
          <cell r="I636">
            <v>0</v>
          </cell>
          <cell r="J636">
            <v>0</v>
          </cell>
          <cell r="K636">
            <v>0</v>
          </cell>
          <cell r="L636">
            <v>0</v>
          </cell>
          <cell r="M636">
            <v>0</v>
          </cell>
          <cell r="N636">
            <v>0</v>
          </cell>
          <cell r="O636">
            <v>0</v>
          </cell>
          <cell r="P636">
            <v>0</v>
          </cell>
          <cell r="Q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row>
        <row r="637">
          <cell r="G637">
            <v>0</v>
          </cell>
          <cell r="H637">
            <v>0</v>
          </cell>
          <cell r="I637">
            <v>0</v>
          </cell>
          <cell r="J637">
            <v>0</v>
          </cell>
          <cell r="K637">
            <v>0</v>
          </cell>
          <cell r="L637">
            <v>0</v>
          </cell>
          <cell r="M637">
            <v>0</v>
          </cell>
          <cell r="N637">
            <v>0</v>
          </cell>
          <cell r="O637">
            <v>0</v>
          </cell>
          <cell r="P637">
            <v>0</v>
          </cell>
          <cell r="Q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row>
        <row r="638">
          <cell r="G638">
            <v>0</v>
          </cell>
          <cell r="H638">
            <v>0</v>
          </cell>
          <cell r="I638">
            <v>0</v>
          </cell>
          <cell r="J638">
            <v>0</v>
          </cell>
          <cell r="K638">
            <v>0</v>
          </cell>
          <cell r="L638">
            <v>0</v>
          </cell>
          <cell r="M638">
            <v>0</v>
          </cell>
          <cell r="N638">
            <v>0</v>
          </cell>
          <cell r="O638">
            <v>0</v>
          </cell>
          <cell r="P638">
            <v>0</v>
          </cell>
          <cell r="Q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row>
        <row r="639">
          <cell r="G639">
            <v>0</v>
          </cell>
          <cell r="H639">
            <v>0</v>
          </cell>
          <cell r="I639">
            <v>0</v>
          </cell>
          <cell r="J639">
            <v>0</v>
          </cell>
          <cell r="K639">
            <v>0</v>
          </cell>
          <cell r="L639">
            <v>0</v>
          </cell>
          <cell r="M639">
            <v>0</v>
          </cell>
          <cell r="N639">
            <v>0</v>
          </cell>
          <cell r="O639">
            <v>0</v>
          </cell>
          <cell r="P639">
            <v>0</v>
          </cell>
          <cell r="Q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row>
        <row r="640">
          <cell r="G640">
            <v>0</v>
          </cell>
          <cell r="H640">
            <v>0</v>
          </cell>
          <cell r="I640">
            <v>0</v>
          </cell>
          <cell r="J640">
            <v>0</v>
          </cell>
          <cell r="K640">
            <v>0</v>
          </cell>
          <cell r="L640">
            <v>0</v>
          </cell>
          <cell r="M640">
            <v>0</v>
          </cell>
          <cell r="N640">
            <v>0</v>
          </cell>
          <cell r="O640">
            <v>0</v>
          </cell>
          <cell r="P640">
            <v>0</v>
          </cell>
          <cell r="Q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row>
        <row r="641">
          <cell r="G641">
            <v>0</v>
          </cell>
          <cell r="H641">
            <v>0</v>
          </cell>
          <cell r="I641">
            <v>0</v>
          </cell>
          <cell r="J641">
            <v>0</v>
          </cell>
          <cell r="K641">
            <v>0</v>
          </cell>
          <cell r="L641">
            <v>0</v>
          </cell>
          <cell r="M641">
            <v>0</v>
          </cell>
          <cell r="N641">
            <v>0</v>
          </cell>
          <cell r="O641">
            <v>0</v>
          </cell>
          <cell r="P641">
            <v>0</v>
          </cell>
          <cell r="Q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row>
        <row r="642">
          <cell r="G642">
            <v>0</v>
          </cell>
          <cell r="H642">
            <v>0</v>
          </cell>
          <cell r="I642">
            <v>0</v>
          </cell>
          <cell r="J642">
            <v>0</v>
          </cell>
          <cell r="K642">
            <v>0</v>
          </cell>
          <cell r="L642">
            <v>0</v>
          </cell>
          <cell r="M642">
            <v>0</v>
          </cell>
          <cell r="N642">
            <v>0</v>
          </cell>
          <cell r="O642">
            <v>0</v>
          </cell>
          <cell r="P642">
            <v>0</v>
          </cell>
          <cell r="Q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row>
        <row r="643">
          <cell r="G643">
            <v>0</v>
          </cell>
          <cell r="H643">
            <v>0</v>
          </cell>
          <cell r="I643">
            <v>0</v>
          </cell>
          <cell r="J643">
            <v>0</v>
          </cell>
          <cell r="K643">
            <v>0</v>
          </cell>
          <cell r="L643">
            <v>0</v>
          </cell>
          <cell r="M643">
            <v>0</v>
          </cell>
          <cell r="N643">
            <v>0</v>
          </cell>
          <cell r="O643">
            <v>0</v>
          </cell>
          <cell r="P643">
            <v>0</v>
          </cell>
          <cell r="Q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row>
        <row r="644">
          <cell r="G644">
            <v>0</v>
          </cell>
          <cell r="H644">
            <v>0</v>
          </cell>
          <cell r="I644">
            <v>0</v>
          </cell>
          <cell r="J644">
            <v>0</v>
          </cell>
          <cell r="K644">
            <v>0</v>
          </cell>
          <cell r="L644">
            <v>0</v>
          </cell>
          <cell r="M644">
            <v>0</v>
          </cell>
          <cell r="N644">
            <v>0</v>
          </cell>
          <cell r="O644">
            <v>0</v>
          </cell>
          <cell r="P644">
            <v>0</v>
          </cell>
          <cell r="Q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row>
        <row r="645">
          <cell r="G645">
            <v>0</v>
          </cell>
          <cell r="H645">
            <v>0</v>
          </cell>
          <cell r="I645">
            <v>0</v>
          </cell>
          <cell r="J645">
            <v>0</v>
          </cell>
          <cell r="K645">
            <v>0</v>
          </cell>
          <cell r="L645">
            <v>0</v>
          </cell>
          <cell r="M645">
            <v>0</v>
          </cell>
          <cell r="N645">
            <v>0</v>
          </cell>
          <cell r="O645">
            <v>0</v>
          </cell>
          <cell r="P645">
            <v>0</v>
          </cell>
          <cell r="Q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row>
        <row r="646">
          <cell r="G646">
            <v>0</v>
          </cell>
          <cell r="H646">
            <v>0</v>
          </cell>
          <cell r="I646">
            <v>0</v>
          </cell>
          <cell r="J646">
            <v>0</v>
          </cell>
          <cell r="K646">
            <v>0</v>
          </cell>
          <cell r="L646">
            <v>0</v>
          </cell>
          <cell r="M646">
            <v>0</v>
          </cell>
          <cell r="N646">
            <v>0</v>
          </cell>
          <cell r="O646">
            <v>0</v>
          </cell>
          <cell r="P646">
            <v>0</v>
          </cell>
          <cell r="Q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row>
        <row r="647">
          <cell r="G647">
            <v>0</v>
          </cell>
          <cell r="H647">
            <v>0</v>
          </cell>
          <cell r="I647">
            <v>0</v>
          </cell>
          <cell r="J647">
            <v>0</v>
          </cell>
          <cell r="K647">
            <v>0</v>
          </cell>
          <cell r="L647">
            <v>0</v>
          </cell>
          <cell r="M647">
            <v>0</v>
          </cell>
          <cell r="N647">
            <v>0</v>
          </cell>
          <cell r="O647">
            <v>0</v>
          </cell>
          <cell r="P647">
            <v>0</v>
          </cell>
          <cell r="Q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row>
        <row r="648">
          <cell r="G648">
            <v>0</v>
          </cell>
          <cell r="H648">
            <v>0</v>
          </cell>
          <cell r="I648">
            <v>0</v>
          </cell>
          <cell r="J648">
            <v>0</v>
          </cell>
          <cell r="K648">
            <v>0</v>
          </cell>
          <cell r="L648">
            <v>0</v>
          </cell>
          <cell r="M648">
            <v>0</v>
          </cell>
          <cell r="N648">
            <v>0</v>
          </cell>
          <cell r="O648">
            <v>0</v>
          </cell>
          <cell r="P648">
            <v>0</v>
          </cell>
          <cell r="Q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row>
        <row r="649">
          <cell r="G649">
            <v>0</v>
          </cell>
          <cell r="H649">
            <v>0</v>
          </cell>
          <cell r="I649">
            <v>0</v>
          </cell>
          <cell r="J649">
            <v>0</v>
          </cell>
          <cell r="K649">
            <v>0</v>
          </cell>
          <cell r="L649">
            <v>0</v>
          </cell>
          <cell r="M649">
            <v>0</v>
          </cell>
          <cell r="N649">
            <v>0</v>
          </cell>
          <cell r="O649">
            <v>0</v>
          </cell>
          <cell r="P649">
            <v>0</v>
          </cell>
          <cell r="Q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row>
        <row r="650">
          <cell r="G650">
            <v>0</v>
          </cell>
          <cell r="H650">
            <v>0</v>
          </cell>
          <cell r="I650">
            <v>0</v>
          </cell>
          <cell r="J650">
            <v>0</v>
          </cell>
          <cell r="K650">
            <v>0</v>
          </cell>
          <cell r="L650">
            <v>0</v>
          </cell>
          <cell r="M650">
            <v>0</v>
          </cell>
          <cell r="N650">
            <v>0</v>
          </cell>
          <cell r="O650">
            <v>0</v>
          </cell>
          <cell r="P650">
            <v>0</v>
          </cell>
          <cell r="Q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row>
        <row r="651">
          <cell r="G651">
            <v>0</v>
          </cell>
          <cell r="H651">
            <v>0</v>
          </cell>
          <cell r="I651">
            <v>0</v>
          </cell>
          <cell r="J651">
            <v>0</v>
          </cell>
          <cell r="K651">
            <v>0</v>
          </cell>
          <cell r="L651">
            <v>0</v>
          </cell>
          <cell r="M651">
            <v>0</v>
          </cell>
          <cell r="N651">
            <v>0</v>
          </cell>
          <cell r="O651">
            <v>0</v>
          </cell>
          <cell r="P651">
            <v>0</v>
          </cell>
          <cell r="Q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row>
        <row r="652">
          <cell r="G652">
            <v>0</v>
          </cell>
          <cell r="H652">
            <v>0</v>
          </cell>
          <cell r="I652">
            <v>0</v>
          </cell>
          <cell r="J652">
            <v>0</v>
          </cell>
          <cell r="K652">
            <v>0</v>
          </cell>
          <cell r="L652">
            <v>0</v>
          </cell>
          <cell r="M652">
            <v>0</v>
          </cell>
          <cell r="N652">
            <v>0</v>
          </cell>
          <cell r="O652">
            <v>0</v>
          </cell>
          <cell r="P652">
            <v>0</v>
          </cell>
          <cell r="Q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row>
        <row r="653">
          <cell r="G653">
            <v>0</v>
          </cell>
          <cell r="H653">
            <v>0</v>
          </cell>
          <cell r="I653">
            <v>0</v>
          </cell>
          <cell r="J653">
            <v>0</v>
          </cell>
          <cell r="K653">
            <v>0</v>
          </cell>
          <cell r="L653">
            <v>0</v>
          </cell>
          <cell r="M653">
            <v>0</v>
          </cell>
          <cell r="N653">
            <v>0</v>
          </cell>
          <cell r="O653">
            <v>0</v>
          </cell>
          <cell r="P653">
            <v>0</v>
          </cell>
          <cell r="Q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row>
        <row r="654">
          <cell r="G654">
            <v>0</v>
          </cell>
          <cell r="H654">
            <v>0</v>
          </cell>
          <cell r="I654">
            <v>0</v>
          </cell>
          <cell r="J654">
            <v>0</v>
          </cell>
          <cell r="K654">
            <v>0</v>
          </cell>
          <cell r="L654">
            <v>0</v>
          </cell>
          <cell r="M654">
            <v>0</v>
          </cell>
          <cell r="N654">
            <v>0</v>
          </cell>
          <cell r="O654">
            <v>0</v>
          </cell>
          <cell r="P654">
            <v>0</v>
          </cell>
          <cell r="Q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row>
        <row r="655">
          <cell r="G655">
            <v>0</v>
          </cell>
          <cell r="H655">
            <v>0</v>
          </cell>
          <cell r="I655">
            <v>0</v>
          </cell>
          <cell r="J655">
            <v>0</v>
          </cell>
          <cell r="K655">
            <v>0</v>
          </cell>
          <cell r="L655">
            <v>0</v>
          </cell>
          <cell r="M655">
            <v>0</v>
          </cell>
          <cell r="N655">
            <v>0</v>
          </cell>
          <cell r="O655">
            <v>0</v>
          </cell>
          <cell r="P655">
            <v>0</v>
          </cell>
          <cell r="Q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row>
        <row r="656">
          <cell r="G656">
            <v>0</v>
          </cell>
          <cell r="H656">
            <v>0</v>
          </cell>
          <cell r="I656">
            <v>0</v>
          </cell>
          <cell r="J656">
            <v>0</v>
          </cell>
          <cell r="K656">
            <v>0</v>
          </cell>
          <cell r="L656">
            <v>0</v>
          </cell>
          <cell r="M656">
            <v>0</v>
          </cell>
          <cell r="N656">
            <v>0</v>
          </cell>
          <cell r="O656">
            <v>0</v>
          </cell>
          <cell r="P656">
            <v>0</v>
          </cell>
          <cell r="Q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row>
        <row r="657">
          <cell r="G657">
            <v>0</v>
          </cell>
          <cell r="H657">
            <v>0</v>
          </cell>
          <cell r="I657">
            <v>0</v>
          </cell>
          <cell r="J657">
            <v>0</v>
          </cell>
          <cell r="K657">
            <v>0</v>
          </cell>
          <cell r="L657">
            <v>0</v>
          </cell>
          <cell r="M657">
            <v>0</v>
          </cell>
          <cell r="N657">
            <v>0</v>
          </cell>
          <cell r="O657">
            <v>0</v>
          </cell>
          <cell r="P657">
            <v>0</v>
          </cell>
          <cell r="Q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row>
        <row r="658">
          <cell r="G658">
            <v>0</v>
          </cell>
          <cell r="H658">
            <v>0</v>
          </cell>
          <cell r="I658">
            <v>0</v>
          </cell>
          <cell r="J658">
            <v>0</v>
          </cell>
          <cell r="K658">
            <v>0</v>
          </cell>
          <cell r="L658">
            <v>0</v>
          </cell>
          <cell r="M658">
            <v>0</v>
          </cell>
          <cell r="N658">
            <v>0</v>
          </cell>
          <cell r="O658">
            <v>0</v>
          </cell>
          <cell r="P658">
            <v>0</v>
          </cell>
          <cell r="Q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row>
        <row r="659">
          <cell r="G659">
            <v>0</v>
          </cell>
          <cell r="H659">
            <v>0</v>
          </cell>
          <cell r="I659">
            <v>0</v>
          </cell>
          <cell r="J659">
            <v>0</v>
          </cell>
          <cell r="K659">
            <v>0</v>
          </cell>
          <cell r="L659">
            <v>0</v>
          </cell>
          <cell r="M659">
            <v>0</v>
          </cell>
          <cell r="N659">
            <v>0</v>
          </cell>
          <cell r="O659">
            <v>0</v>
          </cell>
          <cell r="P659">
            <v>0</v>
          </cell>
          <cell r="Q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row>
        <row r="660">
          <cell r="G660">
            <v>0</v>
          </cell>
          <cell r="H660">
            <v>0</v>
          </cell>
          <cell r="I660">
            <v>0</v>
          </cell>
          <cell r="J660">
            <v>0</v>
          </cell>
          <cell r="K660">
            <v>0</v>
          </cell>
          <cell r="L660">
            <v>0</v>
          </cell>
          <cell r="M660">
            <v>0</v>
          </cell>
          <cell r="N660">
            <v>0</v>
          </cell>
          <cell r="O660">
            <v>0</v>
          </cell>
          <cell r="P660">
            <v>0</v>
          </cell>
          <cell r="Q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row>
        <row r="661">
          <cell r="G661">
            <v>0</v>
          </cell>
          <cell r="H661">
            <v>0</v>
          </cell>
          <cell r="I661">
            <v>0</v>
          </cell>
          <cell r="J661">
            <v>0</v>
          </cell>
          <cell r="K661">
            <v>0</v>
          </cell>
          <cell r="L661">
            <v>0</v>
          </cell>
          <cell r="M661">
            <v>0</v>
          </cell>
          <cell r="N661">
            <v>0</v>
          </cell>
          <cell r="O661">
            <v>0</v>
          </cell>
          <cell r="P661">
            <v>0</v>
          </cell>
          <cell r="Q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row>
        <row r="662">
          <cell r="G662">
            <v>0</v>
          </cell>
          <cell r="H662">
            <v>0</v>
          </cell>
          <cell r="I662">
            <v>0</v>
          </cell>
          <cell r="J662">
            <v>0</v>
          </cell>
          <cell r="K662">
            <v>0</v>
          </cell>
          <cell r="L662">
            <v>0</v>
          </cell>
          <cell r="M662">
            <v>0</v>
          </cell>
          <cell r="N662">
            <v>0</v>
          </cell>
          <cell r="O662">
            <v>0</v>
          </cell>
          <cell r="P662">
            <v>0</v>
          </cell>
          <cell r="Q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row>
        <row r="663">
          <cell r="G663">
            <v>0</v>
          </cell>
          <cell r="H663">
            <v>0</v>
          </cell>
          <cell r="I663">
            <v>0</v>
          </cell>
          <cell r="J663">
            <v>0</v>
          </cell>
          <cell r="K663">
            <v>0</v>
          </cell>
          <cell r="L663">
            <v>0</v>
          </cell>
          <cell r="M663">
            <v>0</v>
          </cell>
          <cell r="N663">
            <v>0</v>
          </cell>
          <cell r="O663">
            <v>0</v>
          </cell>
          <cell r="P663">
            <v>0</v>
          </cell>
          <cell r="Q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row>
        <row r="664">
          <cell r="G664">
            <v>0</v>
          </cell>
          <cell r="H664">
            <v>0</v>
          </cell>
          <cell r="I664">
            <v>0</v>
          </cell>
          <cell r="J664">
            <v>0</v>
          </cell>
          <cell r="K664">
            <v>0</v>
          </cell>
          <cell r="L664">
            <v>0</v>
          </cell>
          <cell r="M664">
            <v>0</v>
          </cell>
          <cell r="N664">
            <v>0</v>
          </cell>
          <cell r="O664">
            <v>0</v>
          </cell>
          <cell r="P664">
            <v>0</v>
          </cell>
          <cell r="Q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row>
        <row r="665">
          <cell r="G665">
            <v>0</v>
          </cell>
          <cell r="H665">
            <v>0</v>
          </cell>
          <cell r="I665">
            <v>0</v>
          </cell>
          <cell r="J665">
            <v>0</v>
          </cell>
          <cell r="K665">
            <v>0</v>
          </cell>
          <cell r="L665">
            <v>0</v>
          </cell>
          <cell r="M665">
            <v>0</v>
          </cell>
          <cell r="N665">
            <v>0</v>
          </cell>
          <cell r="O665">
            <v>0</v>
          </cell>
          <cell r="P665">
            <v>0</v>
          </cell>
          <cell r="Q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row>
        <row r="666">
          <cell r="G666">
            <v>0</v>
          </cell>
          <cell r="H666">
            <v>0</v>
          </cell>
          <cell r="I666">
            <v>0</v>
          </cell>
          <cell r="J666">
            <v>0</v>
          </cell>
          <cell r="K666">
            <v>0</v>
          </cell>
          <cell r="L666">
            <v>0</v>
          </cell>
          <cell r="M666">
            <v>0</v>
          </cell>
          <cell r="N666">
            <v>0</v>
          </cell>
          <cell r="O666">
            <v>0</v>
          </cell>
          <cell r="P666">
            <v>0</v>
          </cell>
          <cell r="Q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row>
        <row r="667">
          <cell r="G667">
            <v>0</v>
          </cell>
          <cell r="H667">
            <v>0</v>
          </cell>
          <cell r="I667">
            <v>0</v>
          </cell>
          <cell r="J667">
            <v>0</v>
          </cell>
          <cell r="K667">
            <v>0</v>
          </cell>
          <cell r="L667">
            <v>0</v>
          </cell>
          <cell r="M667">
            <v>0</v>
          </cell>
          <cell r="N667">
            <v>0</v>
          </cell>
          <cell r="O667">
            <v>0</v>
          </cell>
          <cell r="P667">
            <v>0</v>
          </cell>
          <cell r="Q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row>
        <row r="668">
          <cell r="G668">
            <v>0</v>
          </cell>
          <cell r="H668">
            <v>0</v>
          </cell>
          <cell r="I668">
            <v>0</v>
          </cell>
          <cell r="J668">
            <v>0</v>
          </cell>
          <cell r="K668">
            <v>0</v>
          </cell>
          <cell r="L668">
            <v>0</v>
          </cell>
          <cell r="M668">
            <v>0</v>
          </cell>
          <cell r="N668">
            <v>0</v>
          </cell>
          <cell r="O668">
            <v>0</v>
          </cell>
          <cell r="P668">
            <v>0</v>
          </cell>
          <cell r="Q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0</v>
          </cell>
        </row>
        <row r="669">
          <cell r="G669">
            <v>0</v>
          </cell>
          <cell r="H669">
            <v>0</v>
          </cell>
          <cell r="I669">
            <v>0</v>
          </cell>
          <cell r="J669">
            <v>0</v>
          </cell>
          <cell r="K669">
            <v>0</v>
          </cell>
          <cell r="L669">
            <v>0</v>
          </cell>
          <cell r="M669">
            <v>0</v>
          </cell>
          <cell r="N669">
            <v>0</v>
          </cell>
          <cell r="O669">
            <v>0</v>
          </cell>
          <cell r="P669">
            <v>0</v>
          </cell>
          <cell r="Q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row>
        <row r="670">
          <cell r="G670">
            <v>0</v>
          </cell>
          <cell r="H670">
            <v>0</v>
          </cell>
          <cell r="I670">
            <v>0</v>
          </cell>
          <cell r="J670">
            <v>0</v>
          </cell>
          <cell r="K670">
            <v>0</v>
          </cell>
          <cell r="L670">
            <v>0</v>
          </cell>
          <cell r="M670">
            <v>0</v>
          </cell>
          <cell r="N670">
            <v>0</v>
          </cell>
          <cell r="O670">
            <v>0</v>
          </cell>
          <cell r="P670">
            <v>0</v>
          </cell>
          <cell r="Q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row>
        <row r="671">
          <cell r="G671">
            <v>0</v>
          </cell>
          <cell r="H671">
            <v>0</v>
          </cell>
          <cell r="I671">
            <v>0</v>
          </cell>
          <cell r="J671">
            <v>0</v>
          </cell>
          <cell r="K671">
            <v>0</v>
          </cell>
          <cell r="L671">
            <v>0</v>
          </cell>
          <cell r="M671">
            <v>0</v>
          </cell>
          <cell r="N671">
            <v>0</v>
          </cell>
          <cell r="O671">
            <v>0</v>
          </cell>
          <cell r="P671">
            <v>0</v>
          </cell>
          <cell r="Q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row>
        <row r="672">
          <cell r="G672">
            <v>0</v>
          </cell>
          <cell r="H672">
            <v>0</v>
          </cell>
          <cell r="I672">
            <v>0</v>
          </cell>
          <cell r="J672">
            <v>0</v>
          </cell>
          <cell r="K672">
            <v>0</v>
          </cell>
          <cell r="L672">
            <v>0</v>
          </cell>
          <cell r="M672">
            <v>0</v>
          </cell>
          <cell r="N672">
            <v>0</v>
          </cell>
          <cell r="O672">
            <v>0</v>
          </cell>
          <cell r="P672">
            <v>0</v>
          </cell>
          <cell r="Q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row>
        <row r="673">
          <cell r="G673">
            <v>0</v>
          </cell>
          <cell r="H673">
            <v>0</v>
          </cell>
          <cell r="I673">
            <v>0</v>
          </cell>
          <cell r="J673">
            <v>0</v>
          </cell>
          <cell r="K673">
            <v>0</v>
          </cell>
          <cell r="L673">
            <v>0</v>
          </cell>
          <cell r="M673">
            <v>0</v>
          </cell>
          <cell r="N673">
            <v>0</v>
          </cell>
          <cell r="O673">
            <v>0</v>
          </cell>
          <cell r="P673">
            <v>0</v>
          </cell>
          <cell r="Q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row>
        <row r="674">
          <cell r="G674">
            <v>0</v>
          </cell>
          <cell r="H674">
            <v>0</v>
          </cell>
          <cell r="I674">
            <v>0</v>
          </cell>
          <cell r="J674">
            <v>0</v>
          </cell>
          <cell r="K674">
            <v>0</v>
          </cell>
          <cell r="L674">
            <v>0</v>
          </cell>
          <cell r="M674">
            <v>0</v>
          </cell>
          <cell r="N674">
            <v>0</v>
          </cell>
          <cell r="O674">
            <v>0</v>
          </cell>
          <cell r="P674">
            <v>0</v>
          </cell>
          <cell r="Q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row>
        <row r="675">
          <cell r="G675">
            <v>0</v>
          </cell>
          <cell r="H675">
            <v>0</v>
          </cell>
          <cell r="I675">
            <v>0</v>
          </cell>
          <cell r="J675">
            <v>0</v>
          </cell>
          <cell r="K675">
            <v>0</v>
          </cell>
          <cell r="L675">
            <v>0</v>
          </cell>
          <cell r="M675">
            <v>0</v>
          </cell>
          <cell r="N675">
            <v>0</v>
          </cell>
          <cell r="O675">
            <v>0</v>
          </cell>
          <cell r="P675">
            <v>0</v>
          </cell>
          <cell r="Q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0</v>
          </cell>
          <cell r="AV675">
            <v>0</v>
          </cell>
          <cell r="AW675">
            <v>0</v>
          </cell>
        </row>
        <row r="676">
          <cell r="G676">
            <v>0</v>
          </cell>
          <cell r="H676">
            <v>0</v>
          </cell>
          <cell r="I676">
            <v>0</v>
          </cell>
          <cell r="J676">
            <v>0</v>
          </cell>
          <cell r="K676">
            <v>0</v>
          </cell>
          <cell r="L676">
            <v>0</v>
          </cell>
          <cell r="M676">
            <v>0</v>
          </cell>
          <cell r="N676">
            <v>0</v>
          </cell>
          <cell r="O676">
            <v>0</v>
          </cell>
          <cell r="P676">
            <v>0</v>
          </cell>
          <cell r="Q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row>
        <row r="677">
          <cell r="G677">
            <v>0</v>
          </cell>
          <cell r="H677">
            <v>0</v>
          </cell>
          <cell r="I677">
            <v>0</v>
          </cell>
          <cell r="J677">
            <v>0</v>
          </cell>
          <cell r="K677">
            <v>0</v>
          </cell>
          <cell r="L677">
            <v>0</v>
          </cell>
          <cell r="M677">
            <v>0</v>
          </cell>
          <cell r="N677">
            <v>0</v>
          </cell>
          <cell r="O677">
            <v>0</v>
          </cell>
          <cell r="P677">
            <v>0</v>
          </cell>
          <cell r="Q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row>
        <row r="678">
          <cell r="G678">
            <v>0</v>
          </cell>
          <cell r="H678">
            <v>0</v>
          </cell>
          <cell r="I678">
            <v>0</v>
          </cell>
          <cell r="J678">
            <v>0</v>
          </cell>
          <cell r="K678">
            <v>0</v>
          </cell>
          <cell r="L678">
            <v>0</v>
          </cell>
          <cell r="M678">
            <v>0</v>
          </cell>
          <cell r="N678">
            <v>0</v>
          </cell>
          <cell r="O678">
            <v>0</v>
          </cell>
          <cell r="P678">
            <v>0</v>
          </cell>
          <cell r="Q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row>
        <row r="679">
          <cell r="G679">
            <v>0</v>
          </cell>
          <cell r="H679">
            <v>0</v>
          </cell>
          <cell r="I679">
            <v>0</v>
          </cell>
          <cell r="J679">
            <v>0</v>
          </cell>
          <cell r="K679">
            <v>0</v>
          </cell>
          <cell r="L679">
            <v>0</v>
          </cell>
          <cell r="M679">
            <v>0</v>
          </cell>
          <cell r="N679">
            <v>0</v>
          </cell>
          <cell r="O679">
            <v>0</v>
          </cell>
          <cell r="P679">
            <v>0</v>
          </cell>
          <cell r="Q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row>
        <row r="680">
          <cell r="G680">
            <v>0</v>
          </cell>
          <cell r="H680">
            <v>0</v>
          </cell>
          <cell r="I680">
            <v>0</v>
          </cell>
          <cell r="J680">
            <v>0</v>
          </cell>
          <cell r="K680">
            <v>0</v>
          </cell>
          <cell r="L680">
            <v>0</v>
          </cell>
          <cell r="M680">
            <v>0</v>
          </cell>
          <cell r="N680">
            <v>0</v>
          </cell>
          <cell r="O680">
            <v>0</v>
          </cell>
          <cell r="P680">
            <v>0</v>
          </cell>
          <cell r="Q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row>
        <row r="681">
          <cell r="G681">
            <v>0</v>
          </cell>
          <cell r="H681">
            <v>0</v>
          </cell>
          <cell r="I681">
            <v>0</v>
          </cell>
          <cell r="J681">
            <v>0</v>
          </cell>
          <cell r="K681">
            <v>0</v>
          </cell>
          <cell r="L681">
            <v>0</v>
          </cell>
          <cell r="M681">
            <v>0</v>
          </cell>
          <cell r="N681">
            <v>0</v>
          </cell>
          <cell r="O681">
            <v>0</v>
          </cell>
          <cell r="P681">
            <v>0</v>
          </cell>
          <cell r="Q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row>
        <row r="682">
          <cell r="G682">
            <v>0</v>
          </cell>
          <cell r="H682">
            <v>0</v>
          </cell>
          <cell r="I682">
            <v>0</v>
          </cell>
          <cell r="J682">
            <v>0</v>
          </cell>
          <cell r="K682">
            <v>0</v>
          </cell>
          <cell r="L682">
            <v>0</v>
          </cell>
          <cell r="M682">
            <v>0</v>
          </cell>
          <cell r="N682">
            <v>0</v>
          </cell>
          <cell r="O682">
            <v>0</v>
          </cell>
          <cell r="P682">
            <v>0</v>
          </cell>
          <cell r="Q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row>
        <row r="683">
          <cell r="G683">
            <v>0</v>
          </cell>
          <cell r="H683">
            <v>0</v>
          </cell>
          <cell r="I683">
            <v>0</v>
          </cell>
          <cell r="J683">
            <v>0</v>
          </cell>
          <cell r="K683">
            <v>0</v>
          </cell>
          <cell r="L683">
            <v>0</v>
          </cell>
          <cell r="M683">
            <v>0</v>
          </cell>
          <cell r="N683">
            <v>0</v>
          </cell>
          <cell r="O683">
            <v>0</v>
          </cell>
          <cell r="P683">
            <v>0</v>
          </cell>
          <cell r="Q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row>
        <row r="684">
          <cell r="G684">
            <v>0</v>
          </cell>
          <cell r="H684">
            <v>0</v>
          </cell>
          <cell r="I684">
            <v>0</v>
          </cell>
          <cell r="J684">
            <v>0</v>
          </cell>
          <cell r="K684">
            <v>0</v>
          </cell>
          <cell r="L684">
            <v>0</v>
          </cell>
          <cell r="M684">
            <v>0</v>
          </cell>
          <cell r="N684">
            <v>0</v>
          </cell>
          <cell r="O684">
            <v>0</v>
          </cell>
          <cell r="P684">
            <v>0</v>
          </cell>
          <cell r="Q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row>
        <row r="685">
          <cell r="G685">
            <v>0</v>
          </cell>
          <cell r="H685">
            <v>0</v>
          </cell>
          <cell r="I685">
            <v>0</v>
          </cell>
          <cell r="J685">
            <v>0</v>
          </cell>
          <cell r="K685">
            <v>0</v>
          </cell>
          <cell r="L685">
            <v>0</v>
          </cell>
          <cell r="M685">
            <v>0</v>
          </cell>
          <cell r="N685">
            <v>0</v>
          </cell>
          <cell r="O685">
            <v>0</v>
          </cell>
          <cell r="P685">
            <v>0</v>
          </cell>
          <cell r="Q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0</v>
          </cell>
        </row>
        <row r="686">
          <cell r="G686">
            <v>0</v>
          </cell>
          <cell r="H686">
            <v>0</v>
          </cell>
          <cell r="I686">
            <v>0</v>
          </cell>
          <cell r="J686">
            <v>0</v>
          </cell>
          <cell r="K686">
            <v>0</v>
          </cell>
          <cell r="L686">
            <v>0</v>
          </cell>
          <cell r="M686">
            <v>0</v>
          </cell>
          <cell r="N686">
            <v>0</v>
          </cell>
          <cell r="O686">
            <v>0</v>
          </cell>
          <cell r="P686">
            <v>0</v>
          </cell>
          <cell r="Q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row>
        <row r="687">
          <cell r="G687">
            <v>0</v>
          </cell>
          <cell r="H687">
            <v>0</v>
          </cell>
          <cell r="I687">
            <v>0</v>
          </cell>
          <cell r="J687">
            <v>0</v>
          </cell>
          <cell r="K687">
            <v>0</v>
          </cell>
          <cell r="L687">
            <v>0</v>
          </cell>
          <cell r="M687">
            <v>0</v>
          </cell>
          <cell r="N687">
            <v>0</v>
          </cell>
          <cell r="O687">
            <v>0</v>
          </cell>
          <cell r="P687">
            <v>0</v>
          </cell>
          <cell r="Q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row>
        <row r="688">
          <cell r="G688">
            <v>0</v>
          </cell>
          <cell r="H688">
            <v>0</v>
          </cell>
          <cell r="I688">
            <v>0</v>
          </cell>
          <cell r="J688">
            <v>0</v>
          </cell>
          <cell r="K688">
            <v>0</v>
          </cell>
          <cell r="L688">
            <v>0</v>
          </cell>
          <cell r="M688">
            <v>0</v>
          </cell>
          <cell r="N688">
            <v>0</v>
          </cell>
          <cell r="O688">
            <v>0</v>
          </cell>
          <cell r="P688">
            <v>0</v>
          </cell>
          <cell r="Q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row>
        <row r="689">
          <cell r="G689">
            <v>0</v>
          </cell>
          <cell r="H689">
            <v>0</v>
          </cell>
          <cell r="I689">
            <v>0</v>
          </cell>
          <cell r="J689">
            <v>0</v>
          </cell>
          <cell r="K689">
            <v>0</v>
          </cell>
          <cell r="L689">
            <v>0</v>
          </cell>
          <cell r="M689">
            <v>0</v>
          </cell>
          <cell r="N689">
            <v>0</v>
          </cell>
          <cell r="O689">
            <v>0</v>
          </cell>
          <cell r="P689">
            <v>0</v>
          </cell>
          <cell r="Q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0</v>
          </cell>
        </row>
        <row r="690">
          <cell r="G690">
            <v>0</v>
          </cell>
          <cell r="H690">
            <v>0</v>
          </cell>
          <cell r="I690">
            <v>0</v>
          </cell>
          <cell r="J690">
            <v>0</v>
          </cell>
          <cell r="K690">
            <v>0</v>
          </cell>
          <cell r="L690">
            <v>0</v>
          </cell>
          <cell r="M690">
            <v>0</v>
          </cell>
          <cell r="N690">
            <v>0</v>
          </cell>
          <cell r="O690">
            <v>0</v>
          </cell>
          <cell r="P690">
            <v>0</v>
          </cell>
          <cell r="Q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row>
        <row r="691">
          <cell r="G691">
            <v>0</v>
          </cell>
          <cell r="H691">
            <v>0</v>
          </cell>
          <cell r="I691">
            <v>0</v>
          </cell>
          <cell r="J691">
            <v>0</v>
          </cell>
          <cell r="K691">
            <v>0</v>
          </cell>
          <cell r="L691">
            <v>0</v>
          </cell>
          <cell r="M691">
            <v>0</v>
          </cell>
          <cell r="N691">
            <v>0</v>
          </cell>
          <cell r="O691">
            <v>0</v>
          </cell>
          <cell r="P691">
            <v>0</v>
          </cell>
          <cell r="Q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row>
        <row r="692">
          <cell r="G692">
            <v>0</v>
          </cell>
          <cell r="H692">
            <v>0</v>
          </cell>
          <cell r="I692">
            <v>0</v>
          </cell>
          <cell r="J692">
            <v>0</v>
          </cell>
          <cell r="K692">
            <v>0</v>
          </cell>
          <cell r="L692">
            <v>0</v>
          </cell>
          <cell r="M692">
            <v>0</v>
          </cell>
          <cell r="N692">
            <v>0</v>
          </cell>
          <cell r="O692">
            <v>0</v>
          </cell>
          <cell r="P692">
            <v>0</v>
          </cell>
          <cell r="Q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row>
        <row r="693">
          <cell r="G693">
            <v>0</v>
          </cell>
          <cell r="H693">
            <v>0</v>
          </cell>
          <cell r="I693">
            <v>0</v>
          </cell>
          <cell r="J693">
            <v>0</v>
          </cell>
          <cell r="K693">
            <v>0</v>
          </cell>
          <cell r="L693">
            <v>0</v>
          </cell>
          <cell r="M693">
            <v>0</v>
          </cell>
          <cell r="N693">
            <v>0</v>
          </cell>
          <cell r="O693">
            <v>0</v>
          </cell>
          <cell r="P693">
            <v>0</v>
          </cell>
          <cell r="Q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row>
        <row r="694">
          <cell r="G694">
            <v>0</v>
          </cell>
          <cell r="H694">
            <v>0</v>
          </cell>
          <cell r="I694">
            <v>0</v>
          </cell>
          <cell r="J694">
            <v>0</v>
          </cell>
          <cell r="K694">
            <v>0</v>
          </cell>
          <cell r="L694">
            <v>0</v>
          </cell>
          <cell r="M694">
            <v>0</v>
          </cell>
          <cell r="N694">
            <v>0</v>
          </cell>
          <cell r="O694">
            <v>0</v>
          </cell>
          <cell r="P694">
            <v>0</v>
          </cell>
          <cell r="Q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cell r="AS694">
            <v>0</v>
          </cell>
          <cell r="AT694">
            <v>0</v>
          </cell>
          <cell r="AU694">
            <v>0</v>
          </cell>
          <cell r="AV694">
            <v>0</v>
          </cell>
          <cell r="AW694">
            <v>0</v>
          </cell>
        </row>
        <row r="695">
          <cell r="G695">
            <v>0</v>
          </cell>
          <cell r="H695">
            <v>0</v>
          </cell>
          <cell r="I695">
            <v>0</v>
          </cell>
          <cell r="J695">
            <v>0</v>
          </cell>
          <cell r="K695">
            <v>0</v>
          </cell>
          <cell r="L695">
            <v>0</v>
          </cell>
          <cell r="M695">
            <v>0</v>
          </cell>
          <cell r="N695">
            <v>0</v>
          </cell>
          <cell r="O695">
            <v>0</v>
          </cell>
          <cell r="P695">
            <v>0</v>
          </cell>
          <cell r="Q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cell r="AS695">
            <v>0</v>
          </cell>
          <cell r="AT695">
            <v>0</v>
          </cell>
          <cell r="AU695">
            <v>0</v>
          </cell>
          <cell r="AV695">
            <v>0</v>
          </cell>
          <cell r="AW695">
            <v>0</v>
          </cell>
        </row>
        <row r="696">
          <cell r="G696">
            <v>0</v>
          </cell>
          <cell r="H696">
            <v>0</v>
          </cell>
          <cell r="I696">
            <v>0</v>
          </cell>
          <cell r="J696">
            <v>0</v>
          </cell>
          <cell r="K696">
            <v>0</v>
          </cell>
          <cell r="L696">
            <v>0</v>
          </cell>
          <cell r="M696">
            <v>0</v>
          </cell>
          <cell r="N696">
            <v>0</v>
          </cell>
          <cell r="O696">
            <v>0</v>
          </cell>
          <cell r="P696">
            <v>0</v>
          </cell>
          <cell r="Q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row>
        <row r="697">
          <cell r="G697">
            <v>0</v>
          </cell>
          <cell r="H697">
            <v>0</v>
          </cell>
          <cell r="I697">
            <v>0</v>
          </cell>
          <cell r="J697">
            <v>0</v>
          </cell>
          <cell r="K697">
            <v>0</v>
          </cell>
          <cell r="L697">
            <v>0</v>
          </cell>
          <cell r="M697">
            <v>0</v>
          </cell>
          <cell r="N697">
            <v>0</v>
          </cell>
          <cell r="O697">
            <v>0</v>
          </cell>
          <cell r="P697">
            <v>0</v>
          </cell>
          <cell r="Q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row>
        <row r="698">
          <cell r="G698">
            <v>0</v>
          </cell>
          <cell r="H698">
            <v>0</v>
          </cell>
          <cell r="I698">
            <v>0</v>
          </cell>
          <cell r="J698">
            <v>0</v>
          </cell>
          <cell r="K698">
            <v>0</v>
          </cell>
          <cell r="L698">
            <v>0</v>
          </cell>
          <cell r="M698">
            <v>0</v>
          </cell>
          <cell r="N698">
            <v>0</v>
          </cell>
          <cell r="O698">
            <v>0</v>
          </cell>
          <cell r="P698">
            <v>0</v>
          </cell>
          <cell r="Q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row>
        <row r="699">
          <cell r="G699">
            <v>0</v>
          </cell>
          <cell r="H699">
            <v>0</v>
          </cell>
          <cell r="I699">
            <v>0</v>
          </cell>
          <cell r="J699">
            <v>0</v>
          </cell>
          <cell r="K699">
            <v>0</v>
          </cell>
          <cell r="L699">
            <v>0</v>
          </cell>
          <cell r="M699">
            <v>0</v>
          </cell>
          <cell r="N699">
            <v>0</v>
          </cell>
          <cell r="O699">
            <v>0</v>
          </cell>
          <cell r="P699">
            <v>0</v>
          </cell>
          <cell r="Q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row>
        <row r="700">
          <cell r="G700">
            <v>0</v>
          </cell>
          <cell r="H700">
            <v>0</v>
          </cell>
          <cell r="I700">
            <v>0</v>
          </cell>
          <cell r="J700">
            <v>0</v>
          </cell>
          <cell r="K700">
            <v>0</v>
          </cell>
          <cell r="L700">
            <v>0</v>
          </cell>
          <cell r="M700">
            <v>0</v>
          </cell>
          <cell r="N700">
            <v>0</v>
          </cell>
          <cell r="O700">
            <v>0</v>
          </cell>
          <cell r="P700">
            <v>0</v>
          </cell>
          <cell r="Q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row>
        <row r="701">
          <cell r="G701">
            <v>0</v>
          </cell>
          <cell r="H701">
            <v>0</v>
          </cell>
          <cell r="I701">
            <v>0</v>
          </cell>
          <cell r="J701">
            <v>0</v>
          </cell>
          <cell r="K701">
            <v>0</v>
          </cell>
          <cell r="L701">
            <v>0</v>
          </cell>
          <cell r="M701">
            <v>0</v>
          </cell>
          <cell r="N701">
            <v>0</v>
          </cell>
          <cell r="O701">
            <v>0</v>
          </cell>
          <cell r="P701">
            <v>0</v>
          </cell>
          <cell r="Q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row>
        <row r="702">
          <cell r="G702">
            <v>0</v>
          </cell>
          <cell r="H702">
            <v>0</v>
          </cell>
          <cell r="I702">
            <v>0</v>
          </cell>
          <cell r="J702">
            <v>0</v>
          </cell>
          <cell r="K702">
            <v>0</v>
          </cell>
          <cell r="L702">
            <v>0</v>
          </cell>
          <cell r="M702">
            <v>0</v>
          </cell>
          <cell r="N702">
            <v>0</v>
          </cell>
          <cell r="O702">
            <v>0</v>
          </cell>
          <cell r="P702">
            <v>0</v>
          </cell>
          <cell r="Q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row>
        <row r="703">
          <cell r="G703">
            <v>0</v>
          </cell>
          <cell r="H703">
            <v>0</v>
          </cell>
          <cell r="I703">
            <v>0</v>
          </cell>
          <cell r="J703">
            <v>0</v>
          </cell>
          <cell r="K703">
            <v>0</v>
          </cell>
          <cell r="L703">
            <v>0</v>
          </cell>
          <cell r="M703">
            <v>0</v>
          </cell>
          <cell r="N703">
            <v>0</v>
          </cell>
          <cell r="O703">
            <v>0</v>
          </cell>
          <cell r="P703">
            <v>0</v>
          </cell>
          <cell r="Q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row>
        <row r="704">
          <cell r="G704">
            <v>0</v>
          </cell>
          <cell r="H704">
            <v>0</v>
          </cell>
          <cell r="I704">
            <v>0</v>
          </cell>
          <cell r="J704">
            <v>0</v>
          </cell>
          <cell r="K704">
            <v>0</v>
          </cell>
          <cell r="L704">
            <v>0</v>
          </cell>
          <cell r="M704">
            <v>0</v>
          </cell>
          <cell r="N704">
            <v>0</v>
          </cell>
          <cell r="O704">
            <v>0</v>
          </cell>
          <cell r="P704">
            <v>0</v>
          </cell>
          <cell r="Q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row>
        <row r="705">
          <cell r="G705">
            <v>0</v>
          </cell>
          <cell r="H705">
            <v>0</v>
          </cell>
          <cell r="I705">
            <v>0</v>
          </cell>
          <cell r="J705">
            <v>0</v>
          </cell>
          <cell r="K705">
            <v>0</v>
          </cell>
          <cell r="L705">
            <v>0</v>
          </cell>
          <cell r="M705">
            <v>0</v>
          </cell>
          <cell r="N705">
            <v>0</v>
          </cell>
          <cell r="O705">
            <v>0</v>
          </cell>
          <cell r="P705">
            <v>0</v>
          </cell>
          <cell r="Q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row>
        <row r="706">
          <cell r="G706">
            <v>0</v>
          </cell>
          <cell r="H706">
            <v>0</v>
          </cell>
          <cell r="I706">
            <v>0</v>
          </cell>
          <cell r="J706">
            <v>0</v>
          </cell>
          <cell r="K706">
            <v>0</v>
          </cell>
          <cell r="L706">
            <v>0</v>
          </cell>
          <cell r="M706">
            <v>0</v>
          </cell>
          <cell r="N706">
            <v>0</v>
          </cell>
          <cell r="O706">
            <v>0</v>
          </cell>
          <cell r="P706">
            <v>0</v>
          </cell>
          <cell r="Q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row>
        <row r="707">
          <cell r="G707">
            <v>0</v>
          </cell>
          <cell r="H707">
            <v>0</v>
          </cell>
          <cell r="I707">
            <v>0</v>
          </cell>
          <cell r="J707">
            <v>0</v>
          </cell>
          <cell r="K707">
            <v>0</v>
          </cell>
          <cell r="L707">
            <v>0</v>
          </cell>
          <cell r="M707">
            <v>0</v>
          </cell>
          <cell r="N707">
            <v>0</v>
          </cell>
          <cell r="O707">
            <v>0</v>
          </cell>
          <cell r="P707">
            <v>0</v>
          </cell>
          <cell r="Q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cell r="AS707">
            <v>0</v>
          </cell>
          <cell r="AT707">
            <v>0</v>
          </cell>
          <cell r="AU707">
            <v>0</v>
          </cell>
          <cell r="AV707">
            <v>0</v>
          </cell>
          <cell r="AW707">
            <v>0</v>
          </cell>
        </row>
        <row r="708">
          <cell r="G708">
            <v>0</v>
          </cell>
          <cell r="H708">
            <v>0</v>
          </cell>
          <cell r="I708">
            <v>0</v>
          </cell>
          <cell r="J708">
            <v>0</v>
          </cell>
          <cell r="K708">
            <v>0</v>
          </cell>
          <cell r="L708">
            <v>0</v>
          </cell>
          <cell r="M708">
            <v>0</v>
          </cell>
          <cell r="N708">
            <v>0</v>
          </cell>
          <cell r="O708">
            <v>0</v>
          </cell>
          <cell r="P708">
            <v>0</v>
          </cell>
          <cell r="Q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row>
        <row r="709">
          <cell r="G709">
            <v>0</v>
          </cell>
          <cell r="H709">
            <v>0</v>
          </cell>
          <cell r="I709">
            <v>0</v>
          </cell>
          <cell r="J709">
            <v>0</v>
          </cell>
          <cell r="K709">
            <v>0</v>
          </cell>
          <cell r="L709">
            <v>0</v>
          </cell>
          <cell r="M709">
            <v>0</v>
          </cell>
          <cell r="N709">
            <v>0</v>
          </cell>
          <cell r="O709">
            <v>0</v>
          </cell>
          <cell r="P709">
            <v>0</v>
          </cell>
          <cell r="Q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row>
        <row r="710">
          <cell r="G710">
            <v>0</v>
          </cell>
          <cell r="H710">
            <v>0</v>
          </cell>
          <cell r="I710">
            <v>0</v>
          </cell>
          <cell r="J710">
            <v>0</v>
          </cell>
          <cell r="K710">
            <v>0</v>
          </cell>
          <cell r="L710">
            <v>0</v>
          </cell>
          <cell r="M710">
            <v>0</v>
          </cell>
          <cell r="N710">
            <v>0</v>
          </cell>
          <cell r="O710">
            <v>0</v>
          </cell>
          <cell r="P710">
            <v>0</v>
          </cell>
          <cell r="Q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row>
        <row r="711">
          <cell r="G711">
            <v>0</v>
          </cell>
          <cell r="H711">
            <v>0</v>
          </cell>
          <cell r="I711">
            <v>0</v>
          </cell>
          <cell r="J711">
            <v>0</v>
          </cell>
          <cell r="K711">
            <v>0</v>
          </cell>
          <cell r="L711">
            <v>0</v>
          </cell>
          <cell r="M711">
            <v>0</v>
          </cell>
          <cell r="N711">
            <v>0</v>
          </cell>
          <cell r="O711">
            <v>0</v>
          </cell>
          <cell r="P711">
            <v>0</v>
          </cell>
          <cell r="Q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row>
        <row r="712">
          <cell r="G712">
            <v>0</v>
          </cell>
          <cell r="H712">
            <v>0</v>
          </cell>
          <cell r="I712">
            <v>0</v>
          </cell>
          <cell r="J712">
            <v>0</v>
          </cell>
          <cell r="K712">
            <v>0</v>
          </cell>
          <cell r="L712">
            <v>0</v>
          </cell>
          <cell r="M712">
            <v>0</v>
          </cell>
          <cell r="N712">
            <v>0</v>
          </cell>
          <cell r="O712">
            <v>0</v>
          </cell>
          <cell r="P712">
            <v>0</v>
          </cell>
          <cell r="Q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row>
        <row r="713">
          <cell r="G713">
            <v>0</v>
          </cell>
          <cell r="H713">
            <v>0</v>
          </cell>
          <cell r="I713">
            <v>0</v>
          </cell>
          <cell r="J713">
            <v>0</v>
          </cell>
          <cell r="K713">
            <v>0</v>
          </cell>
          <cell r="L713">
            <v>0</v>
          </cell>
          <cell r="M713">
            <v>0</v>
          </cell>
          <cell r="N713">
            <v>0</v>
          </cell>
          <cell r="O713">
            <v>0</v>
          </cell>
          <cell r="P713">
            <v>0</v>
          </cell>
          <cell r="Q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row>
        <row r="714">
          <cell r="G714">
            <v>0</v>
          </cell>
          <cell r="H714">
            <v>0</v>
          </cell>
          <cell r="I714">
            <v>0</v>
          </cell>
          <cell r="J714">
            <v>0</v>
          </cell>
          <cell r="K714">
            <v>0</v>
          </cell>
          <cell r="L714">
            <v>0</v>
          </cell>
          <cell r="M714">
            <v>0</v>
          </cell>
          <cell r="N714">
            <v>0</v>
          </cell>
          <cell r="O714">
            <v>0</v>
          </cell>
          <cell r="P714">
            <v>0</v>
          </cell>
          <cell r="Q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row>
        <row r="715">
          <cell r="G715">
            <v>0</v>
          </cell>
          <cell r="H715">
            <v>0</v>
          </cell>
          <cell r="I715">
            <v>0</v>
          </cell>
          <cell r="J715">
            <v>0</v>
          </cell>
          <cell r="K715">
            <v>0</v>
          </cell>
          <cell r="L715">
            <v>0</v>
          </cell>
          <cell r="M715">
            <v>0</v>
          </cell>
          <cell r="N715">
            <v>0</v>
          </cell>
          <cell r="O715">
            <v>0</v>
          </cell>
          <cell r="P715">
            <v>0</v>
          </cell>
          <cell r="Q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row>
        <row r="716">
          <cell r="G716">
            <v>0</v>
          </cell>
          <cell r="H716">
            <v>0</v>
          </cell>
          <cell r="I716">
            <v>0</v>
          </cell>
          <cell r="J716">
            <v>0</v>
          </cell>
          <cell r="K716">
            <v>0</v>
          </cell>
          <cell r="L716">
            <v>0</v>
          </cell>
          <cell r="M716">
            <v>0</v>
          </cell>
          <cell r="N716">
            <v>0</v>
          </cell>
          <cell r="O716">
            <v>0</v>
          </cell>
          <cell r="P716">
            <v>0</v>
          </cell>
          <cell r="Q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row>
        <row r="717">
          <cell r="G717">
            <v>0</v>
          </cell>
          <cell r="H717">
            <v>0</v>
          </cell>
          <cell r="I717">
            <v>0</v>
          </cell>
          <cell r="J717">
            <v>0</v>
          </cell>
          <cell r="K717">
            <v>0</v>
          </cell>
          <cell r="L717">
            <v>0</v>
          </cell>
          <cell r="M717">
            <v>0</v>
          </cell>
          <cell r="N717">
            <v>0</v>
          </cell>
          <cell r="O717">
            <v>0</v>
          </cell>
          <cell r="P717">
            <v>0</v>
          </cell>
          <cell r="Q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row>
        <row r="718">
          <cell r="G718">
            <v>0</v>
          </cell>
          <cell r="H718">
            <v>0</v>
          </cell>
          <cell r="I718">
            <v>0</v>
          </cell>
          <cell r="J718">
            <v>0</v>
          </cell>
          <cell r="K718">
            <v>0</v>
          </cell>
          <cell r="L718">
            <v>0</v>
          </cell>
          <cell r="M718">
            <v>0</v>
          </cell>
          <cell r="N718">
            <v>0</v>
          </cell>
          <cell r="O718">
            <v>0</v>
          </cell>
          <cell r="P718">
            <v>0</v>
          </cell>
          <cell r="Q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row>
        <row r="719">
          <cell r="G719">
            <v>0</v>
          </cell>
          <cell r="H719">
            <v>0</v>
          </cell>
          <cell r="I719">
            <v>0</v>
          </cell>
          <cell r="J719">
            <v>0</v>
          </cell>
          <cell r="K719">
            <v>0</v>
          </cell>
          <cell r="L719">
            <v>0</v>
          </cell>
          <cell r="M719">
            <v>0</v>
          </cell>
          <cell r="N719">
            <v>0</v>
          </cell>
          <cell r="O719">
            <v>0</v>
          </cell>
          <cell r="P719">
            <v>0</v>
          </cell>
          <cell r="Q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row>
        <row r="720">
          <cell r="G720">
            <v>0</v>
          </cell>
          <cell r="H720">
            <v>0</v>
          </cell>
          <cell r="I720">
            <v>0</v>
          </cell>
          <cell r="J720">
            <v>0</v>
          </cell>
          <cell r="K720">
            <v>0</v>
          </cell>
          <cell r="L720">
            <v>0</v>
          </cell>
          <cell r="M720">
            <v>0</v>
          </cell>
          <cell r="N720">
            <v>0</v>
          </cell>
          <cell r="O720">
            <v>0</v>
          </cell>
          <cell r="P720">
            <v>0</v>
          </cell>
          <cell r="Q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row>
        <row r="721">
          <cell r="G721">
            <v>0</v>
          </cell>
          <cell r="H721">
            <v>0</v>
          </cell>
          <cell r="I721">
            <v>0</v>
          </cell>
          <cell r="J721">
            <v>0</v>
          </cell>
          <cell r="K721">
            <v>0</v>
          </cell>
          <cell r="L721">
            <v>0</v>
          </cell>
          <cell r="M721">
            <v>0</v>
          </cell>
          <cell r="N721">
            <v>0</v>
          </cell>
          <cell r="O721">
            <v>0</v>
          </cell>
          <cell r="P721">
            <v>0</v>
          </cell>
          <cell r="Q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row>
        <row r="722">
          <cell r="G722">
            <v>0</v>
          </cell>
          <cell r="H722">
            <v>0</v>
          </cell>
          <cell r="I722">
            <v>0</v>
          </cell>
          <cell r="J722">
            <v>0</v>
          </cell>
          <cell r="K722">
            <v>0</v>
          </cell>
          <cell r="L722">
            <v>0</v>
          </cell>
          <cell r="M722">
            <v>0</v>
          </cell>
          <cell r="N722">
            <v>0</v>
          </cell>
          <cell r="O722">
            <v>0</v>
          </cell>
          <cell r="P722">
            <v>0</v>
          </cell>
          <cell r="Q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row>
        <row r="723">
          <cell r="G723">
            <v>0</v>
          </cell>
          <cell r="H723">
            <v>0</v>
          </cell>
          <cell r="I723">
            <v>0</v>
          </cell>
          <cell r="J723">
            <v>0</v>
          </cell>
          <cell r="K723">
            <v>0</v>
          </cell>
          <cell r="L723">
            <v>0</v>
          </cell>
          <cell r="M723">
            <v>0</v>
          </cell>
          <cell r="N723">
            <v>0</v>
          </cell>
          <cell r="O723">
            <v>0</v>
          </cell>
          <cell r="P723">
            <v>0</v>
          </cell>
          <cell r="Q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row>
        <row r="724">
          <cell r="G724">
            <v>0</v>
          </cell>
          <cell r="H724">
            <v>0</v>
          </cell>
          <cell r="I724">
            <v>0</v>
          </cell>
          <cell r="J724">
            <v>0</v>
          </cell>
          <cell r="K724">
            <v>0</v>
          </cell>
          <cell r="L724">
            <v>0</v>
          </cell>
          <cell r="M724">
            <v>0</v>
          </cell>
          <cell r="N724">
            <v>0</v>
          </cell>
          <cell r="O724">
            <v>0</v>
          </cell>
          <cell r="P724">
            <v>0</v>
          </cell>
          <cell r="Q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row>
        <row r="725">
          <cell r="G725">
            <v>0</v>
          </cell>
          <cell r="H725">
            <v>0</v>
          </cell>
          <cell r="I725">
            <v>0</v>
          </cell>
          <cell r="J725">
            <v>0</v>
          </cell>
          <cell r="K725">
            <v>0</v>
          </cell>
          <cell r="L725">
            <v>0</v>
          </cell>
          <cell r="M725">
            <v>0</v>
          </cell>
          <cell r="N725">
            <v>0</v>
          </cell>
          <cell r="O725">
            <v>0</v>
          </cell>
          <cell r="P725">
            <v>0</v>
          </cell>
          <cell r="Q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row>
        <row r="726">
          <cell r="G726">
            <v>0</v>
          </cell>
          <cell r="H726">
            <v>0</v>
          </cell>
          <cell r="I726">
            <v>0</v>
          </cell>
          <cell r="J726">
            <v>0</v>
          </cell>
          <cell r="K726">
            <v>0</v>
          </cell>
          <cell r="L726">
            <v>0</v>
          </cell>
          <cell r="M726">
            <v>0</v>
          </cell>
          <cell r="N726">
            <v>0</v>
          </cell>
          <cell r="O726">
            <v>0</v>
          </cell>
          <cell r="P726">
            <v>0</v>
          </cell>
          <cell r="Q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row>
        <row r="727">
          <cell r="G727">
            <v>0</v>
          </cell>
          <cell r="H727">
            <v>0</v>
          </cell>
          <cell r="I727">
            <v>0</v>
          </cell>
          <cell r="J727">
            <v>0</v>
          </cell>
          <cell r="K727">
            <v>0</v>
          </cell>
          <cell r="L727">
            <v>0</v>
          </cell>
          <cell r="M727">
            <v>0</v>
          </cell>
          <cell r="N727">
            <v>0</v>
          </cell>
          <cell r="O727">
            <v>0</v>
          </cell>
          <cell r="P727">
            <v>0</v>
          </cell>
          <cell r="Q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row>
        <row r="728">
          <cell r="G728">
            <v>0</v>
          </cell>
          <cell r="H728">
            <v>0</v>
          </cell>
          <cell r="I728">
            <v>0</v>
          </cell>
          <cell r="J728">
            <v>0</v>
          </cell>
          <cell r="K728">
            <v>0</v>
          </cell>
          <cell r="L728">
            <v>0</v>
          </cell>
          <cell r="M728">
            <v>0</v>
          </cell>
          <cell r="N728">
            <v>0</v>
          </cell>
          <cell r="O728">
            <v>0</v>
          </cell>
          <cell r="P728">
            <v>0</v>
          </cell>
          <cell r="Q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row>
        <row r="729">
          <cell r="G729">
            <v>0</v>
          </cell>
          <cell r="H729">
            <v>0</v>
          </cell>
          <cell r="I729">
            <v>0</v>
          </cell>
          <cell r="J729">
            <v>0</v>
          </cell>
          <cell r="K729">
            <v>0</v>
          </cell>
          <cell r="L729">
            <v>0</v>
          </cell>
          <cell r="M729">
            <v>0</v>
          </cell>
          <cell r="N729">
            <v>0</v>
          </cell>
          <cell r="O729">
            <v>0</v>
          </cell>
          <cell r="P729">
            <v>0</v>
          </cell>
          <cell r="Q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row>
        <row r="730">
          <cell r="G730">
            <v>0</v>
          </cell>
          <cell r="H730">
            <v>0</v>
          </cell>
          <cell r="I730">
            <v>0</v>
          </cell>
          <cell r="J730">
            <v>0</v>
          </cell>
          <cell r="K730">
            <v>0</v>
          </cell>
          <cell r="L730">
            <v>0</v>
          </cell>
          <cell r="M730">
            <v>0</v>
          </cell>
          <cell r="N730">
            <v>0</v>
          </cell>
          <cell r="O730">
            <v>0</v>
          </cell>
          <cell r="P730">
            <v>0</v>
          </cell>
          <cell r="Q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row>
        <row r="731">
          <cell r="G731">
            <v>0</v>
          </cell>
          <cell r="H731">
            <v>0</v>
          </cell>
          <cell r="I731">
            <v>0</v>
          </cell>
          <cell r="J731">
            <v>0</v>
          </cell>
          <cell r="K731">
            <v>0</v>
          </cell>
          <cell r="L731">
            <v>0</v>
          </cell>
          <cell r="M731">
            <v>0</v>
          </cell>
          <cell r="N731">
            <v>0</v>
          </cell>
          <cell r="O731">
            <v>0</v>
          </cell>
          <cell r="P731">
            <v>0</v>
          </cell>
          <cell r="Q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row>
        <row r="732">
          <cell r="G732">
            <v>0</v>
          </cell>
          <cell r="H732">
            <v>0</v>
          </cell>
          <cell r="I732">
            <v>0</v>
          </cell>
          <cell r="J732">
            <v>0</v>
          </cell>
          <cell r="K732">
            <v>0</v>
          </cell>
          <cell r="L732">
            <v>0</v>
          </cell>
          <cell r="M732">
            <v>0</v>
          </cell>
          <cell r="N732">
            <v>0</v>
          </cell>
          <cell r="O732">
            <v>0</v>
          </cell>
          <cell r="P732">
            <v>0</v>
          </cell>
          <cell r="Q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row>
        <row r="733">
          <cell r="G733">
            <v>0</v>
          </cell>
          <cell r="H733">
            <v>0</v>
          </cell>
          <cell r="I733">
            <v>0</v>
          </cell>
          <cell r="J733">
            <v>0</v>
          </cell>
          <cell r="K733">
            <v>0</v>
          </cell>
          <cell r="L733">
            <v>0</v>
          </cell>
          <cell r="M733">
            <v>0</v>
          </cell>
          <cell r="N733">
            <v>0</v>
          </cell>
          <cell r="O733">
            <v>0</v>
          </cell>
          <cell r="P733">
            <v>0</v>
          </cell>
          <cell r="Q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0</v>
          </cell>
          <cell r="AO733">
            <v>0</v>
          </cell>
          <cell r="AP733">
            <v>0</v>
          </cell>
          <cell r="AQ733">
            <v>0</v>
          </cell>
          <cell r="AR733">
            <v>0</v>
          </cell>
          <cell r="AS733">
            <v>0</v>
          </cell>
          <cell r="AT733">
            <v>0</v>
          </cell>
          <cell r="AU733">
            <v>0</v>
          </cell>
          <cell r="AV733">
            <v>0</v>
          </cell>
          <cell r="AW733">
            <v>0</v>
          </cell>
        </row>
        <row r="734">
          <cell r="G734">
            <v>0</v>
          </cell>
          <cell r="H734">
            <v>0</v>
          </cell>
          <cell r="I734">
            <v>0</v>
          </cell>
          <cell r="J734">
            <v>0</v>
          </cell>
          <cell r="K734">
            <v>0</v>
          </cell>
          <cell r="L734">
            <v>0</v>
          </cell>
          <cell r="M734">
            <v>0</v>
          </cell>
          <cell r="N734">
            <v>0</v>
          </cell>
          <cell r="O734">
            <v>0</v>
          </cell>
          <cell r="P734">
            <v>0</v>
          </cell>
          <cell r="Q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row>
        <row r="735">
          <cell r="G735">
            <v>0</v>
          </cell>
          <cell r="H735">
            <v>0</v>
          </cell>
          <cell r="I735">
            <v>0</v>
          </cell>
          <cell r="J735">
            <v>0</v>
          </cell>
          <cell r="K735">
            <v>0</v>
          </cell>
          <cell r="L735">
            <v>0</v>
          </cell>
          <cell r="M735">
            <v>0</v>
          </cell>
          <cell r="N735">
            <v>0</v>
          </cell>
          <cell r="O735">
            <v>0</v>
          </cell>
          <cell r="P735">
            <v>0</v>
          </cell>
          <cell r="Q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row>
        <row r="736">
          <cell r="G736">
            <v>0</v>
          </cell>
          <cell r="H736">
            <v>0</v>
          </cell>
          <cell r="I736">
            <v>0</v>
          </cell>
          <cell r="J736">
            <v>0</v>
          </cell>
          <cell r="K736">
            <v>0</v>
          </cell>
          <cell r="L736">
            <v>0</v>
          </cell>
          <cell r="M736">
            <v>0</v>
          </cell>
          <cell r="N736">
            <v>0</v>
          </cell>
          <cell r="O736">
            <v>0</v>
          </cell>
          <cell r="P736">
            <v>0</v>
          </cell>
          <cell r="Q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row>
        <row r="737">
          <cell r="G737">
            <v>0</v>
          </cell>
          <cell r="H737">
            <v>0</v>
          </cell>
          <cell r="I737">
            <v>0</v>
          </cell>
          <cell r="J737">
            <v>0</v>
          </cell>
          <cell r="K737">
            <v>0</v>
          </cell>
          <cell r="L737">
            <v>0</v>
          </cell>
          <cell r="M737">
            <v>0</v>
          </cell>
          <cell r="N737">
            <v>0</v>
          </cell>
          <cell r="O737">
            <v>0</v>
          </cell>
          <cell r="P737">
            <v>0</v>
          </cell>
          <cell r="Q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row>
        <row r="738">
          <cell r="G738">
            <v>0</v>
          </cell>
          <cell r="H738">
            <v>0</v>
          </cell>
          <cell r="I738">
            <v>0</v>
          </cell>
          <cell r="J738">
            <v>0</v>
          </cell>
          <cell r="K738">
            <v>0</v>
          </cell>
          <cell r="L738">
            <v>0</v>
          </cell>
          <cell r="M738">
            <v>0</v>
          </cell>
          <cell r="N738">
            <v>0</v>
          </cell>
          <cell r="O738">
            <v>0</v>
          </cell>
          <cell r="P738">
            <v>0</v>
          </cell>
          <cell r="Q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row>
        <row r="739">
          <cell r="G739">
            <v>0</v>
          </cell>
          <cell r="H739">
            <v>0</v>
          </cell>
          <cell r="I739">
            <v>0</v>
          </cell>
          <cell r="J739">
            <v>0</v>
          </cell>
          <cell r="K739">
            <v>0</v>
          </cell>
          <cell r="L739">
            <v>0</v>
          </cell>
          <cell r="M739">
            <v>0</v>
          </cell>
          <cell r="N739">
            <v>0</v>
          </cell>
          <cell r="O739">
            <v>0</v>
          </cell>
          <cell r="P739">
            <v>0</v>
          </cell>
          <cell r="Q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row>
        <row r="740">
          <cell r="G740">
            <v>0</v>
          </cell>
          <cell r="H740">
            <v>0</v>
          </cell>
          <cell r="I740">
            <v>0</v>
          </cell>
          <cell r="J740">
            <v>0</v>
          </cell>
          <cell r="K740">
            <v>0</v>
          </cell>
          <cell r="L740">
            <v>0</v>
          </cell>
          <cell r="M740">
            <v>0</v>
          </cell>
          <cell r="N740">
            <v>0</v>
          </cell>
          <cell r="O740">
            <v>0</v>
          </cell>
          <cell r="P740">
            <v>0</v>
          </cell>
          <cell r="Q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row>
        <row r="741">
          <cell r="G741">
            <v>0</v>
          </cell>
          <cell r="H741">
            <v>0</v>
          </cell>
          <cell r="I741">
            <v>0</v>
          </cell>
          <cell r="J741">
            <v>0</v>
          </cell>
          <cell r="K741">
            <v>0</v>
          </cell>
          <cell r="L741">
            <v>0</v>
          </cell>
          <cell r="M741">
            <v>0</v>
          </cell>
          <cell r="N741">
            <v>0</v>
          </cell>
          <cell r="O741">
            <v>0</v>
          </cell>
          <cell r="P741">
            <v>0</v>
          </cell>
          <cell r="Q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row>
        <row r="742">
          <cell r="G742">
            <v>0</v>
          </cell>
          <cell r="H742">
            <v>0</v>
          </cell>
          <cell r="I742">
            <v>0</v>
          </cell>
          <cell r="J742">
            <v>0</v>
          </cell>
          <cell r="K742">
            <v>0</v>
          </cell>
          <cell r="L742">
            <v>0</v>
          </cell>
          <cell r="M742">
            <v>0</v>
          </cell>
          <cell r="N742">
            <v>0</v>
          </cell>
          <cell r="O742">
            <v>0</v>
          </cell>
          <cell r="P742">
            <v>0</v>
          </cell>
          <cell r="Q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row>
        <row r="743">
          <cell r="G743">
            <v>0</v>
          </cell>
          <cell r="H743">
            <v>0</v>
          </cell>
          <cell r="I743">
            <v>0</v>
          </cell>
          <cell r="J743">
            <v>0</v>
          </cell>
          <cell r="K743">
            <v>0</v>
          </cell>
          <cell r="L743">
            <v>0</v>
          </cell>
          <cell r="M743">
            <v>0</v>
          </cell>
          <cell r="N743">
            <v>0</v>
          </cell>
          <cell r="O743">
            <v>0</v>
          </cell>
          <cell r="P743">
            <v>0</v>
          </cell>
          <cell r="Q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row>
        <row r="744">
          <cell r="G744">
            <v>0</v>
          </cell>
          <cell r="H744">
            <v>0</v>
          </cell>
          <cell r="I744">
            <v>0</v>
          </cell>
          <cell r="J744">
            <v>0</v>
          </cell>
          <cell r="K744">
            <v>0</v>
          </cell>
          <cell r="L744">
            <v>0</v>
          </cell>
          <cell r="M744">
            <v>0</v>
          </cell>
          <cell r="N744">
            <v>0</v>
          </cell>
          <cell r="O744">
            <v>0</v>
          </cell>
          <cell r="P744">
            <v>0</v>
          </cell>
          <cell r="Q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row>
        <row r="745">
          <cell r="G745">
            <v>0</v>
          </cell>
          <cell r="H745">
            <v>0</v>
          </cell>
          <cell r="I745">
            <v>0</v>
          </cell>
          <cell r="J745">
            <v>0</v>
          </cell>
          <cell r="K745">
            <v>0</v>
          </cell>
          <cell r="L745">
            <v>0</v>
          </cell>
          <cell r="M745">
            <v>0</v>
          </cell>
          <cell r="N745">
            <v>0</v>
          </cell>
          <cell r="O745">
            <v>0</v>
          </cell>
          <cell r="P745">
            <v>0</v>
          </cell>
          <cell r="Q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row>
        <row r="746">
          <cell r="G746">
            <v>0</v>
          </cell>
          <cell r="H746">
            <v>0</v>
          </cell>
          <cell r="I746">
            <v>0</v>
          </cell>
          <cell r="J746">
            <v>0</v>
          </cell>
          <cell r="K746">
            <v>0</v>
          </cell>
          <cell r="L746">
            <v>0</v>
          </cell>
          <cell r="M746">
            <v>0</v>
          </cell>
          <cell r="N746">
            <v>0</v>
          </cell>
          <cell r="O746">
            <v>0</v>
          </cell>
          <cell r="P746">
            <v>0</v>
          </cell>
          <cell r="Q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row>
        <row r="747">
          <cell r="G747">
            <v>0</v>
          </cell>
          <cell r="H747">
            <v>0</v>
          </cell>
          <cell r="I747">
            <v>0</v>
          </cell>
          <cell r="J747">
            <v>0</v>
          </cell>
          <cell r="K747">
            <v>0</v>
          </cell>
          <cell r="L747">
            <v>0</v>
          </cell>
          <cell r="M747">
            <v>0</v>
          </cell>
          <cell r="N747">
            <v>0</v>
          </cell>
          <cell r="O747">
            <v>0</v>
          </cell>
          <cell r="P747">
            <v>0</v>
          </cell>
          <cell r="Q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row>
        <row r="748">
          <cell r="G748">
            <v>0</v>
          </cell>
          <cell r="H748">
            <v>0</v>
          </cell>
          <cell r="I748">
            <v>0</v>
          </cell>
          <cell r="J748">
            <v>0</v>
          </cell>
          <cell r="K748">
            <v>0</v>
          </cell>
          <cell r="L748">
            <v>0</v>
          </cell>
          <cell r="M748">
            <v>0</v>
          </cell>
          <cell r="N748">
            <v>0</v>
          </cell>
          <cell r="O748">
            <v>0</v>
          </cell>
          <cell r="P748">
            <v>0</v>
          </cell>
          <cell r="Q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row>
        <row r="749">
          <cell r="G749">
            <v>0</v>
          </cell>
          <cell r="H749">
            <v>0</v>
          </cell>
          <cell r="I749">
            <v>0</v>
          </cell>
          <cell r="J749">
            <v>0</v>
          </cell>
          <cell r="K749">
            <v>0</v>
          </cell>
          <cell r="L749">
            <v>0</v>
          </cell>
          <cell r="M749">
            <v>0</v>
          </cell>
          <cell r="N749">
            <v>0</v>
          </cell>
          <cell r="O749">
            <v>0</v>
          </cell>
          <cell r="P749">
            <v>0</v>
          </cell>
          <cell r="Q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row>
        <row r="750">
          <cell r="G750">
            <v>0</v>
          </cell>
          <cell r="H750">
            <v>0</v>
          </cell>
          <cell r="I750">
            <v>0</v>
          </cell>
          <cell r="J750">
            <v>0</v>
          </cell>
          <cell r="K750">
            <v>0</v>
          </cell>
          <cell r="L750">
            <v>0</v>
          </cell>
          <cell r="M750">
            <v>0</v>
          </cell>
          <cell r="N750">
            <v>0</v>
          </cell>
          <cell r="O750">
            <v>0</v>
          </cell>
          <cell r="P750">
            <v>0</v>
          </cell>
          <cell r="Q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row>
        <row r="751">
          <cell r="G751">
            <v>0</v>
          </cell>
          <cell r="H751">
            <v>0</v>
          </cell>
          <cell r="I751">
            <v>0</v>
          </cell>
          <cell r="J751">
            <v>0</v>
          </cell>
          <cell r="K751">
            <v>0</v>
          </cell>
          <cell r="L751">
            <v>0</v>
          </cell>
          <cell r="M751">
            <v>0</v>
          </cell>
          <cell r="N751">
            <v>0</v>
          </cell>
          <cell r="O751">
            <v>0</v>
          </cell>
          <cell r="P751">
            <v>0</v>
          </cell>
          <cell r="Q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row>
        <row r="752">
          <cell r="G752">
            <v>0</v>
          </cell>
          <cell r="H752">
            <v>0</v>
          </cell>
          <cell r="I752">
            <v>0</v>
          </cell>
          <cell r="J752">
            <v>0</v>
          </cell>
          <cell r="K752">
            <v>0</v>
          </cell>
          <cell r="L752">
            <v>0</v>
          </cell>
          <cell r="M752">
            <v>0</v>
          </cell>
          <cell r="N752">
            <v>0</v>
          </cell>
          <cell r="O752">
            <v>0</v>
          </cell>
          <cell r="P752">
            <v>0</v>
          </cell>
          <cell r="Q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row>
        <row r="753">
          <cell r="G753">
            <v>0</v>
          </cell>
          <cell r="H753">
            <v>0</v>
          </cell>
          <cell r="I753">
            <v>0</v>
          </cell>
          <cell r="J753">
            <v>0</v>
          </cell>
          <cell r="K753">
            <v>0</v>
          </cell>
          <cell r="L753">
            <v>0</v>
          </cell>
          <cell r="M753">
            <v>0</v>
          </cell>
          <cell r="N753">
            <v>0</v>
          </cell>
          <cell r="O753">
            <v>0</v>
          </cell>
          <cell r="P753">
            <v>0</v>
          </cell>
          <cell r="Q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row>
        <row r="754">
          <cell r="G754">
            <v>0</v>
          </cell>
          <cell r="H754">
            <v>0</v>
          </cell>
          <cell r="I754">
            <v>0</v>
          </cell>
          <cell r="J754">
            <v>0</v>
          </cell>
          <cell r="K754">
            <v>0</v>
          </cell>
          <cell r="L754">
            <v>0</v>
          </cell>
          <cell r="M754">
            <v>0</v>
          </cell>
          <cell r="N754">
            <v>0</v>
          </cell>
          <cell r="O754">
            <v>0</v>
          </cell>
          <cell r="P754">
            <v>0</v>
          </cell>
          <cell r="Q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row>
        <row r="755">
          <cell r="G755">
            <v>0</v>
          </cell>
          <cell r="H755">
            <v>0</v>
          </cell>
          <cell r="I755">
            <v>0</v>
          </cell>
          <cell r="J755">
            <v>0</v>
          </cell>
          <cell r="K755">
            <v>0</v>
          </cell>
          <cell r="L755">
            <v>0</v>
          </cell>
          <cell r="M755">
            <v>0</v>
          </cell>
          <cell r="N755">
            <v>0</v>
          </cell>
          <cell r="O755">
            <v>0</v>
          </cell>
          <cell r="P755">
            <v>0</v>
          </cell>
          <cell r="Q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row>
        <row r="756">
          <cell r="G756">
            <v>0</v>
          </cell>
          <cell r="H756">
            <v>0</v>
          </cell>
          <cell r="I756">
            <v>0</v>
          </cell>
          <cell r="J756">
            <v>0</v>
          </cell>
          <cell r="K756">
            <v>0</v>
          </cell>
          <cell r="L756">
            <v>0</v>
          </cell>
          <cell r="M756">
            <v>0</v>
          </cell>
          <cell r="N756">
            <v>0</v>
          </cell>
          <cell r="O756">
            <v>0</v>
          </cell>
          <cell r="P756">
            <v>0</v>
          </cell>
          <cell r="Q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row>
        <row r="757">
          <cell r="G757">
            <v>0</v>
          </cell>
          <cell r="H757">
            <v>0</v>
          </cell>
          <cell r="I757">
            <v>0</v>
          </cell>
          <cell r="J757">
            <v>0</v>
          </cell>
          <cell r="K757">
            <v>0</v>
          </cell>
          <cell r="L757">
            <v>0</v>
          </cell>
          <cell r="M757">
            <v>0</v>
          </cell>
          <cell r="N757">
            <v>0</v>
          </cell>
          <cell r="O757">
            <v>0</v>
          </cell>
          <cell r="P757">
            <v>0</v>
          </cell>
          <cell r="Q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row>
        <row r="758">
          <cell r="G758">
            <v>0</v>
          </cell>
          <cell r="H758">
            <v>0</v>
          </cell>
          <cell r="I758">
            <v>0</v>
          </cell>
          <cell r="J758">
            <v>0</v>
          </cell>
          <cell r="K758">
            <v>0</v>
          </cell>
          <cell r="L758">
            <v>0</v>
          </cell>
          <cell r="M758">
            <v>0</v>
          </cell>
          <cell r="N758">
            <v>0</v>
          </cell>
          <cell r="O758">
            <v>0</v>
          </cell>
          <cell r="P758">
            <v>0</v>
          </cell>
          <cell r="Q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row>
        <row r="759">
          <cell r="G759">
            <v>0</v>
          </cell>
          <cell r="H759">
            <v>0</v>
          </cell>
          <cell r="I759">
            <v>0</v>
          </cell>
          <cell r="J759">
            <v>0</v>
          </cell>
          <cell r="K759">
            <v>0</v>
          </cell>
          <cell r="L759">
            <v>0</v>
          </cell>
          <cell r="M759">
            <v>0</v>
          </cell>
          <cell r="N759">
            <v>0</v>
          </cell>
          <cell r="O759">
            <v>0</v>
          </cell>
          <cell r="P759">
            <v>0</v>
          </cell>
          <cell r="Q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row>
        <row r="760">
          <cell r="G760">
            <v>0</v>
          </cell>
          <cell r="H760">
            <v>0</v>
          </cell>
          <cell r="I760">
            <v>0</v>
          </cell>
          <cell r="J760">
            <v>0</v>
          </cell>
          <cell r="K760">
            <v>0</v>
          </cell>
          <cell r="L760">
            <v>0</v>
          </cell>
          <cell r="M760">
            <v>0</v>
          </cell>
          <cell r="N760">
            <v>0</v>
          </cell>
          <cell r="O760">
            <v>0</v>
          </cell>
          <cell r="P760">
            <v>0</v>
          </cell>
          <cell r="Q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row>
        <row r="761">
          <cell r="G761">
            <v>0</v>
          </cell>
          <cell r="H761">
            <v>0</v>
          </cell>
          <cell r="I761">
            <v>0</v>
          </cell>
          <cell r="J761">
            <v>0</v>
          </cell>
          <cell r="K761">
            <v>0</v>
          </cell>
          <cell r="L761">
            <v>0</v>
          </cell>
          <cell r="M761">
            <v>0</v>
          </cell>
          <cell r="N761">
            <v>0</v>
          </cell>
          <cell r="O761">
            <v>0</v>
          </cell>
          <cell r="P761">
            <v>0</v>
          </cell>
          <cell r="Q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row>
        <row r="762">
          <cell r="G762">
            <v>0</v>
          </cell>
          <cell r="H762">
            <v>0</v>
          </cell>
          <cell r="I762">
            <v>0</v>
          </cell>
          <cell r="J762">
            <v>0</v>
          </cell>
          <cell r="K762">
            <v>0</v>
          </cell>
          <cell r="L762">
            <v>0</v>
          </cell>
          <cell r="M762">
            <v>0</v>
          </cell>
          <cell r="N762">
            <v>0</v>
          </cell>
          <cell r="O762">
            <v>0</v>
          </cell>
          <cell r="P762">
            <v>0</v>
          </cell>
          <cell r="Q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row>
        <row r="763">
          <cell r="G763">
            <v>0</v>
          </cell>
          <cell r="H763">
            <v>0</v>
          </cell>
          <cell r="I763">
            <v>0</v>
          </cell>
          <cell r="J763">
            <v>0</v>
          </cell>
          <cell r="K763">
            <v>0</v>
          </cell>
          <cell r="L763">
            <v>0</v>
          </cell>
          <cell r="M763">
            <v>0</v>
          </cell>
          <cell r="N763">
            <v>0</v>
          </cell>
          <cell r="O763">
            <v>0</v>
          </cell>
          <cell r="P763">
            <v>0</v>
          </cell>
          <cell r="Q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row>
        <row r="764">
          <cell r="G764">
            <v>0</v>
          </cell>
          <cell r="H764">
            <v>0</v>
          </cell>
          <cell r="I764">
            <v>0</v>
          </cell>
          <cell r="J764">
            <v>0</v>
          </cell>
          <cell r="K764">
            <v>0</v>
          </cell>
          <cell r="L764">
            <v>0</v>
          </cell>
          <cell r="M764">
            <v>0</v>
          </cell>
          <cell r="N764">
            <v>0</v>
          </cell>
          <cell r="O764">
            <v>0</v>
          </cell>
          <cell r="P764">
            <v>0</v>
          </cell>
          <cell r="Q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row>
        <row r="765">
          <cell r="G765">
            <v>0</v>
          </cell>
          <cell r="H765">
            <v>0</v>
          </cell>
          <cell r="I765">
            <v>0</v>
          </cell>
          <cell r="J765">
            <v>0</v>
          </cell>
          <cell r="K765">
            <v>0</v>
          </cell>
          <cell r="L765">
            <v>0</v>
          </cell>
          <cell r="M765">
            <v>0</v>
          </cell>
          <cell r="N765">
            <v>0</v>
          </cell>
          <cell r="O765">
            <v>0</v>
          </cell>
          <cell r="P765">
            <v>0</v>
          </cell>
          <cell r="Q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row>
        <row r="766">
          <cell r="G766">
            <v>0</v>
          </cell>
          <cell r="H766">
            <v>0</v>
          </cell>
          <cell r="I766">
            <v>0</v>
          </cell>
          <cell r="J766">
            <v>0</v>
          </cell>
          <cell r="K766">
            <v>0</v>
          </cell>
          <cell r="L766">
            <v>0</v>
          </cell>
          <cell r="M766">
            <v>0</v>
          </cell>
          <cell r="N766">
            <v>0</v>
          </cell>
          <cell r="O766">
            <v>0</v>
          </cell>
          <cell r="P766">
            <v>0</v>
          </cell>
          <cell r="Q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row>
        <row r="767">
          <cell r="G767">
            <v>0</v>
          </cell>
          <cell r="H767">
            <v>0</v>
          </cell>
          <cell r="I767">
            <v>0</v>
          </cell>
          <cell r="J767">
            <v>0</v>
          </cell>
          <cell r="K767">
            <v>0</v>
          </cell>
          <cell r="L767">
            <v>0</v>
          </cell>
          <cell r="M767">
            <v>0</v>
          </cell>
          <cell r="N767">
            <v>0</v>
          </cell>
          <cell r="O767">
            <v>0</v>
          </cell>
          <cell r="P767">
            <v>0</v>
          </cell>
          <cell r="Q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row>
        <row r="768">
          <cell r="G768">
            <v>0</v>
          </cell>
          <cell r="H768">
            <v>0</v>
          </cell>
          <cell r="I768">
            <v>0</v>
          </cell>
          <cell r="J768">
            <v>0</v>
          </cell>
          <cell r="K768">
            <v>0</v>
          </cell>
          <cell r="L768">
            <v>0</v>
          </cell>
          <cell r="M768">
            <v>0</v>
          </cell>
          <cell r="N768">
            <v>0</v>
          </cell>
          <cell r="O768">
            <v>0</v>
          </cell>
          <cell r="P768">
            <v>0</v>
          </cell>
          <cell r="Q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row>
        <row r="769">
          <cell r="G769">
            <v>0</v>
          </cell>
          <cell r="H769">
            <v>0</v>
          </cell>
          <cell r="I769">
            <v>0</v>
          </cell>
          <cell r="J769">
            <v>0</v>
          </cell>
          <cell r="K769">
            <v>0</v>
          </cell>
          <cell r="L769">
            <v>0</v>
          </cell>
          <cell r="M769">
            <v>0</v>
          </cell>
          <cell r="N769">
            <v>0</v>
          </cell>
          <cell r="O769">
            <v>0</v>
          </cell>
          <cell r="P769">
            <v>0</v>
          </cell>
          <cell r="Q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row>
        <row r="770">
          <cell r="G770">
            <v>0</v>
          </cell>
          <cell r="H770">
            <v>0</v>
          </cell>
          <cell r="I770">
            <v>0</v>
          </cell>
          <cell r="J770">
            <v>0</v>
          </cell>
          <cell r="K770">
            <v>0</v>
          </cell>
          <cell r="L770">
            <v>0</v>
          </cell>
          <cell r="M770">
            <v>0</v>
          </cell>
          <cell r="N770">
            <v>0</v>
          </cell>
          <cell r="O770">
            <v>0</v>
          </cell>
          <cell r="P770">
            <v>0</v>
          </cell>
          <cell r="Q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row>
        <row r="771">
          <cell r="G771">
            <v>0</v>
          </cell>
          <cell r="H771">
            <v>0</v>
          </cell>
          <cell r="I771">
            <v>0</v>
          </cell>
          <cell r="J771">
            <v>0</v>
          </cell>
          <cell r="K771">
            <v>0</v>
          </cell>
          <cell r="L771">
            <v>0</v>
          </cell>
          <cell r="M771">
            <v>0</v>
          </cell>
          <cell r="N771">
            <v>0</v>
          </cell>
          <cell r="O771">
            <v>0</v>
          </cell>
          <cell r="P771">
            <v>0</v>
          </cell>
          <cell r="Q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row>
        <row r="772">
          <cell r="G772">
            <v>0</v>
          </cell>
          <cell r="H772">
            <v>0</v>
          </cell>
          <cell r="I772">
            <v>0</v>
          </cell>
          <cell r="J772">
            <v>0</v>
          </cell>
          <cell r="K772">
            <v>0</v>
          </cell>
          <cell r="L772">
            <v>0</v>
          </cell>
          <cell r="M772">
            <v>0</v>
          </cell>
          <cell r="N772">
            <v>0</v>
          </cell>
          <cell r="O772">
            <v>0</v>
          </cell>
          <cell r="P772">
            <v>0</v>
          </cell>
          <cell r="Q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row>
        <row r="773">
          <cell r="G773">
            <v>0</v>
          </cell>
          <cell r="H773">
            <v>0</v>
          </cell>
          <cell r="I773">
            <v>0</v>
          </cell>
          <cell r="J773">
            <v>0</v>
          </cell>
          <cell r="K773">
            <v>0</v>
          </cell>
          <cell r="L773">
            <v>0</v>
          </cell>
          <cell r="M773">
            <v>0</v>
          </cell>
          <cell r="N773">
            <v>0</v>
          </cell>
          <cell r="O773">
            <v>0</v>
          </cell>
          <cell r="P773">
            <v>0</v>
          </cell>
          <cell r="Q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row>
        <row r="774">
          <cell r="G774">
            <v>0</v>
          </cell>
          <cell r="H774">
            <v>0</v>
          </cell>
          <cell r="I774">
            <v>0</v>
          </cell>
          <cell r="J774">
            <v>0</v>
          </cell>
          <cell r="K774">
            <v>0</v>
          </cell>
          <cell r="L774">
            <v>0</v>
          </cell>
          <cell r="M774">
            <v>0</v>
          </cell>
          <cell r="N774">
            <v>0</v>
          </cell>
          <cell r="O774">
            <v>0</v>
          </cell>
          <cell r="P774">
            <v>0</v>
          </cell>
          <cell r="Q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row>
        <row r="775">
          <cell r="G775">
            <v>0</v>
          </cell>
          <cell r="H775">
            <v>0</v>
          </cell>
          <cell r="I775">
            <v>0</v>
          </cell>
          <cell r="J775">
            <v>0</v>
          </cell>
          <cell r="K775">
            <v>0</v>
          </cell>
          <cell r="L775">
            <v>0</v>
          </cell>
          <cell r="M775">
            <v>0</v>
          </cell>
          <cell r="N775">
            <v>0</v>
          </cell>
          <cell r="O775">
            <v>0</v>
          </cell>
          <cell r="P775">
            <v>0</v>
          </cell>
          <cell r="Q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row>
        <row r="776">
          <cell r="G776">
            <v>0</v>
          </cell>
          <cell r="H776">
            <v>0</v>
          </cell>
          <cell r="I776">
            <v>0</v>
          </cell>
          <cell r="J776">
            <v>0</v>
          </cell>
          <cell r="K776">
            <v>0</v>
          </cell>
          <cell r="L776">
            <v>0</v>
          </cell>
          <cell r="M776">
            <v>0</v>
          </cell>
          <cell r="N776">
            <v>0</v>
          </cell>
          <cell r="O776">
            <v>0</v>
          </cell>
          <cell r="P776">
            <v>0</v>
          </cell>
          <cell r="Q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row>
        <row r="777">
          <cell r="G777">
            <v>0</v>
          </cell>
          <cell r="H777">
            <v>0</v>
          </cell>
          <cell r="I777">
            <v>0</v>
          </cell>
          <cell r="J777">
            <v>0</v>
          </cell>
          <cell r="K777">
            <v>0</v>
          </cell>
          <cell r="L777">
            <v>0</v>
          </cell>
          <cell r="M777">
            <v>0</v>
          </cell>
          <cell r="N777">
            <v>0</v>
          </cell>
          <cell r="O777">
            <v>0</v>
          </cell>
          <cell r="P777">
            <v>0</v>
          </cell>
          <cell r="Q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row>
        <row r="778">
          <cell r="G778">
            <v>0</v>
          </cell>
          <cell r="H778">
            <v>0</v>
          </cell>
          <cell r="I778">
            <v>0</v>
          </cell>
          <cell r="J778">
            <v>0</v>
          </cell>
          <cell r="K778">
            <v>0</v>
          </cell>
          <cell r="L778">
            <v>0</v>
          </cell>
          <cell r="M778">
            <v>0</v>
          </cell>
          <cell r="N778">
            <v>0</v>
          </cell>
          <cell r="O778">
            <v>0</v>
          </cell>
          <cell r="P778">
            <v>0</v>
          </cell>
          <cell r="Q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row>
        <row r="779">
          <cell r="G779">
            <v>0</v>
          </cell>
          <cell r="H779">
            <v>0</v>
          </cell>
          <cell r="I779">
            <v>0</v>
          </cell>
          <cell r="J779">
            <v>0</v>
          </cell>
          <cell r="K779">
            <v>0</v>
          </cell>
          <cell r="L779">
            <v>0</v>
          </cell>
          <cell r="M779">
            <v>0</v>
          </cell>
          <cell r="N779">
            <v>0</v>
          </cell>
          <cell r="O779">
            <v>0</v>
          </cell>
          <cell r="P779">
            <v>0</v>
          </cell>
          <cell r="Q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0</v>
          </cell>
          <cell r="AW779">
            <v>0</v>
          </cell>
        </row>
        <row r="780">
          <cell r="G780">
            <v>0</v>
          </cell>
          <cell r="H780">
            <v>0</v>
          </cell>
          <cell r="I780">
            <v>0</v>
          </cell>
          <cell r="J780">
            <v>0</v>
          </cell>
          <cell r="K780">
            <v>0</v>
          </cell>
          <cell r="L780">
            <v>0</v>
          </cell>
          <cell r="M780">
            <v>0</v>
          </cell>
          <cell r="N780">
            <v>0</v>
          </cell>
          <cell r="O780">
            <v>0</v>
          </cell>
          <cell r="P780">
            <v>0</v>
          </cell>
          <cell r="Q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row>
        <row r="781">
          <cell r="G781">
            <v>0</v>
          </cell>
          <cell r="H781">
            <v>0</v>
          </cell>
          <cell r="I781">
            <v>0</v>
          </cell>
          <cell r="J781">
            <v>0</v>
          </cell>
          <cell r="K781">
            <v>0</v>
          </cell>
          <cell r="L781">
            <v>0</v>
          </cell>
          <cell r="M781">
            <v>0</v>
          </cell>
          <cell r="N781">
            <v>0</v>
          </cell>
          <cell r="O781">
            <v>0</v>
          </cell>
          <cell r="P781">
            <v>0</v>
          </cell>
          <cell r="Q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row>
        <row r="782">
          <cell r="G782">
            <v>0</v>
          </cell>
          <cell r="H782">
            <v>0</v>
          </cell>
          <cell r="I782">
            <v>0</v>
          </cell>
          <cell r="J782">
            <v>0</v>
          </cell>
          <cell r="K782">
            <v>0</v>
          </cell>
          <cell r="L782">
            <v>0</v>
          </cell>
          <cell r="M782">
            <v>0</v>
          </cell>
          <cell r="N782">
            <v>0</v>
          </cell>
          <cell r="O782">
            <v>0</v>
          </cell>
          <cell r="P782">
            <v>0</v>
          </cell>
          <cell r="Q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row>
        <row r="783">
          <cell r="G783">
            <v>0</v>
          </cell>
          <cell r="H783">
            <v>0</v>
          </cell>
          <cell r="I783">
            <v>0</v>
          </cell>
          <cell r="J783">
            <v>0</v>
          </cell>
          <cell r="K783">
            <v>0</v>
          </cell>
          <cell r="L783">
            <v>0</v>
          </cell>
          <cell r="M783">
            <v>0</v>
          </cell>
          <cell r="N783">
            <v>0</v>
          </cell>
          <cell r="O783">
            <v>0</v>
          </cell>
          <cell r="P783">
            <v>0</v>
          </cell>
          <cell r="Q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row>
        <row r="784">
          <cell r="G784">
            <v>0</v>
          </cell>
          <cell r="H784">
            <v>0</v>
          </cell>
          <cell r="I784">
            <v>0</v>
          </cell>
          <cell r="J784">
            <v>0</v>
          </cell>
          <cell r="K784">
            <v>0</v>
          </cell>
          <cell r="L784">
            <v>0</v>
          </cell>
          <cell r="M784">
            <v>0</v>
          </cell>
          <cell r="N784">
            <v>0</v>
          </cell>
          <cell r="O784">
            <v>0</v>
          </cell>
          <cell r="P784">
            <v>0</v>
          </cell>
          <cell r="Q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row>
        <row r="785">
          <cell r="G785">
            <v>0</v>
          </cell>
          <cell r="H785">
            <v>0</v>
          </cell>
          <cell r="I785">
            <v>0</v>
          </cell>
          <cell r="J785">
            <v>0</v>
          </cell>
          <cell r="K785">
            <v>0</v>
          </cell>
          <cell r="L785">
            <v>0</v>
          </cell>
          <cell r="M785">
            <v>0</v>
          </cell>
          <cell r="N785">
            <v>0</v>
          </cell>
          <cell r="O785">
            <v>0</v>
          </cell>
          <cell r="P785">
            <v>0</v>
          </cell>
          <cell r="Q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row>
        <row r="786">
          <cell r="G786">
            <v>0</v>
          </cell>
          <cell r="H786">
            <v>0</v>
          </cell>
          <cell r="I786">
            <v>0</v>
          </cell>
          <cell r="J786">
            <v>0</v>
          </cell>
          <cell r="K786">
            <v>0</v>
          </cell>
          <cell r="L786">
            <v>0</v>
          </cell>
          <cell r="M786">
            <v>0</v>
          </cell>
          <cell r="N786">
            <v>0</v>
          </cell>
          <cell r="O786">
            <v>0</v>
          </cell>
          <cell r="P786">
            <v>0</v>
          </cell>
          <cell r="Q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row>
        <row r="787">
          <cell r="G787">
            <v>0</v>
          </cell>
          <cell r="H787">
            <v>0</v>
          </cell>
          <cell r="I787">
            <v>0</v>
          </cell>
          <cell r="J787">
            <v>0</v>
          </cell>
          <cell r="K787">
            <v>0</v>
          </cell>
          <cell r="L787">
            <v>0</v>
          </cell>
          <cell r="M787">
            <v>0</v>
          </cell>
          <cell r="N787">
            <v>0</v>
          </cell>
          <cell r="O787">
            <v>0</v>
          </cell>
          <cell r="P787">
            <v>0</v>
          </cell>
          <cell r="Q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row>
        <row r="788">
          <cell r="G788">
            <v>0</v>
          </cell>
          <cell r="H788">
            <v>0</v>
          </cell>
          <cell r="I788">
            <v>0</v>
          </cell>
          <cell r="J788">
            <v>0</v>
          </cell>
          <cell r="K788">
            <v>0</v>
          </cell>
          <cell r="L788">
            <v>0</v>
          </cell>
          <cell r="M788">
            <v>0</v>
          </cell>
          <cell r="N788">
            <v>0</v>
          </cell>
          <cell r="O788">
            <v>0</v>
          </cell>
          <cell r="P788">
            <v>0</v>
          </cell>
          <cell r="Q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row>
        <row r="789">
          <cell r="G789">
            <v>0</v>
          </cell>
          <cell r="H789">
            <v>0</v>
          </cell>
          <cell r="I789">
            <v>0</v>
          </cell>
          <cell r="J789">
            <v>0</v>
          </cell>
          <cell r="K789">
            <v>0</v>
          </cell>
          <cell r="L789">
            <v>0</v>
          </cell>
          <cell r="M789">
            <v>0</v>
          </cell>
          <cell r="N789">
            <v>0</v>
          </cell>
          <cell r="O789">
            <v>0</v>
          </cell>
          <cell r="P789">
            <v>0</v>
          </cell>
          <cell r="Q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row>
        <row r="790">
          <cell r="G790">
            <v>0</v>
          </cell>
          <cell r="H790">
            <v>0</v>
          </cell>
          <cell r="I790">
            <v>0</v>
          </cell>
          <cell r="J790">
            <v>0</v>
          </cell>
          <cell r="K790">
            <v>0</v>
          </cell>
          <cell r="L790">
            <v>0</v>
          </cell>
          <cell r="M790">
            <v>0</v>
          </cell>
          <cell r="N790">
            <v>0</v>
          </cell>
          <cell r="O790">
            <v>0</v>
          </cell>
          <cell r="P790">
            <v>0</v>
          </cell>
          <cell r="Q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row>
        <row r="791">
          <cell r="G791">
            <v>0</v>
          </cell>
          <cell r="H791">
            <v>0</v>
          </cell>
          <cell r="I791">
            <v>0</v>
          </cell>
          <cell r="J791">
            <v>0</v>
          </cell>
          <cell r="K791">
            <v>0</v>
          </cell>
          <cell r="L791">
            <v>0</v>
          </cell>
          <cell r="M791">
            <v>0</v>
          </cell>
          <cell r="N791">
            <v>0</v>
          </cell>
          <cell r="O791">
            <v>0</v>
          </cell>
          <cell r="P791">
            <v>0</v>
          </cell>
          <cell r="Q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row>
        <row r="792">
          <cell r="G792">
            <v>0</v>
          </cell>
          <cell r="H792">
            <v>0</v>
          </cell>
          <cell r="I792">
            <v>0</v>
          </cell>
          <cell r="J792">
            <v>0</v>
          </cell>
          <cell r="K792">
            <v>0</v>
          </cell>
          <cell r="L792">
            <v>0</v>
          </cell>
          <cell r="M792">
            <v>0</v>
          </cell>
          <cell r="N792">
            <v>0</v>
          </cell>
          <cell r="O792">
            <v>0</v>
          </cell>
          <cell r="P792">
            <v>0</v>
          </cell>
          <cell r="Q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row>
        <row r="793">
          <cell r="G793">
            <v>0</v>
          </cell>
          <cell r="H793">
            <v>0</v>
          </cell>
          <cell r="I793">
            <v>0</v>
          </cell>
          <cell r="J793">
            <v>0</v>
          </cell>
          <cell r="K793">
            <v>0</v>
          </cell>
          <cell r="L793">
            <v>0</v>
          </cell>
          <cell r="M793">
            <v>0</v>
          </cell>
          <cell r="N793">
            <v>0</v>
          </cell>
          <cell r="O793">
            <v>0</v>
          </cell>
          <cell r="P793">
            <v>0</v>
          </cell>
          <cell r="Q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row>
        <row r="794">
          <cell r="G794">
            <v>0</v>
          </cell>
          <cell r="H794">
            <v>0</v>
          </cell>
          <cell r="I794">
            <v>0</v>
          </cell>
          <cell r="J794">
            <v>0</v>
          </cell>
          <cell r="K794">
            <v>0</v>
          </cell>
          <cell r="L794">
            <v>0</v>
          </cell>
          <cell r="M794">
            <v>0</v>
          </cell>
          <cell r="N794">
            <v>0</v>
          </cell>
          <cell r="O794">
            <v>0</v>
          </cell>
          <cell r="P794">
            <v>0</v>
          </cell>
          <cell r="Q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row>
        <row r="795">
          <cell r="G795">
            <v>0</v>
          </cell>
          <cell r="H795">
            <v>0</v>
          </cell>
          <cell r="I795">
            <v>0</v>
          </cell>
          <cell r="J795">
            <v>0</v>
          </cell>
          <cell r="K795">
            <v>0</v>
          </cell>
          <cell r="L795">
            <v>0</v>
          </cell>
          <cell r="M795">
            <v>0</v>
          </cell>
          <cell r="N795">
            <v>0</v>
          </cell>
          <cell r="O795">
            <v>0</v>
          </cell>
          <cell r="P795">
            <v>0</v>
          </cell>
          <cell r="Q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row>
        <row r="796">
          <cell r="G796">
            <v>0</v>
          </cell>
          <cell r="H796">
            <v>0</v>
          </cell>
          <cell r="I796">
            <v>0</v>
          </cell>
          <cell r="J796">
            <v>0</v>
          </cell>
          <cell r="K796">
            <v>0</v>
          </cell>
          <cell r="L796">
            <v>0</v>
          </cell>
          <cell r="M796">
            <v>0</v>
          </cell>
          <cell r="N796">
            <v>0</v>
          </cell>
          <cell r="O796">
            <v>0</v>
          </cell>
          <cell r="P796">
            <v>0</v>
          </cell>
          <cell r="Q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row>
        <row r="797">
          <cell r="G797">
            <v>0</v>
          </cell>
          <cell r="H797">
            <v>0</v>
          </cell>
          <cell r="I797">
            <v>0</v>
          </cell>
          <cell r="J797">
            <v>0</v>
          </cell>
          <cell r="K797">
            <v>0</v>
          </cell>
          <cell r="L797">
            <v>0</v>
          </cell>
          <cell r="M797">
            <v>0</v>
          </cell>
          <cell r="N797">
            <v>0</v>
          </cell>
          <cell r="O797">
            <v>0</v>
          </cell>
          <cell r="P797">
            <v>0</v>
          </cell>
          <cell r="Q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row>
        <row r="798">
          <cell r="G798">
            <v>0</v>
          </cell>
          <cell r="H798">
            <v>0</v>
          </cell>
          <cell r="I798">
            <v>0</v>
          </cell>
          <cell r="J798">
            <v>0</v>
          </cell>
          <cell r="K798">
            <v>0</v>
          </cell>
          <cell r="L798">
            <v>0</v>
          </cell>
          <cell r="M798">
            <v>0</v>
          </cell>
          <cell r="N798">
            <v>0</v>
          </cell>
          <cell r="O798">
            <v>0</v>
          </cell>
          <cell r="P798">
            <v>0</v>
          </cell>
          <cell r="Q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row>
        <row r="799">
          <cell r="G799">
            <v>0</v>
          </cell>
          <cell r="H799">
            <v>0</v>
          </cell>
          <cell r="I799">
            <v>0</v>
          </cell>
          <cell r="J799">
            <v>0</v>
          </cell>
          <cell r="K799">
            <v>0</v>
          </cell>
          <cell r="L799">
            <v>0</v>
          </cell>
          <cell r="M799">
            <v>0</v>
          </cell>
          <cell r="N799">
            <v>0</v>
          </cell>
          <cell r="O799">
            <v>0</v>
          </cell>
          <cell r="P799">
            <v>0</v>
          </cell>
          <cell r="Q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row>
        <row r="800">
          <cell r="G800">
            <v>0</v>
          </cell>
          <cell r="H800">
            <v>0</v>
          </cell>
          <cell r="I800">
            <v>0</v>
          </cell>
          <cell r="J800">
            <v>0</v>
          </cell>
          <cell r="K800">
            <v>0</v>
          </cell>
          <cell r="L800">
            <v>0</v>
          </cell>
          <cell r="M800">
            <v>0</v>
          </cell>
          <cell r="N800">
            <v>0</v>
          </cell>
          <cell r="O800">
            <v>0</v>
          </cell>
          <cell r="P800">
            <v>0</v>
          </cell>
          <cell r="Q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row>
        <row r="801">
          <cell r="G801">
            <v>0</v>
          </cell>
          <cell r="H801">
            <v>0</v>
          </cell>
          <cell r="I801">
            <v>0</v>
          </cell>
          <cell r="J801">
            <v>0</v>
          </cell>
          <cell r="K801">
            <v>0</v>
          </cell>
          <cell r="L801">
            <v>0</v>
          </cell>
          <cell r="M801">
            <v>0</v>
          </cell>
          <cell r="N801">
            <v>0</v>
          </cell>
          <cell r="O801">
            <v>0</v>
          </cell>
          <cell r="P801">
            <v>0</v>
          </cell>
          <cell r="Q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row>
        <row r="802">
          <cell r="G802">
            <v>0</v>
          </cell>
          <cell r="H802">
            <v>0</v>
          </cell>
          <cell r="I802">
            <v>0</v>
          </cell>
          <cell r="J802">
            <v>0</v>
          </cell>
          <cell r="K802">
            <v>0</v>
          </cell>
          <cell r="L802">
            <v>0</v>
          </cell>
          <cell r="M802">
            <v>0</v>
          </cell>
          <cell r="N802">
            <v>0</v>
          </cell>
          <cell r="O802">
            <v>0</v>
          </cell>
          <cell r="P802">
            <v>0</v>
          </cell>
          <cell r="Q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row>
        <row r="803">
          <cell r="G803">
            <v>0</v>
          </cell>
          <cell r="H803">
            <v>0</v>
          </cell>
          <cell r="I803">
            <v>0</v>
          </cell>
          <cell r="J803">
            <v>0</v>
          </cell>
          <cell r="K803">
            <v>0</v>
          </cell>
          <cell r="L803">
            <v>0</v>
          </cell>
          <cell r="M803">
            <v>0</v>
          </cell>
          <cell r="N803">
            <v>0</v>
          </cell>
          <cell r="O803">
            <v>0</v>
          </cell>
          <cell r="P803">
            <v>0</v>
          </cell>
          <cell r="Q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row>
        <row r="804">
          <cell r="G804">
            <v>0</v>
          </cell>
          <cell r="H804">
            <v>0</v>
          </cell>
          <cell r="I804">
            <v>0</v>
          </cell>
          <cell r="J804">
            <v>0</v>
          </cell>
          <cell r="K804">
            <v>0</v>
          </cell>
          <cell r="L804">
            <v>0</v>
          </cell>
          <cell r="M804">
            <v>0</v>
          </cell>
          <cell r="N804">
            <v>0</v>
          </cell>
          <cell r="O804">
            <v>0</v>
          </cell>
          <cell r="P804">
            <v>0</v>
          </cell>
          <cell r="Q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row>
        <row r="805">
          <cell r="G805">
            <v>0</v>
          </cell>
          <cell r="H805">
            <v>0</v>
          </cell>
          <cell r="I805">
            <v>0</v>
          </cell>
          <cell r="J805">
            <v>0</v>
          </cell>
          <cell r="K805">
            <v>0</v>
          </cell>
          <cell r="L805">
            <v>0</v>
          </cell>
          <cell r="M805">
            <v>0</v>
          </cell>
          <cell r="N805">
            <v>0</v>
          </cell>
          <cell r="O805">
            <v>0</v>
          </cell>
          <cell r="P805">
            <v>0</v>
          </cell>
          <cell r="Q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cell r="AO805">
            <v>0</v>
          </cell>
          <cell r="AP805">
            <v>0</v>
          </cell>
          <cell r="AQ805">
            <v>0</v>
          </cell>
          <cell r="AR805">
            <v>0</v>
          </cell>
          <cell r="AS805">
            <v>0</v>
          </cell>
          <cell r="AT805">
            <v>0</v>
          </cell>
          <cell r="AU805">
            <v>0</v>
          </cell>
          <cell r="AV805">
            <v>0</v>
          </cell>
          <cell r="AW805">
            <v>0</v>
          </cell>
        </row>
        <row r="806">
          <cell r="G806">
            <v>0</v>
          </cell>
          <cell r="H806">
            <v>0</v>
          </cell>
          <cell r="I806">
            <v>0</v>
          </cell>
          <cell r="J806">
            <v>0</v>
          </cell>
          <cell r="K806">
            <v>0</v>
          </cell>
          <cell r="L806">
            <v>0</v>
          </cell>
          <cell r="M806">
            <v>0</v>
          </cell>
          <cell r="N806">
            <v>0</v>
          </cell>
          <cell r="O806">
            <v>0</v>
          </cell>
          <cell r="P806">
            <v>0</v>
          </cell>
          <cell r="Q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row>
        <row r="807">
          <cell r="G807">
            <v>0</v>
          </cell>
          <cell r="H807">
            <v>0</v>
          </cell>
          <cell r="I807">
            <v>0</v>
          </cell>
          <cell r="J807">
            <v>0</v>
          </cell>
          <cell r="K807">
            <v>0</v>
          </cell>
          <cell r="L807">
            <v>0</v>
          </cell>
          <cell r="M807">
            <v>0</v>
          </cell>
          <cell r="N807">
            <v>0</v>
          </cell>
          <cell r="O807">
            <v>0</v>
          </cell>
          <cell r="P807">
            <v>0</v>
          </cell>
          <cell r="Q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0</v>
          </cell>
          <cell r="AS807">
            <v>0</v>
          </cell>
          <cell r="AT807">
            <v>0</v>
          </cell>
          <cell r="AU807">
            <v>0</v>
          </cell>
          <cell r="AV807">
            <v>0</v>
          </cell>
          <cell r="AW807">
            <v>0</v>
          </cell>
        </row>
        <row r="808">
          <cell r="G808">
            <v>0</v>
          </cell>
          <cell r="H808">
            <v>0</v>
          </cell>
          <cell r="I808">
            <v>0</v>
          </cell>
          <cell r="J808">
            <v>0</v>
          </cell>
          <cell r="K808">
            <v>0</v>
          </cell>
          <cell r="L808">
            <v>0</v>
          </cell>
          <cell r="M808">
            <v>0</v>
          </cell>
          <cell r="N808">
            <v>0</v>
          </cell>
          <cell r="O808">
            <v>0</v>
          </cell>
          <cell r="P808">
            <v>0</v>
          </cell>
          <cell r="Q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row>
        <row r="809">
          <cell r="G809">
            <v>0</v>
          </cell>
          <cell r="H809">
            <v>0</v>
          </cell>
          <cell r="I809">
            <v>0</v>
          </cell>
          <cell r="J809">
            <v>0</v>
          </cell>
          <cell r="K809">
            <v>0</v>
          </cell>
          <cell r="L809">
            <v>0</v>
          </cell>
          <cell r="M809">
            <v>0</v>
          </cell>
          <cell r="N809">
            <v>0</v>
          </cell>
          <cell r="O809">
            <v>0</v>
          </cell>
          <cell r="P809">
            <v>0</v>
          </cell>
          <cell r="Q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row>
        <row r="810">
          <cell r="G810">
            <v>0</v>
          </cell>
          <cell r="H810">
            <v>0</v>
          </cell>
          <cell r="I810">
            <v>0</v>
          </cell>
          <cell r="J810">
            <v>0</v>
          </cell>
          <cell r="K810">
            <v>0</v>
          </cell>
          <cell r="L810">
            <v>0</v>
          </cell>
          <cell r="M810">
            <v>0</v>
          </cell>
          <cell r="N810">
            <v>0</v>
          </cell>
          <cell r="O810">
            <v>0</v>
          </cell>
          <cell r="P810">
            <v>0</v>
          </cell>
          <cell r="Q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row>
        <row r="811">
          <cell r="G811">
            <v>0</v>
          </cell>
          <cell r="H811">
            <v>0</v>
          </cell>
          <cell r="I811">
            <v>0</v>
          </cell>
          <cell r="J811">
            <v>0</v>
          </cell>
          <cell r="K811">
            <v>0</v>
          </cell>
          <cell r="L811">
            <v>0</v>
          </cell>
          <cell r="M811">
            <v>0</v>
          </cell>
          <cell r="N811">
            <v>0</v>
          </cell>
          <cell r="O811">
            <v>0</v>
          </cell>
          <cell r="P811">
            <v>0</v>
          </cell>
          <cell r="Q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row>
        <row r="812">
          <cell r="G812">
            <v>0</v>
          </cell>
          <cell r="H812">
            <v>0</v>
          </cell>
          <cell r="I812">
            <v>0</v>
          </cell>
          <cell r="J812">
            <v>0</v>
          </cell>
          <cell r="K812">
            <v>0</v>
          </cell>
          <cell r="L812">
            <v>0</v>
          </cell>
          <cell r="M812">
            <v>0</v>
          </cell>
          <cell r="N812">
            <v>0</v>
          </cell>
          <cell r="O812">
            <v>0</v>
          </cell>
          <cell r="P812">
            <v>0</v>
          </cell>
          <cell r="Q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row>
        <row r="813">
          <cell r="G813">
            <v>0</v>
          </cell>
          <cell r="H813">
            <v>0</v>
          </cell>
          <cell r="I813">
            <v>0</v>
          </cell>
          <cell r="J813">
            <v>0</v>
          </cell>
          <cell r="K813">
            <v>0</v>
          </cell>
          <cell r="L813">
            <v>0</v>
          </cell>
          <cell r="M813">
            <v>0</v>
          </cell>
          <cell r="N813">
            <v>0</v>
          </cell>
          <cell r="O813">
            <v>0</v>
          </cell>
          <cell r="P813">
            <v>0</v>
          </cell>
          <cell r="Q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row>
        <row r="814">
          <cell r="G814">
            <v>0</v>
          </cell>
          <cell r="H814">
            <v>0</v>
          </cell>
          <cell r="I814">
            <v>0</v>
          </cell>
          <cell r="J814">
            <v>0</v>
          </cell>
          <cell r="K814">
            <v>0</v>
          </cell>
          <cell r="L814">
            <v>0</v>
          </cell>
          <cell r="M814">
            <v>0</v>
          </cell>
          <cell r="N814">
            <v>0</v>
          </cell>
          <cell r="O814">
            <v>0</v>
          </cell>
          <cell r="P814">
            <v>0</v>
          </cell>
          <cell r="Q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row>
        <row r="815">
          <cell r="G815">
            <v>0</v>
          </cell>
          <cell r="H815">
            <v>0</v>
          </cell>
          <cell r="I815">
            <v>0</v>
          </cell>
          <cell r="J815">
            <v>0</v>
          </cell>
          <cell r="K815">
            <v>0</v>
          </cell>
          <cell r="L815">
            <v>0</v>
          </cell>
          <cell r="M815">
            <v>0</v>
          </cell>
          <cell r="N815">
            <v>0</v>
          </cell>
          <cell r="O815">
            <v>0</v>
          </cell>
          <cell r="P815">
            <v>0</v>
          </cell>
          <cell r="Q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cell r="AR815">
            <v>0</v>
          </cell>
          <cell r="AS815">
            <v>0</v>
          </cell>
          <cell r="AT815">
            <v>0</v>
          </cell>
          <cell r="AU815">
            <v>0</v>
          </cell>
          <cell r="AV815">
            <v>0</v>
          </cell>
          <cell r="AW815">
            <v>0</v>
          </cell>
        </row>
        <row r="816">
          <cell r="G816">
            <v>0</v>
          </cell>
          <cell r="H816">
            <v>0</v>
          </cell>
          <cell r="I816">
            <v>0</v>
          </cell>
          <cell r="J816">
            <v>0</v>
          </cell>
          <cell r="K816">
            <v>0</v>
          </cell>
          <cell r="L816">
            <v>0</v>
          </cell>
          <cell r="M816">
            <v>0</v>
          </cell>
          <cell r="N816">
            <v>0</v>
          </cell>
          <cell r="O816">
            <v>0</v>
          </cell>
          <cell r="P816">
            <v>0</v>
          </cell>
          <cell r="Q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row>
        <row r="817">
          <cell r="G817">
            <v>0</v>
          </cell>
          <cell r="H817">
            <v>0</v>
          </cell>
          <cell r="I817">
            <v>0</v>
          </cell>
          <cell r="J817">
            <v>0</v>
          </cell>
          <cell r="K817">
            <v>0</v>
          </cell>
          <cell r="L817">
            <v>0</v>
          </cell>
          <cell r="M817">
            <v>0</v>
          </cell>
          <cell r="N817">
            <v>0</v>
          </cell>
          <cell r="O817">
            <v>0</v>
          </cell>
          <cell r="P817">
            <v>0</v>
          </cell>
          <cell r="Q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row>
        <row r="818">
          <cell r="G818">
            <v>0</v>
          </cell>
          <cell r="H818">
            <v>0</v>
          </cell>
          <cell r="I818">
            <v>0</v>
          </cell>
          <cell r="J818">
            <v>0</v>
          </cell>
          <cell r="K818">
            <v>0</v>
          </cell>
          <cell r="L818">
            <v>0</v>
          </cell>
          <cell r="M818">
            <v>0</v>
          </cell>
          <cell r="N818">
            <v>0</v>
          </cell>
          <cell r="O818">
            <v>0</v>
          </cell>
          <cell r="P818">
            <v>0</v>
          </cell>
          <cell r="Q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row>
        <row r="819">
          <cell r="G819">
            <v>0</v>
          </cell>
          <cell r="H819">
            <v>0</v>
          </cell>
          <cell r="I819">
            <v>0</v>
          </cell>
          <cell r="J819">
            <v>0</v>
          </cell>
          <cell r="K819">
            <v>0</v>
          </cell>
          <cell r="L819">
            <v>0</v>
          </cell>
          <cell r="M819">
            <v>0</v>
          </cell>
          <cell r="N819">
            <v>0</v>
          </cell>
          <cell r="O819">
            <v>0</v>
          </cell>
          <cell r="P819">
            <v>0</v>
          </cell>
          <cell r="Q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row>
        <row r="820">
          <cell r="G820">
            <v>0</v>
          </cell>
          <cell r="H820">
            <v>0</v>
          </cell>
          <cell r="I820">
            <v>0</v>
          </cell>
          <cell r="J820">
            <v>0</v>
          </cell>
          <cell r="K820">
            <v>0</v>
          </cell>
          <cell r="L820">
            <v>0</v>
          </cell>
          <cell r="M820">
            <v>0</v>
          </cell>
          <cell r="N820">
            <v>0</v>
          </cell>
          <cell r="O820">
            <v>0</v>
          </cell>
          <cell r="P820">
            <v>0</v>
          </cell>
          <cell r="Q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row>
        <row r="821">
          <cell r="G821">
            <v>0</v>
          </cell>
          <cell r="H821">
            <v>0</v>
          </cell>
          <cell r="I821">
            <v>0</v>
          </cell>
          <cell r="J821">
            <v>0</v>
          </cell>
          <cell r="K821">
            <v>0</v>
          </cell>
          <cell r="L821">
            <v>0</v>
          </cell>
          <cell r="M821">
            <v>0</v>
          </cell>
          <cell r="N821">
            <v>0</v>
          </cell>
          <cell r="O821">
            <v>0</v>
          </cell>
          <cell r="P821">
            <v>0</v>
          </cell>
          <cell r="Q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row>
        <row r="822">
          <cell r="G822">
            <v>0</v>
          </cell>
          <cell r="H822">
            <v>0</v>
          </cell>
          <cell r="I822">
            <v>0</v>
          </cell>
          <cell r="J822">
            <v>0</v>
          </cell>
          <cell r="K822">
            <v>0</v>
          </cell>
          <cell r="L822">
            <v>0</v>
          </cell>
          <cell r="M822">
            <v>0</v>
          </cell>
          <cell r="N822">
            <v>0</v>
          </cell>
          <cell r="O822">
            <v>0</v>
          </cell>
          <cell r="P822">
            <v>0</v>
          </cell>
          <cell r="Q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row>
        <row r="823">
          <cell r="G823">
            <v>0</v>
          </cell>
          <cell r="H823">
            <v>0</v>
          </cell>
          <cell r="I823">
            <v>0</v>
          </cell>
          <cell r="J823">
            <v>0</v>
          </cell>
          <cell r="K823">
            <v>0</v>
          </cell>
          <cell r="L823">
            <v>0</v>
          </cell>
          <cell r="M823">
            <v>0</v>
          </cell>
          <cell r="N823">
            <v>0</v>
          </cell>
          <cell r="O823">
            <v>0</v>
          </cell>
          <cell r="P823">
            <v>0</v>
          </cell>
          <cell r="Q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row>
        <row r="824">
          <cell r="G824">
            <v>0</v>
          </cell>
          <cell r="H824">
            <v>0</v>
          </cell>
          <cell r="I824">
            <v>0</v>
          </cell>
          <cell r="J824">
            <v>0</v>
          </cell>
          <cell r="K824">
            <v>0</v>
          </cell>
          <cell r="L824">
            <v>0</v>
          </cell>
          <cell r="M824">
            <v>0</v>
          </cell>
          <cell r="N824">
            <v>0</v>
          </cell>
          <cell r="O824">
            <v>0</v>
          </cell>
          <cell r="P824">
            <v>0</v>
          </cell>
          <cell r="Q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row>
        <row r="825">
          <cell r="G825">
            <v>0</v>
          </cell>
          <cell r="H825">
            <v>0</v>
          </cell>
          <cell r="I825">
            <v>0</v>
          </cell>
          <cell r="J825">
            <v>0</v>
          </cell>
          <cell r="K825">
            <v>0</v>
          </cell>
          <cell r="L825">
            <v>0</v>
          </cell>
          <cell r="M825">
            <v>0</v>
          </cell>
          <cell r="N825">
            <v>0</v>
          </cell>
          <cell r="O825">
            <v>0</v>
          </cell>
          <cell r="P825">
            <v>0</v>
          </cell>
          <cell r="Q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row>
        <row r="826">
          <cell r="G826">
            <v>0</v>
          </cell>
          <cell r="H826">
            <v>0</v>
          </cell>
          <cell r="I826">
            <v>0</v>
          </cell>
          <cell r="J826">
            <v>0</v>
          </cell>
          <cell r="K826">
            <v>0</v>
          </cell>
          <cell r="L826">
            <v>0</v>
          </cell>
          <cell r="M826">
            <v>0</v>
          </cell>
          <cell r="N826">
            <v>0</v>
          </cell>
          <cell r="O826">
            <v>0</v>
          </cell>
          <cell r="P826">
            <v>0</v>
          </cell>
          <cell r="Q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row>
        <row r="827">
          <cell r="G827">
            <v>0</v>
          </cell>
          <cell r="H827">
            <v>0</v>
          </cell>
          <cell r="I827">
            <v>0</v>
          </cell>
          <cell r="J827">
            <v>0</v>
          </cell>
          <cell r="K827">
            <v>0</v>
          </cell>
          <cell r="L827">
            <v>0</v>
          </cell>
          <cell r="M827">
            <v>0</v>
          </cell>
          <cell r="N827">
            <v>0</v>
          </cell>
          <cell r="O827">
            <v>0</v>
          </cell>
          <cell r="P827">
            <v>0</v>
          </cell>
          <cell r="Q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row>
        <row r="828">
          <cell r="G828">
            <v>0</v>
          </cell>
          <cell r="H828">
            <v>0</v>
          </cell>
          <cell r="I828">
            <v>0</v>
          </cell>
          <cell r="J828">
            <v>0</v>
          </cell>
          <cell r="K828">
            <v>0</v>
          </cell>
          <cell r="L828">
            <v>0</v>
          </cell>
          <cell r="M828">
            <v>0</v>
          </cell>
          <cell r="N828">
            <v>0</v>
          </cell>
          <cell r="O828">
            <v>0</v>
          </cell>
          <cell r="P828">
            <v>0</v>
          </cell>
          <cell r="Q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row>
        <row r="829">
          <cell r="G829">
            <v>0</v>
          </cell>
          <cell r="H829">
            <v>0</v>
          </cell>
          <cell r="I829">
            <v>0</v>
          </cell>
          <cell r="J829">
            <v>0</v>
          </cell>
          <cell r="K829">
            <v>0</v>
          </cell>
          <cell r="L829">
            <v>0</v>
          </cell>
          <cell r="M829">
            <v>0</v>
          </cell>
          <cell r="N829">
            <v>0</v>
          </cell>
          <cell r="O829">
            <v>0</v>
          </cell>
          <cell r="P829">
            <v>0</v>
          </cell>
          <cell r="Q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row>
        <row r="830">
          <cell r="G830">
            <v>0</v>
          </cell>
          <cell r="H830">
            <v>0</v>
          </cell>
          <cell r="I830">
            <v>0</v>
          </cell>
          <cell r="J830">
            <v>0</v>
          </cell>
          <cell r="K830">
            <v>0</v>
          </cell>
          <cell r="L830">
            <v>0</v>
          </cell>
          <cell r="M830">
            <v>0</v>
          </cell>
          <cell r="N830">
            <v>0</v>
          </cell>
          <cell r="O830">
            <v>0</v>
          </cell>
          <cell r="P830">
            <v>0</v>
          </cell>
          <cell r="Q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row>
        <row r="831">
          <cell r="G831">
            <v>0</v>
          </cell>
          <cell r="H831">
            <v>0</v>
          </cell>
          <cell r="I831">
            <v>0</v>
          </cell>
          <cell r="J831">
            <v>0</v>
          </cell>
          <cell r="K831">
            <v>0</v>
          </cell>
          <cell r="L831">
            <v>0</v>
          </cell>
          <cell r="M831">
            <v>0</v>
          </cell>
          <cell r="N831">
            <v>0</v>
          </cell>
          <cell r="O831">
            <v>0</v>
          </cell>
          <cell r="P831">
            <v>0</v>
          </cell>
          <cell r="Q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row>
        <row r="832">
          <cell r="G832">
            <v>0</v>
          </cell>
          <cell r="H832">
            <v>0</v>
          </cell>
          <cell r="I832">
            <v>0</v>
          </cell>
          <cell r="J832">
            <v>0</v>
          </cell>
          <cell r="K832">
            <v>0</v>
          </cell>
          <cell r="L832">
            <v>0</v>
          </cell>
          <cell r="M832">
            <v>0</v>
          </cell>
          <cell r="N832">
            <v>0</v>
          </cell>
          <cell r="O832">
            <v>0</v>
          </cell>
          <cell r="P832">
            <v>0</v>
          </cell>
          <cell r="Q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cell r="AI832">
            <v>0</v>
          </cell>
          <cell r="AJ832">
            <v>0</v>
          </cell>
          <cell r="AK832">
            <v>0</v>
          </cell>
          <cell r="AL832">
            <v>0</v>
          </cell>
          <cell r="AM832">
            <v>0</v>
          </cell>
          <cell r="AN832">
            <v>0</v>
          </cell>
          <cell r="AO832">
            <v>0</v>
          </cell>
          <cell r="AP832">
            <v>0</v>
          </cell>
          <cell r="AQ832">
            <v>0</v>
          </cell>
          <cell r="AR832">
            <v>0</v>
          </cell>
          <cell r="AS832">
            <v>0</v>
          </cell>
          <cell r="AT832">
            <v>0</v>
          </cell>
          <cell r="AU832">
            <v>0</v>
          </cell>
          <cell r="AV832">
            <v>0</v>
          </cell>
          <cell r="AW832">
            <v>0</v>
          </cell>
        </row>
        <row r="833">
          <cell r="G833">
            <v>0</v>
          </cell>
          <cell r="H833">
            <v>0</v>
          </cell>
          <cell r="I833">
            <v>0</v>
          </cell>
          <cell r="J833">
            <v>0</v>
          </cell>
          <cell r="K833">
            <v>0</v>
          </cell>
          <cell r="L833">
            <v>0</v>
          </cell>
          <cell r="M833">
            <v>0</v>
          </cell>
          <cell r="N833">
            <v>0</v>
          </cell>
          <cell r="O833">
            <v>0</v>
          </cell>
          <cell r="P833">
            <v>0</v>
          </cell>
          <cell r="Q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row>
        <row r="834">
          <cell r="G834">
            <v>0</v>
          </cell>
          <cell r="H834">
            <v>0</v>
          </cell>
          <cell r="I834">
            <v>0</v>
          </cell>
          <cell r="J834">
            <v>0</v>
          </cell>
          <cell r="K834">
            <v>0</v>
          </cell>
          <cell r="L834">
            <v>0</v>
          </cell>
          <cell r="M834">
            <v>0</v>
          </cell>
          <cell r="N834">
            <v>0</v>
          </cell>
          <cell r="O834">
            <v>0</v>
          </cell>
          <cell r="P834">
            <v>0</v>
          </cell>
          <cell r="Q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row>
        <row r="835">
          <cell r="G835">
            <v>0</v>
          </cell>
          <cell r="H835">
            <v>0</v>
          </cell>
          <cell r="I835">
            <v>0</v>
          </cell>
          <cell r="J835">
            <v>0</v>
          </cell>
          <cell r="K835">
            <v>0</v>
          </cell>
          <cell r="L835">
            <v>0</v>
          </cell>
          <cell r="M835">
            <v>0</v>
          </cell>
          <cell r="N835">
            <v>0</v>
          </cell>
          <cell r="O835">
            <v>0</v>
          </cell>
          <cell r="P835">
            <v>0</v>
          </cell>
          <cell r="Q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row>
        <row r="836">
          <cell r="G836">
            <v>0</v>
          </cell>
          <cell r="H836">
            <v>0</v>
          </cell>
          <cell r="I836">
            <v>0</v>
          </cell>
          <cell r="J836">
            <v>0</v>
          </cell>
          <cell r="K836">
            <v>0</v>
          </cell>
          <cell r="L836">
            <v>0</v>
          </cell>
          <cell r="M836">
            <v>0</v>
          </cell>
          <cell r="N836">
            <v>0</v>
          </cell>
          <cell r="O836">
            <v>0</v>
          </cell>
          <cell r="P836">
            <v>0</v>
          </cell>
          <cell r="Q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row>
        <row r="837">
          <cell r="G837">
            <v>0</v>
          </cell>
          <cell r="H837">
            <v>0</v>
          </cell>
          <cell r="I837">
            <v>0</v>
          </cell>
          <cell r="J837">
            <v>0</v>
          </cell>
          <cell r="K837">
            <v>0</v>
          </cell>
          <cell r="L837">
            <v>0</v>
          </cell>
          <cell r="M837">
            <v>0</v>
          </cell>
          <cell r="N837">
            <v>0</v>
          </cell>
          <cell r="O837">
            <v>0</v>
          </cell>
          <cell r="P837">
            <v>0</v>
          </cell>
          <cell r="Q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row>
        <row r="838">
          <cell r="G838">
            <v>0</v>
          </cell>
          <cell r="H838">
            <v>0</v>
          </cell>
          <cell r="I838">
            <v>0</v>
          </cell>
          <cell r="J838">
            <v>0</v>
          </cell>
          <cell r="K838">
            <v>0</v>
          </cell>
          <cell r="L838">
            <v>0</v>
          </cell>
          <cell r="M838">
            <v>0</v>
          </cell>
          <cell r="N838">
            <v>0</v>
          </cell>
          <cell r="O838">
            <v>0</v>
          </cell>
          <cell r="P838">
            <v>0</v>
          </cell>
          <cell r="Q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row>
        <row r="839">
          <cell r="G839">
            <v>0</v>
          </cell>
          <cell r="H839">
            <v>0</v>
          </cell>
          <cell r="I839">
            <v>0</v>
          </cell>
          <cell r="J839">
            <v>0</v>
          </cell>
          <cell r="K839">
            <v>0</v>
          </cell>
          <cell r="L839">
            <v>0</v>
          </cell>
          <cell r="M839">
            <v>0</v>
          </cell>
          <cell r="N839">
            <v>0</v>
          </cell>
          <cell r="O839">
            <v>0</v>
          </cell>
          <cell r="P839">
            <v>0</v>
          </cell>
          <cell r="Q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row>
        <row r="840">
          <cell r="G840">
            <v>0</v>
          </cell>
          <cell r="H840">
            <v>0</v>
          </cell>
          <cell r="I840">
            <v>0</v>
          </cell>
          <cell r="J840">
            <v>0</v>
          </cell>
          <cell r="K840">
            <v>0</v>
          </cell>
          <cell r="L840">
            <v>0</v>
          </cell>
          <cell r="M840">
            <v>0</v>
          </cell>
          <cell r="N840">
            <v>0</v>
          </cell>
          <cell r="O840">
            <v>0</v>
          </cell>
          <cell r="P840">
            <v>0</v>
          </cell>
          <cell r="Q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row>
        <row r="841">
          <cell r="G841">
            <v>0</v>
          </cell>
          <cell r="H841">
            <v>0</v>
          </cell>
          <cell r="I841">
            <v>0</v>
          </cell>
          <cell r="J841">
            <v>0</v>
          </cell>
          <cell r="K841">
            <v>0</v>
          </cell>
          <cell r="L841">
            <v>0</v>
          </cell>
          <cell r="M841">
            <v>0</v>
          </cell>
          <cell r="N841">
            <v>0</v>
          </cell>
          <cell r="O841">
            <v>0</v>
          </cell>
          <cell r="P841">
            <v>0</v>
          </cell>
          <cell r="Q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row>
        <row r="842">
          <cell r="G842">
            <v>0</v>
          </cell>
          <cell r="H842">
            <v>0</v>
          </cell>
          <cell r="I842">
            <v>0</v>
          </cell>
          <cell r="J842">
            <v>0</v>
          </cell>
          <cell r="K842">
            <v>0</v>
          </cell>
          <cell r="L842">
            <v>0</v>
          </cell>
          <cell r="M842">
            <v>0</v>
          </cell>
          <cell r="N842">
            <v>0</v>
          </cell>
          <cell r="O842">
            <v>0</v>
          </cell>
          <cell r="P842">
            <v>0</v>
          </cell>
          <cell r="Q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row>
        <row r="843">
          <cell r="G843">
            <v>0</v>
          </cell>
          <cell r="H843">
            <v>0</v>
          </cell>
          <cell r="I843">
            <v>0</v>
          </cell>
          <cell r="J843">
            <v>0</v>
          </cell>
          <cell r="K843">
            <v>0</v>
          </cell>
          <cell r="L843">
            <v>0</v>
          </cell>
          <cell r="M843">
            <v>0</v>
          </cell>
          <cell r="N843">
            <v>0</v>
          </cell>
          <cell r="O843">
            <v>0</v>
          </cell>
          <cell r="P843">
            <v>0</v>
          </cell>
          <cell r="Q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row>
        <row r="844">
          <cell r="G844">
            <v>0</v>
          </cell>
          <cell r="H844">
            <v>0</v>
          </cell>
          <cell r="I844">
            <v>0</v>
          </cell>
          <cell r="J844">
            <v>0</v>
          </cell>
          <cell r="K844">
            <v>0</v>
          </cell>
          <cell r="L844">
            <v>0</v>
          </cell>
          <cell r="M844">
            <v>0</v>
          </cell>
          <cell r="N844">
            <v>0</v>
          </cell>
          <cell r="O844">
            <v>0</v>
          </cell>
          <cell r="P844">
            <v>0</v>
          </cell>
          <cell r="Q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row>
        <row r="845">
          <cell r="G845">
            <v>0</v>
          </cell>
          <cell r="H845">
            <v>0</v>
          </cell>
          <cell r="I845">
            <v>0</v>
          </cell>
          <cell r="J845">
            <v>0</v>
          </cell>
          <cell r="K845">
            <v>0</v>
          </cell>
          <cell r="L845">
            <v>0</v>
          </cell>
          <cell r="M845">
            <v>0</v>
          </cell>
          <cell r="N845">
            <v>0</v>
          </cell>
          <cell r="O845">
            <v>0</v>
          </cell>
          <cell r="P845">
            <v>0</v>
          </cell>
          <cell r="Q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row>
        <row r="846">
          <cell r="G846">
            <v>0</v>
          </cell>
          <cell r="H846">
            <v>0</v>
          </cell>
          <cell r="I846">
            <v>0</v>
          </cell>
          <cell r="J846">
            <v>0</v>
          </cell>
          <cell r="K846">
            <v>0</v>
          </cell>
          <cell r="L846">
            <v>0</v>
          </cell>
          <cell r="M846">
            <v>0</v>
          </cell>
          <cell r="N846">
            <v>0</v>
          </cell>
          <cell r="O846">
            <v>0</v>
          </cell>
          <cell r="P846">
            <v>0</v>
          </cell>
          <cell r="Q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row>
        <row r="847">
          <cell r="G847">
            <v>0</v>
          </cell>
          <cell r="H847">
            <v>0</v>
          </cell>
          <cell r="I847">
            <v>0</v>
          </cell>
          <cell r="J847">
            <v>0</v>
          </cell>
          <cell r="K847">
            <v>0</v>
          </cell>
          <cell r="L847">
            <v>0</v>
          </cell>
          <cell r="M847">
            <v>0</v>
          </cell>
          <cell r="N847">
            <v>0</v>
          </cell>
          <cell r="O847">
            <v>0</v>
          </cell>
          <cell r="P847">
            <v>0</v>
          </cell>
          <cell r="Q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row>
        <row r="848">
          <cell r="G848">
            <v>0</v>
          </cell>
          <cell r="H848">
            <v>0</v>
          </cell>
          <cell r="I848">
            <v>0</v>
          </cell>
          <cell r="J848">
            <v>0</v>
          </cell>
          <cell r="K848">
            <v>0</v>
          </cell>
          <cell r="L848">
            <v>0</v>
          </cell>
          <cell r="M848">
            <v>0</v>
          </cell>
          <cell r="N848">
            <v>0</v>
          </cell>
          <cell r="O848">
            <v>0</v>
          </cell>
          <cell r="P848">
            <v>0</v>
          </cell>
          <cell r="Q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row>
        <row r="849">
          <cell r="G849">
            <v>0</v>
          </cell>
          <cell r="H849">
            <v>0</v>
          </cell>
          <cell r="I849">
            <v>0</v>
          </cell>
          <cell r="J849">
            <v>0</v>
          </cell>
          <cell r="K849">
            <v>0</v>
          </cell>
          <cell r="L849">
            <v>0</v>
          </cell>
          <cell r="M849">
            <v>0</v>
          </cell>
          <cell r="N849">
            <v>0</v>
          </cell>
          <cell r="O849">
            <v>0</v>
          </cell>
          <cell r="P849">
            <v>0</v>
          </cell>
          <cell r="Q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row>
        <row r="850">
          <cell r="G850">
            <v>0</v>
          </cell>
          <cell r="H850">
            <v>0</v>
          </cell>
          <cell r="I850">
            <v>0</v>
          </cell>
          <cell r="J850">
            <v>0</v>
          </cell>
          <cell r="K850">
            <v>0</v>
          </cell>
          <cell r="L850">
            <v>0</v>
          </cell>
          <cell r="M850">
            <v>0</v>
          </cell>
          <cell r="N850">
            <v>0</v>
          </cell>
          <cell r="O850">
            <v>0</v>
          </cell>
          <cell r="P850">
            <v>0</v>
          </cell>
          <cell r="Q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row>
        <row r="851">
          <cell r="G851">
            <v>0</v>
          </cell>
          <cell r="H851">
            <v>0</v>
          </cell>
          <cell r="I851">
            <v>0</v>
          </cell>
          <cell r="J851">
            <v>0</v>
          </cell>
          <cell r="K851">
            <v>0</v>
          </cell>
          <cell r="L851">
            <v>0</v>
          </cell>
          <cell r="M851">
            <v>0</v>
          </cell>
          <cell r="N851">
            <v>0</v>
          </cell>
          <cell r="O851">
            <v>0</v>
          </cell>
          <cell r="P851">
            <v>0</v>
          </cell>
          <cell r="Q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row>
        <row r="852">
          <cell r="G852">
            <v>0</v>
          </cell>
          <cell r="H852">
            <v>0</v>
          </cell>
          <cell r="I852">
            <v>0</v>
          </cell>
          <cell r="J852">
            <v>0</v>
          </cell>
          <cell r="K852">
            <v>0</v>
          </cell>
          <cell r="L852">
            <v>0</v>
          </cell>
          <cell r="M852">
            <v>0</v>
          </cell>
          <cell r="N852">
            <v>0</v>
          </cell>
          <cell r="O852">
            <v>0</v>
          </cell>
          <cell r="P852">
            <v>0</v>
          </cell>
          <cell r="Q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row>
        <row r="853">
          <cell r="G853">
            <v>0</v>
          </cell>
          <cell r="H853">
            <v>0</v>
          </cell>
          <cell r="I853">
            <v>0</v>
          </cell>
          <cell r="J853">
            <v>0</v>
          </cell>
          <cell r="K853">
            <v>0</v>
          </cell>
          <cell r="L853">
            <v>0</v>
          </cell>
          <cell r="M853">
            <v>0</v>
          </cell>
          <cell r="N853">
            <v>0</v>
          </cell>
          <cell r="O853">
            <v>0</v>
          </cell>
          <cell r="P853">
            <v>0</v>
          </cell>
          <cell r="Q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row>
        <row r="854">
          <cell r="G854">
            <v>0</v>
          </cell>
          <cell r="H854">
            <v>0</v>
          </cell>
          <cell r="I854">
            <v>0</v>
          </cell>
          <cell r="J854">
            <v>0</v>
          </cell>
          <cell r="K854">
            <v>0</v>
          </cell>
          <cell r="L854">
            <v>0</v>
          </cell>
          <cell r="M854">
            <v>0</v>
          </cell>
          <cell r="N854">
            <v>0</v>
          </cell>
          <cell r="O854">
            <v>0</v>
          </cell>
          <cell r="P854">
            <v>0</v>
          </cell>
          <cell r="Q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row>
        <row r="855">
          <cell r="G855">
            <v>0</v>
          </cell>
          <cell r="H855">
            <v>0</v>
          </cell>
          <cell r="I855">
            <v>0</v>
          </cell>
          <cell r="J855">
            <v>0</v>
          </cell>
          <cell r="K855">
            <v>0</v>
          </cell>
          <cell r="L855">
            <v>0</v>
          </cell>
          <cell r="M855">
            <v>0</v>
          </cell>
          <cell r="N855">
            <v>0</v>
          </cell>
          <cell r="O855">
            <v>0</v>
          </cell>
          <cell r="P855">
            <v>0</v>
          </cell>
          <cell r="Q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row>
        <row r="856">
          <cell r="G856">
            <v>0</v>
          </cell>
          <cell r="H856">
            <v>0</v>
          </cell>
          <cell r="I856">
            <v>0</v>
          </cell>
          <cell r="J856">
            <v>0</v>
          </cell>
          <cell r="K856">
            <v>0</v>
          </cell>
          <cell r="L856">
            <v>0</v>
          </cell>
          <cell r="M856">
            <v>0</v>
          </cell>
          <cell r="N856">
            <v>0</v>
          </cell>
          <cell r="O856">
            <v>0</v>
          </cell>
          <cell r="P856">
            <v>0</v>
          </cell>
          <cell r="Q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row>
        <row r="857">
          <cell r="G857">
            <v>0</v>
          </cell>
          <cell r="H857">
            <v>0</v>
          </cell>
          <cell r="I857">
            <v>0</v>
          </cell>
          <cell r="J857">
            <v>0</v>
          </cell>
          <cell r="K857">
            <v>0</v>
          </cell>
          <cell r="L857">
            <v>0</v>
          </cell>
          <cell r="M857">
            <v>0</v>
          </cell>
          <cell r="N857">
            <v>0</v>
          </cell>
          <cell r="O857">
            <v>0</v>
          </cell>
          <cell r="P857">
            <v>0</v>
          </cell>
          <cell r="Q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row>
        <row r="858">
          <cell r="G858">
            <v>0</v>
          </cell>
          <cell r="H858">
            <v>0</v>
          </cell>
          <cell r="I858">
            <v>0</v>
          </cell>
          <cell r="J858">
            <v>0</v>
          </cell>
          <cell r="K858">
            <v>0</v>
          </cell>
          <cell r="L858">
            <v>0</v>
          </cell>
          <cell r="M858">
            <v>0</v>
          </cell>
          <cell r="N858">
            <v>0</v>
          </cell>
          <cell r="O858">
            <v>0</v>
          </cell>
          <cell r="P858">
            <v>0</v>
          </cell>
          <cell r="Q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row>
        <row r="859">
          <cell r="G859">
            <v>0</v>
          </cell>
          <cell r="H859">
            <v>0</v>
          </cell>
          <cell r="I859">
            <v>0</v>
          </cell>
          <cell r="J859">
            <v>0</v>
          </cell>
          <cell r="K859">
            <v>0</v>
          </cell>
          <cell r="L859">
            <v>0</v>
          </cell>
          <cell r="M859">
            <v>0</v>
          </cell>
          <cell r="N859">
            <v>0</v>
          </cell>
          <cell r="O859">
            <v>0</v>
          </cell>
          <cell r="P859">
            <v>0</v>
          </cell>
          <cell r="Q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row>
        <row r="860">
          <cell r="G860">
            <v>0</v>
          </cell>
          <cell r="H860">
            <v>0</v>
          </cell>
          <cell r="I860">
            <v>0</v>
          </cell>
          <cell r="J860">
            <v>0</v>
          </cell>
          <cell r="K860">
            <v>0</v>
          </cell>
          <cell r="L860">
            <v>0</v>
          </cell>
          <cell r="M860">
            <v>0</v>
          </cell>
          <cell r="N860">
            <v>0</v>
          </cell>
          <cell r="O860">
            <v>0</v>
          </cell>
          <cell r="P860">
            <v>0</v>
          </cell>
          <cell r="Q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row>
        <row r="861">
          <cell r="G861">
            <v>0</v>
          </cell>
          <cell r="H861">
            <v>0</v>
          </cell>
          <cell r="I861">
            <v>0</v>
          </cell>
          <cell r="J861">
            <v>0</v>
          </cell>
          <cell r="K861">
            <v>0</v>
          </cell>
          <cell r="L861">
            <v>0</v>
          </cell>
          <cell r="M861">
            <v>0</v>
          </cell>
          <cell r="N861">
            <v>0</v>
          </cell>
          <cell r="O861">
            <v>0</v>
          </cell>
          <cell r="P861">
            <v>0</v>
          </cell>
          <cell r="Q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row>
        <row r="862">
          <cell r="G862">
            <v>0</v>
          </cell>
          <cell r="H862">
            <v>0</v>
          </cell>
          <cell r="I862">
            <v>0</v>
          </cell>
          <cell r="J862">
            <v>0</v>
          </cell>
          <cell r="K862">
            <v>0</v>
          </cell>
          <cell r="L862">
            <v>0</v>
          </cell>
          <cell r="M862">
            <v>0</v>
          </cell>
          <cell r="N862">
            <v>0</v>
          </cell>
          <cell r="O862">
            <v>0</v>
          </cell>
          <cell r="P862">
            <v>0</v>
          </cell>
          <cell r="Q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row>
        <row r="863">
          <cell r="G863">
            <v>0</v>
          </cell>
          <cell r="H863">
            <v>0</v>
          </cell>
          <cell r="I863">
            <v>0</v>
          </cell>
          <cell r="J863">
            <v>0</v>
          </cell>
          <cell r="K863">
            <v>0</v>
          </cell>
          <cell r="L863">
            <v>0</v>
          </cell>
          <cell r="M863">
            <v>0</v>
          </cell>
          <cell r="N863">
            <v>0</v>
          </cell>
          <cell r="O863">
            <v>0</v>
          </cell>
          <cell r="P863">
            <v>0</v>
          </cell>
          <cell r="Q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row>
        <row r="864">
          <cell r="G864">
            <v>0</v>
          </cell>
          <cell r="H864">
            <v>0</v>
          </cell>
          <cell r="I864">
            <v>0</v>
          </cell>
          <cell r="J864">
            <v>0</v>
          </cell>
          <cell r="K864">
            <v>0</v>
          </cell>
          <cell r="L864">
            <v>0</v>
          </cell>
          <cell r="M864">
            <v>0</v>
          </cell>
          <cell r="N864">
            <v>0</v>
          </cell>
          <cell r="O864">
            <v>0</v>
          </cell>
          <cell r="P864">
            <v>0</v>
          </cell>
          <cell r="Q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row>
        <row r="865">
          <cell r="G865">
            <v>0</v>
          </cell>
          <cell r="H865">
            <v>0</v>
          </cell>
          <cell r="I865">
            <v>0</v>
          </cell>
          <cell r="J865">
            <v>0</v>
          </cell>
          <cell r="K865">
            <v>0</v>
          </cell>
          <cell r="L865">
            <v>0</v>
          </cell>
          <cell r="M865">
            <v>0</v>
          </cell>
          <cell r="N865">
            <v>0</v>
          </cell>
          <cell r="O865">
            <v>0</v>
          </cell>
          <cell r="P865">
            <v>0</v>
          </cell>
          <cell r="Q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row>
        <row r="866">
          <cell r="G866">
            <v>0</v>
          </cell>
          <cell r="H866">
            <v>0</v>
          </cell>
          <cell r="I866">
            <v>0</v>
          </cell>
          <cell r="J866">
            <v>0</v>
          </cell>
          <cell r="K866">
            <v>0</v>
          </cell>
          <cell r="L866">
            <v>0</v>
          </cell>
          <cell r="M866">
            <v>0</v>
          </cell>
          <cell r="N866">
            <v>0</v>
          </cell>
          <cell r="O866">
            <v>0</v>
          </cell>
          <cell r="P866">
            <v>0</v>
          </cell>
          <cell r="Q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row>
        <row r="867">
          <cell r="G867">
            <v>0</v>
          </cell>
          <cell r="H867">
            <v>0</v>
          </cell>
          <cell r="I867">
            <v>0</v>
          </cell>
          <cell r="J867">
            <v>0</v>
          </cell>
          <cell r="K867">
            <v>0</v>
          </cell>
          <cell r="L867">
            <v>0</v>
          </cell>
          <cell r="M867">
            <v>0</v>
          </cell>
          <cell r="N867">
            <v>0</v>
          </cell>
          <cell r="O867">
            <v>0</v>
          </cell>
          <cell r="P867">
            <v>0</v>
          </cell>
          <cell r="Q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row>
        <row r="868">
          <cell r="G868">
            <v>0</v>
          </cell>
          <cell r="H868">
            <v>0</v>
          </cell>
          <cell r="I868">
            <v>0</v>
          </cell>
          <cell r="J868">
            <v>0</v>
          </cell>
          <cell r="K868">
            <v>0</v>
          </cell>
          <cell r="L868">
            <v>0</v>
          </cell>
          <cell r="M868">
            <v>0</v>
          </cell>
          <cell r="N868">
            <v>0</v>
          </cell>
          <cell r="O868">
            <v>0</v>
          </cell>
          <cell r="P868">
            <v>0</v>
          </cell>
          <cell r="Q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row>
        <row r="869">
          <cell r="G869">
            <v>0</v>
          </cell>
          <cell r="H869">
            <v>0</v>
          </cell>
          <cell r="I869">
            <v>0</v>
          </cell>
          <cell r="J869">
            <v>0</v>
          </cell>
          <cell r="K869">
            <v>0</v>
          </cell>
          <cell r="L869">
            <v>0</v>
          </cell>
          <cell r="M869">
            <v>0</v>
          </cell>
          <cell r="N869">
            <v>0</v>
          </cell>
          <cell r="O869">
            <v>0</v>
          </cell>
          <cell r="P869">
            <v>0</v>
          </cell>
          <cell r="Q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row>
        <row r="870">
          <cell r="G870">
            <v>0</v>
          </cell>
          <cell r="H870">
            <v>0</v>
          </cell>
          <cell r="I870">
            <v>0</v>
          </cell>
          <cell r="J870">
            <v>0</v>
          </cell>
          <cell r="K870">
            <v>0</v>
          </cell>
          <cell r="L870">
            <v>0</v>
          </cell>
          <cell r="M870">
            <v>0</v>
          </cell>
          <cell r="N870">
            <v>0</v>
          </cell>
          <cell r="O870">
            <v>0</v>
          </cell>
          <cell r="P870">
            <v>0</v>
          </cell>
          <cell r="Q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row>
        <row r="871">
          <cell r="G871">
            <v>0</v>
          </cell>
          <cell r="H871">
            <v>0</v>
          </cell>
          <cell r="I871">
            <v>0</v>
          </cell>
          <cell r="J871">
            <v>0</v>
          </cell>
          <cell r="K871">
            <v>0</v>
          </cell>
          <cell r="L871">
            <v>0</v>
          </cell>
          <cell r="M871">
            <v>0</v>
          </cell>
          <cell r="N871">
            <v>0</v>
          </cell>
          <cell r="O871">
            <v>0</v>
          </cell>
          <cell r="P871">
            <v>0</v>
          </cell>
          <cell r="Q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cell r="AR871">
            <v>0</v>
          </cell>
          <cell r="AS871">
            <v>0</v>
          </cell>
          <cell r="AT871">
            <v>0</v>
          </cell>
          <cell r="AU871">
            <v>0</v>
          </cell>
          <cell r="AV871">
            <v>0</v>
          </cell>
          <cell r="AW871">
            <v>0</v>
          </cell>
        </row>
        <row r="872">
          <cell r="G872">
            <v>0</v>
          </cell>
          <cell r="H872">
            <v>0</v>
          </cell>
          <cell r="I872">
            <v>0</v>
          </cell>
          <cell r="J872">
            <v>0</v>
          </cell>
          <cell r="K872">
            <v>0</v>
          </cell>
          <cell r="L872">
            <v>0</v>
          </cell>
          <cell r="M872">
            <v>0</v>
          </cell>
          <cell r="N872">
            <v>0</v>
          </cell>
          <cell r="O872">
            <v>0</v>
          </cell>
          <cell r="P872">
            <v>0</v>
          </cell>
          <cell r="Q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row>
        <row r="873">
          <cell r="G873">
            <v>0</v>
          </cell>
          <cell r="H873">
            <v>0</v>
          </cell>
          <cell r="I873">
            <v>0</v>
          </cell>
          <cell r="J873">
            <v>0</v>
          </cell>
          <cell r="K873">
            <v>0</v>
          </cell>
          <cell r="L873">
            <v>0</v>
          </cell>
          <cell r="M873">
            <v>0</v>
          </cell>
          <cell r="N873">
            <v>0</v>
          </cell>
          <cell r="O873">
            <v>0</v>
          </cell>
          <cell r="P873">
            <v>0</v>
          </cell>
          <cell r="Q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cell r="AO873">
            <v>0</v>
          </cell>
          <cell r="AP873">
            <v>0</v>
          </cell>
          <cell r="AQ873">
            <v>0</v>
          </cell>
          <cell r="AR873">
            <v>0</v>
          </cell>
          <cell r="AS873">
            <v>0</v>
          </cell>
          <cell r="AT873">
            <v>0</v>
          </cell>
          <cell r="AU873">
            <v>0</v>
          </cell>
          <cell r="AV873">
            <v>0</v>
          </cell>
          <cell r="AW873">
            <v>0</v>
          </cell>
        </row>
        <row r="874">
          <cell r="G874">
            <v>0</v>
          </cell>
          <cell r="H874">
            <v>0</v>
          </cell>
          <cell r="I874">
            <v>0</v>
          </cell>
          <cell r="J874">
            <v>0</v>
          </cell>
          <cell r="K874">
            <v>0</v>
          </cell>
          <cell r="L874">
            <v>0</v>
          </cell>
          <cell r="M874">
            <v>0</v>
          </cell>
          <cell r="N874">
            <v>0</v>
          </cell>
          <cell r="O874">
            <v>0</v>
          </cell>
          <cell r="P874">
            <v>0</v>
          </cell>
          <cell r="Q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row>
        <row r="875">
          <cell r="G875">
            <v>0</v>
          </cell>
          <cell r="H875">
            <v>0</v>
          </cell>
          <cell r="I875">
            <v>0</v>
          </cell>
          <cell r="J875">
            <v>0</v>
          </cell>
          <cell r="K875">
            <v>0</v>
          </cell>
          <cell r="L875">
            <v>0</v>
          </cell>
          <cell r="M875">
            <v>0</v>
          </cell>
          <cell r="N875">
            <v>0</v>
          </cell>
          <cell r="O875">
            <v>0</v>
          </cell>
          <cell r="P875">
            <v>0</v>
          </cell>
          <cell r="Q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row>
        <row r="876">
          <cell r="G876">
            <v>0</v>
          </cell>
          <cell r="H876">
            <v>0</v>
          </cell>
          <cell r="I876">
            <v>0</v>
          </cell>
          <cell r="J876">
            <v>0</v>
          </cell>
          <cell r="K876">
            <v>0</v>
          </cell>
          <cell r="L876">
            <v>0</v>
          </cell>
          <cell r="M876">
            <v>0</v>
          </cell>
          <cell r="N876">
            <v>0</v>
          </cell>
          <cell r="O876">
            <v>0</v>
          </cell>
          <cell r="P876">
            <v>0</v>
          </cell>
          <cell r="Q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row>
        <row r="877">
          <cell r="G877">
            <v>0</v>
          </cell>
          <cell r="H877">
            <v>0</v>
          </cell>
          <cell r="I877">
            <v>0</v>
          </cell>
          <cell r="J877">
            <v>0</v>
          </cell>
          <cell r="K877">
            <v>0</v>
          </cell>
          <cell r="L877">
            <v>0</v>
          </cell>
          <cell r="M877">
            <v>0</v>
          </cell>
          <cell r="N877">
            <v>0</v>
          </cell>
          <cell r="O877">
            <v>0</v>
          </cell>
          <cell r="P877">
            <v>0</v>
          </cell>
          <cell r="Q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row>
        <row r="878">
          <cell r="G878">
            <v>0</v>
          </cell>
          <cell r="H878">
            <v>0</v>
          </cell>
          <cell r="I878">
            <v>0</v>
          </cell>
          <cell r="J878">
            <v>0</v>
          </cell>
          <cell r="K878">
            <v>0</v>
          </cell>
          <cell r="L878">
            <v>0</v>
          </cell>
          <cell r="M878">
            <v>0</v>
          </cell>
          <cell r="N878">
            <v>0</v>
          </cell>
          <cell r="O878">
            <v>0</v>
          </cell>
          <cell r="P878">
            <v>0</v>
          </cell>
          <cell r="Q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row>
        <row r="879">
          <cell r="G879">
            <v>0</v>
          </cell>
          <cell r="H879">
            <v>0</v>
          </cell>
          <cell r="I879">
            <v>0</v>
          </cell>
          <cell r="J879">
            <v>0</v>
          </cell>
          <cell r="K879">
            <v>0</v>
          </cell>
          <cell r="L879">
            <v>0</v>
          </cell>
          <cell r="M879">
            <v>0</v>
          </cell>
          <cell r="N879">
            <v>0</v>
          </cell>
          <cell r="O879">
            <v>0</v>
          </cell>
          <cell r="P879">
            <v>0</v>
          </cell>
          <cell r="Q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row>
        <row r="880">
          <cell r="G880">
            <v>0</v>
          </cell>
          <cell r="H880">
            <v>0</v>
          </cell>
          <cell r="I880">
            <v>0</v>
          </cell>
          <cell r="J880">
            <v>0</v>
          </cell>
          <cell r="K880">
            <v>0</v>
          </cell>
          <cell r="L880">
            <v>0</v>
          </cell>
          <cell r="M880">
            <v>0</v>
          </cell>
          <cell r="N880">
            <v>0</v>
          </cell>
          <cell r="O880">
            <v>0</v>
          </cell>
          <cell r="P880">
            <v>0</v>
          </cell>
          <cell r="Q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row>
        <row r="881">
          <cell r="G881">
            <v>0</v>
          </cell>
          <cell r="H881">
            <v>0</v>
          </cell>
          <cell r="I881">
            <v>0</v>
          </cell>
          <cell r="J881">
            <v>0</v>
          </cell>
          <cell r="K881">
            <v>0</v>
          </cell>
          <cell r="L881">
            <v>0</v>
          </cell>
          <cell r="M881">
            <v>0</v>
          </cell>
          <cell r="N881">
            <v>0</v>
          </cell>
          <cell r="O881">
            <v>0</v>
          </cell>
          <cell r="P881">
            <v>0</v>
          </cell>
          <cell r="Q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row>
        <row r="882">
          <cell r="G882">
            <v>0</v>
          </cell>
          <cell r="H882">
            <v>0</v>
          </cell>
          <cell r="I882">
            <v>0</v>
          </cell>
          <cell r="J882">
            <v>0</v>
          </cell>
          <cell r="K882">
            <v>0</v>
          </cell>
          <cell r="L882">
            <v>0</v>
          </cell>
          <cell r="M882">
            <v>0</v>
          </cell>
          <cell r="N882">
            <v>0</v>
          </cell>
          <cell r="O882">
            <v>0</v>
          </cell>
          <cell r="P882">
            <v>0</v>
          </cell>
          <cell r="Q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row>
        <row r="883">
          <cell r="G883">
            <v>0</v>
          </cell>
          <cell r="J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cell r="AO883">
            <v>0</v>
          </cell>
          <cell r="AP883">
            <v>0</v>
          </cell>
          <cell r="AQ883">
            <v>0</v>
          </cell>
          <cell r="AR883">
            <v>0</v>
          </cell>
          <cell r="AS883">
            <v>0</v>
          </cell>
          <cell r="AT883">
            <v>0</v>
          </cell>
          <cell r="AU883">
            <v>0</v>
          </cell>
          <cell r="AV883">
            <v>0</v>
          </cell>
          <cell r="AW883">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Data"/>
      <sheetName val="FinancialsWorksheet"/>
      <sheetName val="Data"/>
      <sheetName val="Consol"/>
      <sheetName val="Production"/>
      <sheetName val="Microscopes"/>
      <sheetName val="MPS"/>
      <sheetName val="LabPrinting"/>
      <sheetName val="Definitions"/>
      <sheetName val="Sources"/>
      <sheetName val="DMS"/>
      <sheetName val="UOS Checklist"/>
      <sheetName val="UOS Target Checklist"/>
      <sheetName val="Key Graphic"/>
      <sheetName val="Sheet3"/>
      <sheetName val="Sheet1"/>
      <sheetName val="Parking Dashboard, Mar-19"/>
      <sheetName val="Dashboard Definitions"/>
      <sheetName val="Supply 1"/>
      <sheetName val="Supply 2"/>
      <sheetName val="Supply 3"/>
      <sheetName val="Supply 4"/>
      <sheetName val="Peak Demand 1"/>
      <sheetName val="Financial 1"/>
      <sheetName val="Financial 2"/>
      <sheetName val="Financial 3"/>
      <sheetName val="Financial 4"/>
      <sheetName val="Valet 1"/>
      <sheetName val="Valet 2"/>
      <sheetName val="Valet 3"/>
      <sheetName val="Valet 4"/>
    </sheetNames>
    <sheetDataSet>
      <sheetData sheetId="0">
        <row r="1">
          <cell r="H1">
            <v>0</v>
          </cell>
          <cell r="I1">
            <v>0</v>
          </cell>
          <cell r="J1" t="str">
            <v>FY13-Jul</v>
          </cell>
          <cell r="K1" t="str">
            <v>FY13-Aug</v>
          </cell>
          <cell r="L1" t="str">
            <v>FY13-Sep</v>
          </cell>
          <cell r="M1" t="str">
            <v>FY13-Oct</v>
          </cell>
          <cell r="N1" t="str">
            <v>FY13-Nov</v>
          </cell>
          <cell r="O1" t="str">
            <v>FY13-Dec</v>
          </cell>
          <cell r="P1" t="str">
            <v>FY13-Jan</v>
          </cell>
          <cell r="Q1" t="str">
            <v>FY13-Feb</v>
          </cell>
          <cell r="R1" t="str">
            <v>FY13-Mar</v>
          </cell>
          <cell r="S1" t="str">
            <v>FY13-Apr</v>
          </cell>
          <cell r="T1" t="str">
            <v>FY13-May</v>
          </cell>
          <cell r="U1" t="str">
            <v>FY13-Jun</v>
          </cell>
          <cell r="V1" t="str">
            <v>FY14-Jul</v>
          </cell>
          <cell r="W1" t="str">
            <v>FY14-Aug</v>
          </cell>
          <cell r="X1" t="str">
            <v>FY14-Sep</v>
          </cell>
          <cell r="Y1" t="str">
            <v>FY14-Oct</v>
          </cell>
          <cell r="Z1" t="str">
            <v>FY14-Nov</v>
          </cell>
          <cell r="AA1" t="str">
            <v>FY14-Dec</v>
          </cell>
          <cell r="AB1" t="str">
            <v>FY14-Jan</v>
          </cell>
          <cell r="AC1" t="str">
            <v>FY14-Feb</v>
          </cell>
          <cell r="AD1" t="str">
            <v>FY14-Mar</v>
          </cell>
          <cell r="AE1" t="str">
            <v>FY14-Apr</v>
          </cell>
          <cell r="AF1" t="str">
            <v>FY14-May</v>
          </cell>
          <cell r="AG1" t="str">
            <v>FY14-Jun</v>
          </cell>
          <cell r="AH1" t="str">
            <v>FY15-Jul</v>
          </cell>
          <cell r="AI1" t="str">
            <v>FY15-Aug</v>
          </cell>
          <cell r="AJ1" t="str">
            <v>FY15-Sep</v>
          </cell>
          <cell r="AK1" t="str">
            <v>FY15-Oct</v>
          </cell>
          <cell r="AL1" t="str">
            <v>FY15-Nov</v>
          </cell>
          <cell r="AM1" t="str">
            <v>FY15-Dec</v>
          </cell>
          <cell r="AN1" t="str">
            <v>FY15-Jan</v>
          </cell>
          <cell r="AO1" t="str">
            <v>FY15-Feb</v>
          </cell>
          <cell r="AP1" t="str">
            <v>FY15-Mar</v>
          </cell>
          <cell r="AQ1" t="str">
            <v>FY15-Apr</v>
          </cell>
          <cell r="AR1" t="str">
            <v>FY15-May</v>
          </cell>
          <cell r="AS1" t="str">
            <v>FY15-Jun</v>
          </cell>
          <cell r="AT1" t="str">
            <v>FY16-Jul</v>
          </cell>
          <cell r="AU1" t="str">
            <v>FY16-Aug</v>
          </cell>
          <cell r="AV1" t="str">
            <v>FY16-Sep</v>
          </cell>
          <cell r="AW1" t="str">
            <v>FY16-Oct</v>
          </cell>
          <cell r="AX1" t="str">
            <v>FY16-Nov</v>
          </cell>
          <cell r="AY1" t="str">
            <v>FY16-Dec</v>
          </cell>
          <cell r="AZ1" t="str">
            <v>FY16-Jan</v>
          </cell>
          <cell r="BA1" t="str">
            <v>FY16-Feb</v>
          </cell>
          <cell r="BB1" t="str">
            <v>FY16-Mar</v>
          </cell>
          <cell r="BC1" t="str">
            <v>FY16-Apr</v>
          </cell>
          <cell r="BD1" t="str">
            <v>FY16-May</v>
          </cell>
          <cell r="BE1" t="str">
            <v>FY16-Jun</v>
          </cell>
          <cell r="BF1">
            <v>13</v>
          </cell>
          <cell r="BG1">
            <v>14</v>
          </cell>
          <cell r="BH1">
            <v>15</v>
          </cell>
          <cell r="BI1">
            <v>16</v>
          </cell>
          <cell r="BJ1">
            <v>17</v>
          </cell>
          <cell r="BK1">
            <v>18</v>
          </cell>
          <cell r="BL1">
            <v>19</v>
          </cell>
          <cell r="BM1">
            <v>20</v>
          </cell>
          <cell r="BN1">
            <v>21</v>
          </cell>
          <cell r="BO1">
            <v>22</v>
          </cell>
          <cell r="BP1">
            <v>23</v>
          </cell>
          <cell r="BQ1">
            <v>24</v>
          </cell>
          <cell r="BR1">
            <v>25</v>
          </cell>
          <cell r="BS1">
            <v>26</v>
          </cell>
          <cell r="BT1">
            <v>27</v>
          </cell>
          <cell r="BU1">
            <v>28</v>
          </cell>
          <cell r="BV1">
            <v>29</v>
          </cell>
          <cell r="BW1">
            <v>30</v>
          </cell>
          <cell r="BX1">
            <v>31</v>
          </cell>
          <cell r="BY1">
            <v>32</v>
          </cell>
          <cell r="BZ1">
            <v>33</v>
          </cell>
          <cell r="CA1">
            <v>34</v>
          </cell>
          <cell r="CB1">
            <v>35</v>
          </cell>
          <cell r="CC1">
            <v>36</v>
          </cell>
        </row>
        <row r="2">
          <cell r="H2" t="str">
            <v>LUNo</v>
          </cell>
          <cell r="I2" t="str">
            <v>MetricDetail</v>
          </cell>
          <cell r="J2">
            <v>201301</v>
          </cell>
          <cell r="K2">
            <v>201302</v>
          </cell>
          <cell r="L2">
            <v>201303</v>
          </cell>
          <cell r="M2">
            <v>201304</v>
          </cell>
          <cell r="N2">
            <v>201305</v>
          </cell>
          <cell r="O2">
            <v>201306</v>
          </cell>
          <cell r="P2">
            <v>201307</v>
          </cell>
          <cell r="Q2">
            <v>201308</v>
          </cell>
          <cell r="R2">
            <v>201309</v>
          </cell>
          <cell r="S2">
            <v>201310</v>
          </cell>
          <cell r="T2">
            <v>201311</v>
          </cell>
          <cell r="U2">
            <v>201312</v>
          </cell>
          <cell r="V2">
            <v>201401</v>
          </cell>
          <cell r="W2">
            <v>201402</v>
          </cell>
          <cell r="X2">
            <v>201403</v>
          </cell>
          <cell r="Y2">
            <v>201404</v>
          </cell>
          <cell r="Z2">
            <v>201405</v>
          </cell>
          <cell r="AA2">
            <v>201406</v>
          </cell>
          <cell r="AB2">
            <v>201407</v>
          </cell>
          <cell r="AC2">
            <v>201408</v>
          </cell>
          <cell r="AD2">
            <v>201409</v>
          </cell>
          <cell r="AE2">
            <v>201410</v>
          </cell>
          <cell r="AF2">
            <v>201411</v>
          </cell>
          <cell r="AG2">
            <v>201412</v>
          </cell>
          <cell r="AH2">
            <v>201501</v>
          </cell>
          <cell r="AI2">
            <v>201502</v>
          </cell>
          <cell r="AJ2">
            <v>201503</v>
          </cell>
          <cell r="AK2">
            <v>201504</v>
          </cell>
          <cell r="AL2">
            <v>201505</v>
          </cell>
          <cell r="AM2">
            <v>201506</v>
          </cell>
          <cell r="AN2">
            <v>201507</v>
          </cell>
          <cell r="AO2">
            <v>201508</v>
          </cell>
          <cell r="AP2">
            <v>201509</v>
          </cell>
          <cell r="AQ2">
            <v>201510</v>
          </cell>
          <cell r="AR2">
            <v>201511</v>
          </cell>
          <cell r="AS2">
            <v>201512</v>
          </cell>
          <cell r="AT2">
            <v>201601</v>
          </cell>
          <cell r="AU2">
            <v>201602</v>
          </cell>
          <cell r="AV2">
            <v>201603</v>
          </cell>
          <cell r="AW2">
            <v>201604</v>
          </cell>
          <cell r="AX2">
            <v>201605</v>
          </cell>
          <cell r="AY2">
            <v>201606</v>
          </cell>
          <cell r="AZ2">
            <v>201607</v>
          </cell>
          <cell r="BA2">
            <v>201608</v>
          </cell>
          <cell r="BB2">
            <v>201609</v>
          </cell>
          <cell r="BC2">
            <v>201610</v>
          </cell>
          <cell r="BD2">
            <v>201611</v>
          </cell>
          <cell r="BE2">
            <v>201612</v>
          </cell>
          <cell r="BF2">
            <v>201701</v>
          </cell>
          <cell r="BG2">
            <v>201702</v>
          </cell>
          <cell r="BH2">
            <v>201703</v>
          </cell>
          <cell r="BI2">
            <v>201704</v>
          </cell>
          <cell r="BJ2">
            <v>201705</v>
          </cell>
          <cell r="BK2">
            <v>201706</v>
          </cell>
          <cell r="BL2">
            <v>201707</v>
          </cell>
          <cell r="BM2">
            <v>201708</v>
          </cell>
          <cell r="BN2">
            <v>201709</v>
          </cell>
          <cell r="BO2">
            <v>201710</v>
          </cell>
          <cell r="BP2">
            <v>201711</v>
          </cell>
          <cell r="BQ2">
            <v>201712</v>
          </cell>
          <cell r="BR2">
            <v>201801</v>
          </cell>
          <cell r="BS2">
            <v>201802</v>
          </cell>
          <cell r="BT2">
            <v>201803</v>
          </cell>
          <cell r="BU2">
            <v>201804</v>
          </cell>
          <cell r="BV2">
            <v>201805</v>
          </cell>
          <cell r="BW2">
            <v>201806</v>
          </cell>
          <cell r="BX2">
            <v>201807</v>
          </cell>
          <cell r="BY2">
            <v>201808</v>
          </cell>
          <cell r="BZ2">
            <v>201809</v>
          </cell>
          <cell r="CA2">
            <v>201810</v>
          </cell>
          <cell r="CB2">
            <v>201811</v>
          </cell>
          <cell r="CC2">
            <v>201812</v>
          </cell>
        </row>
        <row r="3">
          <cell r="H3">
            <v>1</v>
          </cell>
          <cell r="I3" t="str">
            <v>Actual</v>
          </cell>
          <cell r="J3">
            <v>912489</v>
          </cell>
          <cell r="K3">
            <v>1449129</v>
          </cell>
          <cell r="L3">
            <v>1536536</v>
          </cell>
          <cell r="M3">
            <v>1141631</v>
          </cell>
          <cell r="N3">
            <v>891200</v>
          </cell>
          <cell r="O3">
            <v>1424459</v>
          </cell>
          <cell r="P3">
            <v>1104371</v>
          </cell>
          <cell r="Q3">
            <v>925705</v>
          </cell>
          <cell r="R3">
            <v>1483582</v>
          </cell>
          <cell r="S3">
            <v>948669</v>
          </cell>
          <cell r="T3">
            <v>1017692</v>
          </cell>
          <cell r="U3">
            <v>1558330</v>
          </cell>
          <cell r="V3">
            <v>835366</v>
          </cell>
          <cell r="W3">
            <v>1263128</v>
          </cell>
          <cell r="X3">
            <v>1486815</v>
          </cell>
          <cell r="Y3">
            <v>1034128</v>
          </cell>
          <cell r="Z3">
            <v>889613</v>
          </cell>
          <cell r="AA3">
            <v>1599092</v>
          </cell>
          <cell r="AB3">
            <v>892835</v>
          </cell>
          <cell r="AC3">
            <v>845210</v>
          </cell>
          <cell r="AD3">
            <v>1552748</v>
          </cell>
          <cell r="AE3">
            <v>818705</v>
          </cell>
          <cell r="AF3">
            <v>897147</v>
          </cell>
          <cell r="AG3">
            <v>1662913</v>
          </cell>
          <cell r="AH3">
            <v>791854.25999999989</v>
          </cell>
          <cell r="AI3">
            <v>987299.91999999993</v>
          </cell>
          <cell r="AJ3">
            <v>1718990.47</v>
          </cell>
          <cell r="AK3">
            <v>980427.23</v>
          </cell>
          <cell r="AL3">
            <v>835457.67000000016</v>
          </cell>
          <cell r="AM3">
            <v>1562954.04</v>
          </cell>
          <cell r="AN3">
            <v>847521.20999999985</v>
          </cell>
          <cell r="AO3">
            <v>860739</v>
          </cell>
          <cell r="AP3">
            <v>1585488</v>
          </cell>
          <cell r="AQ3">
            <v>833453</v>
          </cell>
          <cell r="AR3">
            <v>857419</v>
          </cell>
          <cell r="AS3">
            <v>1712301</v>
          </cell>
          <cell r="AT3">
            <v>705645.33999999985</v>
          </cell>
          <cell r="AU3">
            <v>943684.78999999992</v>
          </cell>
          <cell r="AV3">
            <v>1565708.3599999996</v>
          </cell>
          <cell r="AW3">
            <v>903163.44</v>
          </cell>
          <cell r="AX3">
            <v>780912.15000000014</v>
          </cell>
          <cell r="AY3">
            <v>1607210.94</v>
          </cell>
          <cell r="AZ3">
            <v>880522.82999999984</v>
          </cell>
          <cell r="BA3">
            <v>0</v>
          </cell>
          <cell r="BB3">
            <v>0</v>
          </cell>
          <cell r="BC3">
            <v>0</v>
          </cell>
          <cell r="BD3">
            <v>0</v>
          </cell>
          <cell r="BE3">
            <v>0</v>
          </cell>
          <cell r="BF3">
            <v>808973.92999999993</v>
          </cell>
          <cell r="BG3">
            <v>909109.71</v>
          </cell>
          <cell r="BH3">
            <v>1726267.1799999997</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row>
        <row r="4">
          <cell r="H4">
            <v>2</v>
          </cell>
          <cell r="I4" t="str">
            <v>Target (Budget)</v>
          </cell>
          <cell r="J4">
            <v>1004009</v>
          </cell>
          <cell r="K4">
            <v>1331380</v>
          </cell>
          <cell r="L4">
            <v>1541849</v>
          </cell>
          <cell r="M4">
            <v>1032685</v>
          </cell>
          <cell r="N4">
            <v>958011</v>
          </cell>
          <cell r="O4">
            <v>1305516</v>
          </cell>
          <cell r="P4">
            <v>1331380</v>
          </cell>
          <cell r="Q4">
            <v>883337</v>
          </cell>
          <cell r="R4">
            <v>1230843</v>
          </cell>
          <cell r="S4">
            <v>883337</v>
          </cell>
          <cell r="T4">
            <v>883337</v>
          </cell>
          <cell r="U4">
            <v>1305528</v>
          </cell>
          <cell r="V4">
            <v>848586</v>
          </cell>
          <cell r="W4">
            <v>1259549</v>
          </cell>
          <cell r="X4">
            <v>1469961</v>
          </cell>
          <cell r="Y4">
            <v>985573</v>
          </cell>
          <cell r="Z4">
            <v>917080</v>
          </cell>
          <cell r="AA4">
            <v>1332974</v>
          </cell>
          <cell r="AB4">
            <v>1259549</v>
          </cell>
          <cell r="AC4">
            <v>848586</v>
          </cell>
          <cell r="AD4">
            <v>1264480</v>
          </cell>
          <cell r="AE4">
            <v>848586</v>
          </cell>
          <cell r="AF4">
            <v>848586</v>
          </cell>
          <cell r="AG4">
            <v>1332973</v>
          </cell>
          <cell r="AH4">
            <v>839103</v>
          </cell>
          <cell r="AI4">
            <v>1083011</v>
          </cell>
          <cell r="AJ4">
            <v>1858151</v>
          </cell>
          <cell r="AK4">
            <v>802118</v>
          </cell>
          <cell r="AL4">
            <v>772123</v>
          </cell>
          <cell r="AM4">
            <v>1772530</v>
          </cell>
          <cell r="AN4">
            <v>804053</v>
          </cell>
          <cell r="AO4">
            <v>790222</v>
          </cell>
          <cell r="AP4">
            <v>1795698</v>
          </cell>
          <cell r="AQ4">
            <v>776392</v>
          </cell>
          <cell r="AR4">
            <v>790222</v>
          </cell>
          <cell r="AS4">
            <v>1779525</v>
          </cell>
          <cell r="AT4">
            <v>820933</v>
          </cell>
          <cell r="AU4">
            <v>1215494</v>
          </cell>
          <cell r="AV4">
            <v>1514478</v>
          </cell>
          <cell r="AW4">
            <v>1041450</v>
          </cell>
          <cell r="AX4">
            <v>857619</v>
          </cell>
          <cell r="AY4">
            <v>1438905</v>
          </cell>
          <cell r="AZ4">
            <v>825199</v>
          </cell>
          <cell r="BA4">
            <v>0</v>
          </cell>
          <cell r="BB4">
            <v>0</v>
          </cell>
          <cell r="BC4">
            <v>0</v>
          </cell>
          <cell r="BD4">
            <v>0</v>
          </cell>
          <cell r="BE4">
            <v>0</v>
          </cell>
          <cell r="BF4">
            <v>696501</v>
          </cell>
          <cell r="BG4">
            <v>974012</v>
          </cell>
          <cell r="BH4">
            <v>1727055</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row>
        <row r="5">
          <cell r="H5">
            <v>5</v>
          </cell>
          <cell r="I5" t="str">
            <v>YTD Actual</v>
          </cell>
          <cell r="J5">
            <v>912489</v>
          </cell>
          <cell r="K5">
            <v>2361618</v>
          </cell>
          <cell r="L5">
            <v>3898154</v>
          </cell>
          <cell r="M5">
            <v>5039785</v>
          </cell>
          <cell r="N5">
            <v>5930985</v>
          </cell>
          <cell r="O5">
            <v>7355443</v>
          </cell>
          <cell r="P5">
            <v>8459815</v>
          </cell>
          <cell r="Q5">
            <v>9385520</v>
          </cell>
          <cell r="R5">
            <v>10869102</v>
          </cell>
          <cell r="S5">
            <v>11817770</v>
          </cell>
          <cell r="T5">
            <v>12835463</v>
          </cell>
          <cell r="U5">
            <v>14393793</v>
          </cell>
          <cell r="V5">
            <v>835366</v>
          </cell>
          <cell r="W5">
            <v>2098494</v>
          </cell>
          <cell r="X5">
            <v>3585309</v>
          </cell>
          <cell r="Y5">
            <v>4619437</v>
          </cell>
          <cell r="Z5">
            <v>5509049</v>
          </cell>
          <cell r="AA5">
            <v>7108142</v>
          </cell>
          <cell r="AB5">
            <v>8000977</v>
          </cell>
          <cell r="AC5">
            <v>8846187</v>
          </cell>
          <cell r="AD5">
            <v>10398934</v>
          </cell>
          <cell r="AE5">
            <v>11217639</v>
          </cell>
          <cell r="AF5">
            <v>12114786</v>
          </cell>
          <cell r="AG5">
            <v>13777699</v>
          </cell>
          <cell r="AH5">
            <v>791854.25999999989</v>
          </cell>
          <cell r="AI5">
            <v>1779154.1800000002</v>
          </cell>
          <cell r="AJ5">
            <v>3498144.65</v>
          </cell>
          <cell r="AK5">
            <v>4478571.88</v>
          </cell>
          <cell r="AL5">
            <v>5314029.55</v>
          </cell>
          <cell r="AM5">
            <v>6876983.5899999999</v>
          </cell>
          <cell r="AN5">
            <v>7724504.7999999989</v>
          </cell>
          <cell r="AO5">
            <v>8585244</v>
          </cell>
          <cell r="AP5">
            <v>10170732</v>
          </cell>
          <cell r="AQ5">
            <v>11004185</v>
          </cell>
          <cell r="AR5">
            <v>11861604</v>
          </cell>
          <cell r="AS5">
            <v>13573905</v>
          </cell>
          <cell r="AT5">
            <v>705645.33999999985</v>
          </cell>
          <cell r="AU5">
            <v>1649330.1300000001</v>
          </cell>
          <cell r="AV5">
            <v>3215038.4899999998</v>
          </cell>
          <cell r="AW5">
            <v>4118201.9299999997</v>
          </cell>
          <cell r="AX5">
            <v>4899114.08</v>
          </cell>
          <cell r="AY5">
            <v>6506325.0200000005</v>
          </cell>
          <cell r="AZ5">
            <v>7386847.8500000006</v>
          </cell>
          <cell r="BA5">
            <v>0</v>
          </cell>
          <cell r="BB5">
            <v>0</v>
          </cell>
          <cell r="BC5">
            <v>0</v>
          </cell>
          <cell r="BD5">
            <v>0</v>
          </cell>
          <cell r="BE5">
            <v>0</v>
          </cell>
          <cell r="BF5">
            <v>808973.92999999993</v>
          </cell>
          <cell r="BG5">
            <v>1718083.6400000001</v>
          </cell>
          <cell r="BH5">
            <v>3444350.8200000003</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row>
        <row r="6">
          <cell r="H6">
            <v>6</v>
          </cell>
          <cell r="I6" t="str">
            <v>YTD Target (Budget)</v>
          </cell>
          <cell r="J6">
            <v>1004009</v>
          </cell>
          <cell r="K6">
            <v>2214717</v>
          </cell>
          <cell r="L6">
            <v>3756566</v>
          </cell>
          <cell r="M6">
            <v>4789251</v>
          </cell>
          <cell r="N6">
            <v>5747262</v>
          </cell>
          <cell r="O6">
            <v>7052778</v>
          </cell>
          <cell r="P6">
            <v>8384158</v>
          </cell>
          <cell r="Q6">
            <v>9267495</v>
          </cell>
          <cell r="R6">
            <v>10498338</v>
          </cell>
          <cell r="S6">
            <v>11381675</v>
          </cell>
          <cell r="T6">
            <v>12265012</v>
          </cell>
          <cell r="U6">
            <v>13570540</v>
          </cell>
          <cell r="V6">
            <v>848586</v>
          </cell>
          <cell r="W6">
            <v>2108135</v>
          </cell>
          <cell r="X6">
            <v>3578096</v>
          </cell>
          <cell r="Y6">
            <v>4563669</v>
          </cell>
          <cell r="Z6">
            <v>5480749</v>
          </cell>
          <cell r="AA6">
            <v>6813723</v>
          </cell>
          <cell r="AB6">
            <v>8073272</v>
          </cell>
          <cell r="AC6">
            <v>8921858</v>
          </cell>
          <cell r="AD6">
            <v>10186338</v>
          </cell>
          <cell r="AE6">
            <v>11034924</v>
          </cell>
          <cell r="AF6">
            <v>11883510</v>
          </cell>
          <cell r="AG6">
            <v>13216483</v>
          </cell>
          <cell r="AH6">
            <v>839103</v>
          </cell>
          <cell r="AI6">
            <v>1822676</v>
          </cell>
          <cell r="AJ6">
            <v>3680827</v>
          </cell>
          <cell r="AK6">
            <v>4482945</v>
          </cell>
          <cell r="AL6">
            <v>5255068</v>
          </cell>
          <cell r="AM6">
            <v>7027598</v>
          </cell>
          <cell r="AN6">
            <v>7831651</v>
          </cell>
          <cell r="AO6">
            <v>8621873</v>
          </cell>
          <cell r="AP6">
            <v>10417571</v>
          </cell>
          <cell r="AQ6">
            <v>11193963</v>
          </cell>
          <cell r="AR6">
            <v>11984185</v>
          </cell>
          <cell r="AS6">
            <v>13763710</v>
          </cell>
          <cell r="AT6">
            <v>820933</v>
          </cell>
          <cell r="AU6">
            <v>2036427</v>
          </cell>
          <cell r="AV6">
            <v>3550905</v>
          </cell>
          <cell r="AW6">
            <v>4592355</v>
          </cell>
          <cell r="AX6">
            <v>5449974</v>
          </cell>
          <cell r="AY6">
            <v>6888879</v>
          </cell>
          <cell r="AZ6">
            <v>7714078</v>
          </cell>
          <cell r="BA6">
            <v>0</v>
          </cell>
          <cell r="BB6">
            <v>0</v>
          </cell>
          <cell r="BC6">
            <v>0</v>
          </cell>
          <cell r="BD6">
            <v>0</v>
          </cell>
          <cell r="BE6">
            <v>0</v>
          </cell>
          <cell r="BF6">
            <v>696501</v>
          </cell>
          <cell r="BG6">
            <v>1670513</v>
          </cell>
          <cell r="BH6">
            <v>3397568</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row>
        <row r="7">
          <cell r="H7">
            <v>13</v>
          </cell>
          <cell r="I7" t="str">
            <v>Actual</v>
          </cell>
          <cell r="J7">
            <v>827680</v>
          </cell>
          <cell r="K7">
            <v>1109580</v>
          </cell>
          <cell r="L7">
            <v>1413335</v>
          </cell>
          <cell r="M7">
            <v>867267</v>
          </cell>
          <cell r="N7">
            <v>890899</v>
          </cell>
          <cell r="O7">
            <v>1237024</v>
          </cell>
          <cell r="P7">
            <v>933863</v>
          </cell>
          <cell r="Q7">
            <v>823366</v>
          </cell>
          <cell r="R7">
            <v>1356220</v>
          </cell>
          <cell r="S7">
            <v>823540</v>
          </cell>
          <cell r="T7">
            <v>980307</v>
          </cell>
          <cell r="U7">
            <v>1389174</v>
          </cell>
          <cell r="V7">
            <v>692711</v>
          </cell>
          <cell r="W7">
            <v>934461</v>
          </cell>
          <cell r="X7">
            <v>1312928</v>
          </cell>
          <cell r="Y7">
            <v>889099</v>
          </cell>
          <cell r="Z7">
            <v>859438</v>
          </cell>
          <cell r="AA7">
            <v>1388720</v>
          </cell>
          <cell r="AB7">
            <v>751259</v>
          </cell>
          <cell r="AC7">
            <v>670134</v>
          </cell>
          <cell r="AD7">
            <v>1291466</v>
          </cell>
          <cell r="AE7">
            <v>770783</v>
          </cell>
          <cell r="AF7">
            <v>849005</v>
          </cell>
          <cell r="AG7">
            <v>1391716</v>
          </cell>
          <cell r="AH7">
            <v>697244.78</v>
          </cell>
          <cell r="AI7">
            <v>802186.7</v>
          </cell>
          <cell r="AJ7">
            <v>1379529.66</v>
          </cell>
          <cell r="AK7">
            <v>852786.4600000002</v>
          </cell>
          <cell r="AL7">
            <v>766687.94</v>
          </cell>
          <cell r="AM7">
            <v>1260844.7</v>
          </cell>
          <cell r="AN7">
            <v>730849.25</v>
          </cell>
          <cell r="AO7">
            <v>823778</v>
          </cell>
          <cell r="AP7">
            <v>1286422</v>
          </cell>
          <cell r="AQ7">
            <v>730784</v>
          </cell>
          <cell r="AR7">
            <v>810446</v>
          </cell>
          <cell r="AS7">
            <v>1496037</v>
          </cell>
          <cell r="AT7">
            <v>613081.0199999999</v>
          </cell>
          <cell r="AU7">
            <v>699248.65</v>
          </cell>
          <cell r="AV7">
            <v>1288765.6600000001</v>
          </cell>
          <cell r="AW7">
            <v>818333.31</v>
          </cell>
          <cell r="AX7">
            <v>796206.82000000007</v>
          </cell>
          <cell r="AY7">
            <v>1242051.67</v>
          </cell>
          <cell r="AZ7">
            <v>730288.85000000009</v>
          </cell>
          <cell r="BA7">
            <v>0</v>
          </cell>
          <cell r="BB7">
            <v>0</v>
          </cell>
          <cell r="BC7">
            <v>0</v>
          </cell>
          <cell r="BD7">
            <v>0</v>
          </cell>
          <cell r="BE7">
            <v>0</v>
          </cell>
          <cell r="BF7">
            <v>670928.36</v>
          </cell>
          <cell r="BG7">
            <v>724477.17</v>
          </cell>
          <cell r="BH7">
            <v>1405418.8399999999</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row>
        <row r="8">
          <cell r="H8">
            <v>14</v>
          </cell>
          <cell r="I8" t="str">
            <v>Target (Budget)</v>
          </cell>
          <cell r="J8">
            <v>781766</v>
          </cell>
          <cell r="K8">
            <v>983954</v>
          </cell>
          <cell r="L8">
            <v>1233843</v>
          </cell>
          <cell r="M8">
            <v>857432</v>
          </cell>
          <cell r="N8">
            <v>914735</v>
          </cell>
          <cell r="O8">
            <v>1163970</v>
          </cell>
          <cell r="P8">
            <v>938116</v>
          </cell>
          <cell r="Q8">
            <v>802952</v>
          </cell>
          <cell r="R8">
            <v>1132381</v>
          </cell>
          <cell r="S8">
            <v>775755</v>
          </cell>
          <cell r="T8">
            <v>891013</v>
          </cell>
          <cell r="U8">
            <v>1247416</v>
          </cell>
          <cell r="V8">
            <v>692302</v>
          </cell>
          <cell r="W8">
            <v>925296</v>
          </cell>
          <cell r="X8">
            <v>1255505</v>
          </cell>
          <cell r="Y8">
            <v>824476</v>
          </cell>
          <cell r="Z8">
            <v>852430</v>
          </cell>
          <cell r="AA8">
            <v>1196854</v>
          </cell>
          <cell r="AB8">
            <v>920286</v>
          </cell>
          <cell r="AC8">
            <v>767674</v>
          </cell>
          <cell r="AD8">
            <v>1171321</v>
          </cell>
          <cell r="AE8">
            <v>767041</v>
          </cell>
          <cell r="AF8">
            <v>827530</v>
          </cell>
          <cell r="AG8">
            <v>1252846</v>
          </cell>
          <cell r="AH8">
            <v>667306</v>
          </cell>
          <cell r="AI8">
            <v>831598</v>
          </cell>
          <cell r="AJ8">
            <v>1544327</v>
          </cell>
          <cell r="AK8">
            <v>728821</v>
          </cell>
          <cell r="AL8">
            <v>679722</v>
          </cell>
          <cell r="AM8">
            <v>1518644</v>
          </cell>
          <cell r="AN8">
            <v>713519</v>
          </cell>
          <cell r="AO8">
            <v>704813</v>
          </cell>
          <cell r="AP8">
            <v>1519740</v>
          </cell>
          <cell r="AQ8">
            <v>680806</v>
          </cell>
          <cell r="AR8">
            <v>728833</v>
          </cell>
          <cell r="AS8">
            <v>1567773</v>
          </cell>
          <cell r="AT8">
            <v>674972</v>
          </cell>
          <cell r="AU8">
            <v>935188</v>
          </cell>
          <cell r="AV8">
            <v>1324552</v>
          </cell>
          <cell r="AW8">
            <v>893067</v>
          </cell>
          <cell r="AX8">
            <v>762744</v>
          </cell>
          <cell r="AY8">
            <v>1251085</v>
          </cell>
          <cell r="AZ8">
            <v>735889</v>
          </cell>
          <cell r="BA8">
            <v>0</v>
          </cell>
          <cell r="BB8">
            <v>0</v>
          </cell>
          <cell r="BC8">
            <v>0</v>
          </cell>
          <cell r="BD8">
            <v>0</v>
          </cell>
          <cell r="BE8">
            <v>0</v>
          </cell>
          <cell r="BF8">
            <v>725596</v>
          </cell>
          <cell r="BG8">
            <v>743540</v>
          </cell>
          <cell r="BH8">
            <v>1425417</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row>
        <row r="9">
          <cell r="H9">
            <v>17</v>
          </cell>
          <cell r="I9" t="str">
            <v>YTD Actual</v>
          </cell>
          <cell r="J9">
            <v>827680</v>
          </cell>
          <cell r="K9">
            <v>1937260</v>
          </cell>
          <cell r="L9">
            <v>3350594</v>
          </cell>
          <cell r="M9">
            <v>4217861</v>
          </cell>
          <cell r="N9">
            <v>5108760</v>
          </cell>
          <cell r="O9">
            <v>6345784</v>
          </cell>
          <cell r="P9">
            <v>7279647</v>
          </cell>
          <cell r="Q9">
            <v>8103013</v>
          </cell>
          <cell r="R9">
            <v>9459232</v>
          </cell>
          <cell r="S9">
            <v>10282772</v>
          </cell>
          <cell r="T9">
            <v>11263079</v>
          </cell>
          <cell r="U9">
            <v>12652253</v>
          </cell>
          <cell r="V9">
            <v>692711</v>
          </cell>
          <cell r="W9">
            <v>1627171</v>
          </cell>
          <cell r="X9">
            <v>2940100</v>
          </cell>
          <cell r="Y9">
            <v>3829199</v>
          </cell>
          <cell r="Z9">
            <v>4688637</v>
          </cell>
          <cell r="AA9">
            <v>6077357</v>
          </cell>
          <cell r="AB9">
            <v>6828615</v>
          </cell>
          <cell r="AC9">
            <v>7498750</v>
          </cell>
          <cell r="AD9">
            <v>8790215</v>
          </cell>
          <cell r="AE9">
            <v>9560998</v>
          </cell>
          <cell r="AF9">
            <v>10410003</v>
          </cell>
          <cell r="AG9">
            <v>11801718</v>
          </cell>
          <cell r="AH9">
            <v>697244.78</v>
          </cell>
          <cell r="AI9">
            <v>1499431.48</v>
          </cell>
          <cell r="AJ9">
            <v>2878961.1399999992</v>
          </cell>
          <cell r="AK9">
            <v>3731747.5999999996</v>
          </cell>
          <cell r="AL9">
            <v>4498435.5399999991</v>
          </cell>
          <cell r="AM9">
            <v>5759280.2400000012</v>
          </cell>
          <cell r="AN9">
            <v>6490129.4900000012</v>
          </cell>
          <cell r="AO9">
            <v>7313908</v>
          </cell>
          <cell r="AP9">
            <v>8600330</v>
          </cell>
          <cell r="AQ9">
            <v>9331114</v>
          </cell>
          <cell r="AR9">
            <v>10141560</v>
          </cell>
          <cell r="AS9">
            <v>11637597</v>
          </cell>
          <cell r="AT9">
            <v>613081.0199999999</v>
          </cell>
          <cell r="AU9">
            <v>1312329.6700000002</v>
          </cell>
          <cell r="AV9">
            <v>2601095.33</v>
          </cell>
          <cell r="AW9">
            <v>3419428.6399999997</v>
          </cell>
          <cell r="AX9">
            <v>4215635.46</v>
          </cell>
          <cell r="AY9">
            <v>5457687.1299999999</v>
          </cell>
          <cell r="AZ9">
            <v>6187975.9799999977</v>
          </cell>
          <cell r="BA9">
            <v>0</v>
          </cell>
          <cell r="BB9">
            <v>0</v>
          </cell>
          <cell r="BC9">
            <v>0</v>
          </cell>
          <cell r="BD9">
            <v>0</v>
          </cell>
          <cell r="BE9">
            <v>0</v>
          </cell>
          <cell r="BF9">
            <v>670928.36</v>
          </cell>
          <cell r="BG9">
            <v>1395405.53</v>
          </cell>
          <cell r="BH9">
            <v>2800824.3699999996</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row>
        <row r="10">
          <cell r="H10">
            <v>18</v>
          </cell>
          <cell r="I10" t="str">
            <v>YTD Target (Budget)</v>
          </cell>
          <cell r="J10">
            <v>781766</v>
          </cell>
          <cell r="K10">
            <v>1725596</v>
          </cell>
          <cell r="L10">
            <v>2959439</v>
          </cell>
          <cell r="M10">
            <v>3816871</v>
          </cell>
          <cell r="N10">
            <v>4731606</v>
          </cell>
          <cell r="O10">
            <v>5895576</v>
          </cell>
          <cell r="P10">
            <v>6833692</v>
          </cell>
          <cell r="Q10">
            <v>7636644</v>
          </cell>
          <cell r="R10">
            <v>8769025</v>
          </cell>
          <cell r="S10">
            <v>9544780</v>
          </cell>
          <cell r="T10">
            <v>10435793</v>
          </cell>
          <cell r="U10">
            <v>11683209</v>
          </cell>
          <cell r="V10">
            <v>692302</v>
          </cell>
          <cell r="W10">
            <v>1640165</v>
          </cell>
          <cell r="X10">
            <v>2895670</v>
          </cell>
          <cell r="Y10">
            <v>3720146</v>
          </cell>
          <cell r="Z10">
            <v>4572576</v>
          </cell>
          <cell r="AA10">
            <v>5769430</v>
          </cell>
          <cell r="AB10">
            <v>6689716</v>
          </cell>
          <cell r="AC10">
            <v>7457390</v>
          </cell>
          <cell r="AD10">
            <v>8628711</v>
          </cell>
          <cell r="AE10">
            <v>9395752</v>
          </cell>
          <cell r="AF10">
            <v>10223282</v>
          </cell>
          <cell r="AG10">
            <v>11476128</v>
          </cell>
          <cell r="AH10">
            <v>667306</v>
          </cell>
          <cell r="AI10">
            <v>1415795</v>
          </cell>
          <cell r="AJ10">
            <v>2960122</v>
          </cell>
          <cell r="AK10">
            <v>3688943</v>
          </cell>
          <cell r="AL10">
            <v>4368665</v>
          </cell>
          <cell r="AM10">
            <v>5887309</v>
          </cell>
          <cell r="AN10">
            <v>6600828</v>
          </cell>
          <cell r="AO10">
            <v>7305641</v>
          </cell>
          <cell r="AP10">
            <v>8825381</v>
          </cell>
          <cell r="AQ10">
            <v>9506187</v>
          </cell>
          <cell r="AR10">
            <v>10235020</v>
          </cell>
          <cell r="AS10">
            <v>11802793</v>
          </cell>
          <cell r="AT10">
            <v>674972</v>
          </cell>
          <cell r="AU10">
            <v>1610160</v>
          </cell>
          <cell r="AV10">
            <v>2934712</v>
          </cell>
          <cell r="AW10">
            <v>3827779</v>
          </cell>
          <cell r="AX10">
            <v>4590523</v>
          </cell>
          <cell r="AY10">
            <v>5841608</v>
          </cell>
          <cell r="AZ10">
            <v>6577497</v>
          </cell>
          <cell r="BA10">
            <v>0</v>
          </cell>
          <cell r="BB10">
            <v>0</v>
          </cell>
          <cell r="BC10">
            <v>0</v>
          </cell>
          <cell r="BD10">
            <v>0</v>
          </cell>
          <cell r="BE10">
            <v>0</v>
          </cell>
          <cell r="BF10">
            <v>725596</v>
          </cell>
          <cell r="BG10">
            <v>1414722</v>
          </cell>
          <cell r="BH10">
            <v>2840139</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row>
        <row r="11">
          <cell r="H11">
            <v>37</v>
          </cell>
          <cell r="I11" t="str">
            <v>Overtime$</v>
          </cell>
          <cell r="J11">
            <v>6562</v>
          </cell>
          <cell r="K11">
            <v>17079</v>
          </cell>
          <cell r="L11">
            <v>16916</v>
          </cell>
          <cell r="M11">
            <v>12863</v>
          </cell>
          <cell r="N11">
            <v>9824</v>
          </cell>
          <cell r="O11">
            <v>2165</v>
          </cell>
          <cell r="P11">
            <v>9288</v>
          </cell>
          <cell r="Q11">
            <v>4543</v>
          </cell>
          <cell r="R11">
            <v>1984</v>
          </cell>
          <cell r="S11">
            <v>3714</v>
          </cell>
          <cell r="T11">
            <v>10183</v>
          </cell>
          <cell r="U11">
            <v>1122</v>
          </cell>
          <cell r="V11">
            <v>1367</v>
          </cell>
          <cell r="W11">
            <v>11531</v>
          </cell>
          <cell r="X11">
            <v>20754</v>
          </cell>
          <cell r="Y11">
            <v>15933</v>
          </cell>
          <cell r="Z11">
            <v>13121</v>
          </cell>
          <cell r="AA11">
            <v>3271</v>
          </cell>
          <cell r="AB11">
            <v>8875</v>
          </cell>
          <cell r="AC11">
            <v>1126</v>
          </cell>
          <cell r="AD11">
            <v>2725</v>
          </cell>
          <cell r="AE11">
            <v>8044</v>
          </cell>
          <cell r="AF11">
            <v>12374</v>
          </cell>
          <cell r="AG11">
            <v>1013</v>
          </cell>
          <cell r="AH11">
            <v>1921.33</v>
          </cell>
          <cell r="AI11">
            <v>5658.99</v>
          </cell>
          <cell r="AJ11">
            <v>20366.5</v>
          </cell>
          <cell r="AK11">
            <v>7613.9699999999993</v>
          </cell>
          <cell r="AL11">
            <v>4420.88</v>
          </cell>
          <cell r="AM11">
            <v>7486.09</v>
          </cell>
          <cell r="AN11">
            <v>6600.7699999999995</v>
          </cell>
          <cell r="AO11">
            <v>5505</v>
          </cell>
          <cell r="AP11">
            <v>2336</v>
          </cell>
          <cell r="AQ11">
            <v>3841</v>
          </cell>
          <cell r="AR11">
            <v>17919</v>
          </cell>
          <cell r="AS11">
            <v>3994</v>
          </cell>
          <cell r="AT11">
            <v>2389.7199999999998</v>
          </cell>
          <cell r="AU11">
            <v>6180.35</v>
          </cell>
          <cell r="AV11">
            <v>15652.17</v>
          </cell>
          <cell r="AW11">
            <v>10112.469999999999</v>
          </cell>
          <cell r="AX11">
            <v>1910.9</v>
          </cell>
          <cell r="AY11">
            <v>2146.63</v>
          </cell>
          <cell r="AZ11">
            <v>1830.16</v>
          </cell>
          <cell r="BA11">
            <v>0</v>
          </cell>
          <cell r="BB11">
            <v>0</v>
          </cell>
          <cell r="BC11">
            <v>0</v>
          </cell>
          <cell r="BD11">
            <v>0</v>
          </cell>
          <cell r="BE11">
            <v>0</v>
          </cell>
          <cell r="BF11">
            <v>8320.9</v>
          </cell>
          <cell r="BG11">
            <v>6964.67</v>
          </cell>
          <cell r="BH11">
            <v>25364.21</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row>
        <row r="12">
          <cell r="H12">
            <v>38</v>
          </cell>
          <cell r="I12" t="str">
            <v>Empl_Benefits</v>
          </cell>
          <cell r="J12">
            <v>48748</v>
          </cell>
          <cell r="K12">
            <v>67707</v>
          </cell>
          <cell r="L12">
            <v>70774</v>
          </cell>
          <cell r="M12">
            <v>70880</v>
          </cell>
          <cell r="N12">
            <v>82224</v>
          </cell>
          <cell r="O12">
            <v>63647</v>
          </cell>
          <cell r="P12">
            <v>66030</v>
          </cell>
          <cell r="Q12">
            <v>65080</v>
          </cell>
          <cell r="R12">
            <v>65314</v>
          </cell>
          <cell r="S12">
            <v>66080</v>
          </cell>
          <cell r="T12">
            <v>84911</v>
          </cell>
          <cell r="U12">
            <v>82557</v>
          </cell>
          <cell r="V12">
            <v>48381</v>
          </cell>
          <cell r="W12">
            <v>65395</v>
          </cell>
          <cell r="X12">
            <v>66661</v>
          </cell>
          <cell r="Y12">
            <v>63206</v>
          </cell>
          <cell r="Z12">
            <v>78967</v>
          </cell>
          <cell r="AA12">
            <v>61437</v>
          </cell>
          <cell r="AB12">
            <v>62600</v>
          </cell>
          <cell r="AC12">
            <v>61447</v>
          </cell>
          <cell r="AD12">
            <v>61617</v>
          </cell>
          <cell r="AE12">
            <v>62960</v>
          </cell>
          <cell r="AF12">
            <v>78021</v>
          </cell>
          <cell r="AG12">
            <v>77512</v>
          </cell>
          <cell r="AH12">
            <v>44199.250000000007</v>
          </cell>
          <cell r="AI12">
            <v>62090.7</v>
          </cell>
          <cell r="AJ12">
            <v>67028.09</v>
          </cell>
          <cell r="AK12">
            <v>81554.869999999981</v>
          </cell>
          <cell r="AL12">
            <v>63679.73</v>
          </cell>
          <cell r="AM12">
            <v>63892.39</v>
          </cell>
          <cell r="AN12">
            <v>63240.69000000001</v>
          </cell>
          <cell r="AO12">
            <v>61701</v>
          </cell>
          <cell r="AP12">
            <v>60750</v>
          </cell>
          <cell r="AQ12">
            <v>61166</v>
          </cell>
          <cell r="AR12">
            <v>79457</v>
          </cell>
          <cell r="AS12">
            <v>80218</v>
          </cell>
          <cell r="AT12">
            <v>42090.640000000007</v>
          </cell>
          <cell r="AU12">
            <v>63310.34</v>
          </cell>
          <cell r="AV12">
            <v>66860.73</v>
          </cell>
          <cell r="AW12">
            <v>81273.47</v>
          </cell>
          <cell r="AX12">
            <v>64948.360000000008</v>
          </cell>
          <cell r="AY12">
            <v>62925.460000000006</v>
          </cell>
          <cell r="AZ12">
            <v>62828.430000000008</v>
          </cell>
          <cell r="BA12">
            <v>0</v>
          </cell>
          <cell r="BB12">
            <v>0</v>
          </cell>
          <cell r="BC12">
            <v>0</v>
          </cell>
          <cell r="BD12">
            <v>0</v>
          </cell>
          <cell r="BE12">
            <v>0</v>
          </cell>
          <cell r="BF12">
            <v>43240.520000000004</v>
          </cell>
          <cell r="BG12">
            <v>65288.360000000008</v>
          </cell>
          <cell r="BH12">
            <v>84351.74000000002</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row>
        <row r="13">
          <cell r="H13">
            <v>39</v>
          </cell>
          <cell r="I13" t="str">
            <v>Total Personnel</v>
          </cell>
          <cell r="J13">
            <v>200436</v>
          </cell>
          <cell r="K13">
            <v>282948</v>
          </cell>
          <cell r="L13">
            <v>294424</v>
          </cell>
          <cell r="M13">
            <v>288561</v>
          </cell>
          <cell r="N13">
            <v>330663</v>
          </cell>
          <cell r="O13">
            <v>253373</v>
          </cell>
          <cell r="P13">
            <v>265276</v>
          </cell>
          <cell r="Q13">
            <v>260526</v>
          </cell>
          <cell r="R13">
            <v>260909</v>
          </cell>
          <cell r="S13">
            <v>264040</v>
          </cell>
          <cell r="T13">
            <v>342096</v>
          </cell>
          <cell r="U13">
            <v>322934</v>
          </cell>
          <cell r="V13">
            <v>191875</v>
          </cell>
          <cell r="W13">
            <v>267945</v>
          </cell>
          <cell r="X13">
            <v>275949</v>
          </cell>
          <cell r="Y13">
            <v>256161</v>
          </cell>
          <cell r="Z13">
            <v>322581</v>
          </cell>
          <cell r="AA13">
            <v>251936</v>
          </cell>
          <cell r="AB13">
            <v>248732</v>
          </cell>
          <cell r="AC13">
            <v>242567</v>
          </cell>
          <cell r="AD13">
            <v>243768</v>
          </cell>
          <cell r="AE13">
            <v>252740</v>
          </cell>
          <cell r="AF13">
            <v>312401</v>
          </cell>
          <cell r="AG13">
            <v>299927</v>
          </cell>
          <cell r="AH13">
            <v>175537.68</v>
          </cell>
          <cell r="AI13">
            <v>245343.74</v>
          </cell>
          <cell r="AJ13">
            <v>269920.04000000004</v>
          </cell>
          <cell r="AK13">
            <v>319502.67</v>
          </cell>
          <cell r="AL13">
            <v>248479.82</v>
          </cell>
          <cell r="AM13">
            <v>256827.88999999996</v>
          </cell>
          <cell r="AN13">
            <v>248623.19</v>
          </cell>
          <cell r="AO13">
            <v>242329</v>
          </cell>
          <cell r="AP13">
            <v>237225</v>
          </cell>
          <cell r="AQ13">
            <v>239489</v>
          </cell>
          <cell r="AR13">
            <v>320679</v>
          </cell>
          <cell r="AS13">
            <v>315175</v>
          </cell>
          <cell r="AT13">
            <v>165714.30000000002</v>
          </cell>
          <cell r="AU13">
            <v>250430.21</v>
          </cell>
          <cell r="AV13">
            <v>266551.36000000004</v>
          </cell>
          <cell r="AW13">
            <v>320941.33</v>
          </cell>
          <cell r="AX13">
            <v>252744.87000000002</v>
          </cell>
          <cell r="AY13">
            <v>241377.73000000004</v>
          </cell>
          <cell r="AZ13">
            <v>240139.68</v>
          </cell>
          <cell r="BA13">
            <v>0</v>
          </cell>
          <cell r="BB13">
            <v>0</v>
          </cell>
          <cell r="BC13">
            <v>0</v>
          </cell>
          <cell r="BD13">
            <v>0</v>
          </cell>
          <cell r="BE13">
            <v>0</v>
          </cell>
          <cell r="BF13">
            <v>168714.53</v>
          </cell>
          <cell r="BG13">
            <v>254249.32000000004</v>
          </cell>
          <cell r="BH13">
            <v>348120.65</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row>
        <row r="14">
          <cell r="H14">
            <v>40</v>
          </cell>
          <cell r="I14" t="str">
            <v>Target (Budget) Overtime$</v>
          </cell>
          <cell r="J14">
            <v>1980</v>
          </cell>
          <cell r="K14">
            <v>5280</v>
          </cell>
          <cell r="L14">
            <v>5280</v>
          </cell>
          <cell r="M14">
            <v>5280</v>
          </cell>
          <cell r="N14">
            <v>7260</v>
          </cell>
          <cell r="O14">
            <v>5280</v>
          </cell>
          <cell r="P14">
            <v>4620</v>
          </cell>
          <cell r="Q14">
            <v>5280</v>
          </cell>
          <cell r="R14">
            <v>5280</v>
          </cell>
          <cell r="S14">
            <v>4620</v>
          </cell>
          <cell r="T14">
            <v>7260</v>
          </cell>
          <cell r="U14">
            <v>7260</v>
          </cell>
          <cell r="V14">
            <v>3803</v>
          </cell>
          <cell r="W14">
            <v>9779</v>
          </cell>
          <cell r="X14">
            <v>9236</v>
          </cell>
          <cell r="Y14">
            <v>7606</v>
          </cell>
          <cell r="Z14">
            <v>5433</v>
          </cell>
          <cell r="AA14">
            <v>1630</v>
          </cell>
          <cell r="AB14">
            <v>4346</v>
          </cell>
          <cell r="AC14">
            <v>2716</v>
          </cell>
          <cell r="AD14">
            <v>1087</v>
          </cell>
          <cell r="AE14">
            <v>2173</v>
          </cell>
          <cell r="AF14">
            <v>5433</v>
          </cell>
          <cell r="AG14">
            <v>1087</v>
          </cell>
          <cell r="AH14">
            <v>6580</v>
          </cell>
          <cell r="AI14">
            <v>23500</v>
          </cell>
          <cell r="AJ14">
            <v>6580</v>
          </cell>
          <cell r="AK14">
            <v>6580</v>
          </cell>
          <cell r="AL14">
            <v>5640</v>
          </cell>
          <cell r="AM14">
            <v>5640</v>
          </cell>
          <cell r="AN14">
            <v>6580</v>
          </cell>
          <cell r="AO14">
            <v>6580</v>
          </cell>
          <cell r="AP14">
            <v>6580</v>
          </cell>
          <cell r="AQ14">
            <v>6580</v>
          </cell>
          <cell r="AR14">
            <v>6580</v>
          </cell>
          <cell r="AS14">
            <v>6580</v>
          </cell>
          <cell r="AT14">
            <v>1602</v>
          </cell>
          <cell r="AU14">
            <v>9136</v>
          </cell>
          <cell r="AV14">
            <v>16601</v>
          </cell>
          <cell r="AW14">
            <v>12272</v>
          </cell>
          <cell r="AX14">
            <v>9954</v>
          </cell>
          <cell r="AY14">
            <v>2284</v>
          </cell>
          <cell r="AZ14">
            <v>6817</v>
          </cell>
          <cell r="BA14">
            <v>0</v>
          </cell>
          <cell r="BB14">
            <v>0</v>
          </cell>
          <cell r="BC14">
            <v>0</v>
          </cell>
          <cell r="BD14">
            <v>0</v>
          </cell>
          <cell r="BE14">
            <v>0</v>
          </cell>
          <cell r="BF14">
            <v>1518</v>
          </cell>
          <cell r="BG14">
            <v>2268</v>
          </cell>
          <cell r="BH14">
            <v>18773</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row>
        <row r="15">
          <cell r="H15">
            <v>41</v>
          </cell>
          <cell r="I15" t="str">
            <v>Target (Budget) Empl_Benefits</v>
          </cell>
          <cell r="J15">
            <v>32064</v>
          </cell>
          <cell r="K15">
            <v>67472</v>
          </cell>
          <cell r="L15">
            <v>68815</v>
          </cell>
          <cell r="M15">
            <v>67477</v>
          </cell>
          <cell r="N15">
            <v>88618</v>
          </cell>
          <cell r="O15">
            <v>69621</v>
          </cell>
          <cell r="P15">
            <v>60758</v>
          </cell>
          <cell r="Q15">
            <v>67792</v>
          </cell>
          <cell r="R15">
            <v>69175</v>
          </cell>
          <cell r="S15">
            <v>60753</v>
          </cell>
          <cell r="T15">
            <v>89384</v>
          </cell>
          <cell r="U15">
            <v>90770</v>
          </cell>
          <cell r="V15">
            <v>31552</v>
          </cell>
          <cell r="W15">
            <v>65909</v>
          </cell>
          <cell r="X15">
            <v>67175</v>
          </cell>
          <cell r="Y15">
            <v>65661</v>
          </cell>
          <cell r="Z15">
            <v>79030</v>
          </cell>
          <cell r="AA15">
            <v>65931</v>
          </cell>
          <cell r="AB15">
            <v>65128</v>
          </cell>
          <cell r="AC15">
            <v>64754</v>
          </cell>
          <cell r="AD15">
            <v>65842</v>
          </cell>
          <cell r="AE15">
            <v>64664</v>
          </cell>
          <cell r="AF15">
            <v>79030</v>
          </cell>
          <cell r="AG15">
            <v>79670</v>
          </cell>
          <cell r="AH15">
            <v>44426</v>
          </cell>
          <cell r="AI15">
            <v>66701</v>
          </cell>
          <cell r="AJ15">
            <v>65255</v>
          </cell>
          <cell r="AK15">
            <v>76870</v>
          </cell>
          <cell r="AL15">
            <v>63736</v>
          </cell>
          <cell r="AM15">
            <v>65099</v>
          </cell>
          <cell r="AN15">
            <v>63892</v>
          </cell>
          <cell r="AO15">
            <v>70381</v>
          </cell>
          <cell r="AP15">
            <v>65255</v>
          </cell>
          <cell r="AQ15">
            <v>63892</v>
          </cell>
          <cell r="AR15">
            <v>76870</v>
          </cell>
          <cell r="AS15">
            <v>78229</v>
          </cell>
          <cell r="AT15">
            <v>44037</v>
          </cell>
          <cell r="AU15">
            <v>65529</v>
          </cell>
          <cell r="AV15">
            <v>67005</v>
          </cell>
          <cell r="AW15">
            <v>78372</v>
          </cell>
          <cell r="AX15">
            <v>64799</v>
          </cell>
          <cell r="AY15">
            <v>64665</v>
          </cell>
          <cell r="AZ15">
            <v>63759</v>
          </cell>
          <cell r="BA15">
            <v>0</v>
          </cell>
          <cell r="BB15">
            <v>0</v>
          </cell>
          <cell r="BC15">
            <v>0</v>
          </cell>
          <cell r="BD15">
            <v>0</v>
          </cell>
          <cell r="BE15">
            <v>0</v>
          </cell>
          <cell r="BF15">
            <v>62739</v>
          </cell>
          <cell r="BG15">
            <v>62968</v>
          </cell>
          <cell r="BH15">
            <v>77468</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row>
        <row r="16">
          <cell r="H16">
            <v>42</v>
          </cell>
          <cell r="I16" t="str">
            <v>Target (Budget) Total Personnel</v>
          </cell>
          <cell r="J16">
            <v>126149</v>
          </cell>
          <cell r="K16">
            <v>265673</v>
          </cell>
          <cell r="L16">
            <v>270870</v>
          </cell>
          <cell r="M16">
            <v>266212</v>
          </cell>
          <cell r="N16">
            <v>350486</v>
          </cell>
          <cell r="O16">
            <v>276368</v>
          </cell>
          <cell r="P16">
            <v>241015</v>
          </cell>
          <cell r="Q16">
            <v>267673</v>
          </cell>
          <cell r="R16">
            <v>273120</v>
          </cell>
          <cell r="S16">
            <v>240476</v>
          </cell>
          <cell r="T16">
            <v>355734</v>
          </cell>
          <cell r="U16">
            <v>361194</v>
          </cell>
          <cell r="V16">
            <v>174064</v>
          </cell>
          <cell r="W16">
            <v>257654</v>
          </cell>
          <cell r="X16">
            <v>262251</v>
          </cell>
          <cell r="Y16">
            <v>256437</v>
          </cell>
          <cell r="Z16">
            <v>309292</v>
          </cell>
          <cell r="AA16">
            <v>253401</v>
          </cell>
          <cell r="AB16">
            <v>252644</v>
          </cell>
          <cell r="AC16">
            <v>249436</v>
          </cell>
          <cell r="AD16">
            <v>252769</v>
          </cell>
          <cell r="AE16">
            <v>248803</v>
          </cell>
          <cell r="AF16">
            <v>309292</v>
          </cell>
          <cell r="AG16">
            <v>309453</v>
          </cell>
          <cell r="AH16">
            <v>175533</v>
          </cell>
          <cell r="AI16">
            <v>267283</v>
          </cell>
          <cell r="AJ16">
            <v>253527</v>
          </cell>
          <cell r="AK16">
            <v>295569</v>
          </cell>
          <cell r="AL16">
            <v>246470</v>
          </cell>
          <cell r="AM16">
            <v>252431</v>
          </cell>
          <cell r="AN16">
            <v>247554</v>
          </cell>
          <cell r="AO16">
            <v>271561</v>
          </cell>
          <cell r="AP16">
            <v>253527</v>
          </cell>
          <cell r="AQ16">
            <v>247554</v>
          </cell>
          <cell r="AR16">
            <v>295581</v>
          </cell>
          <cell r="AS16">
            <v>301521</v>
          </cell>
          <cell r="AT16">
            <v>171186</v>
          </cell>
          <cell r="AU16">
            <v>253966</v>
          </cell>
          <cell r="AV16">
            <v>263268</v>
          </cell>
          <cell r="AW16">
            <v>303074</v>
          </cell>
          <cell r="AX16">
            <v>256295</v>
          </cell>
          <cell r="AY16">
            <v>248577</v>
          </cell>
          <cell r="AZ16">
            <v>244854</v>
          </cell>
          <cell r="BA16">
            <v>0</v>
          </cell>
          <cell r="BB16">
            <v>0</v>
          </cell>
          <cell r="BC16">
            <v>0</v>
          </cell>
          <cell r="BD16">
            <v>0</v>
          </cell>
          <cell r="BE16">
            <v>0</v>
          </cell>
          <cell r="BF16">
            <v>247080</v>
          </cell>
          <cell r="BG16">
            <v>251367</v>
          </cell>
          <cell r="BH16">
            <v>360552</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row>
        <row r="17">
          <cell r="H17">
            <v>43</v>
          </cell>
          <cell r="I17" t="str">
            <v>YTD Overtime$</v>
          </cell>
          <cell r="J17">
            <v>6562</v>
          </cell>
          <cell r="K17">
            <v>23641</v>
          </cell>
          <cell r="L17">
            <v>40557</v>
          </cell>
          <cell r="M17">
            <v>53420</v>
          </cell>
          <cell r="N17">
            <v>63244</v>
          </cell>
          <cell r="O17">
            <v>65409</v>
          </cell>
          <cell r="P17">
            <v>74697</v>
          </cell>
          <cell r="Q17">
            <v>79241</v>
          </cell>
          <cell r="R17">
            <v>81225</v>
          </cell>
          <cell r="S17">
            <v>84939</v>
          </cell>
          <cell r="T17">
            <v>95123</v>
          </cell>
          <cell r="U17">
            <v>96245</v>
          </cell>
          <cell r="V17">
            <v>1367</v>
          </cell>
          <cell r="W17">
            <v>12897</v>
          </cell>
          <cell r="X17">
            <v>33652</v>
          </cell>
          <cell r="Y17">
            <v>49585</v>
          </cell>
          <cell r="Z17">
            <v>62706</v>
          </cell>
          <cell r="AA17">
            <v>65977</v>
          </cell>
          <cell r="AB17">
            <v>74851</v>
          </cell>
          <cell r="AC17">
            <v>75978</v>
          </cell>
          <cell r="AD17">
            <v>78702</v>
          </cell>
          <cell r="AE17">
            <v>86746</v>
          </cell>
          <cell r="AF17">
            <v>99121</v>
          </cell>
          <cell r="AG17">
            <v>100134</v>
          </cell>
          <cell r="AH17">
            <v>1921.33</v>
          </cell>
          <cell r="AI17">
            <v>7580.32</v>
          </cell>
          <cell r="AJ17">
            <v>27946.82</v>
          </cell>
          <cell r="AK17">
            <v>35560.79</v>
          </cell>
          <cell r="AL17">
            <v>39981.670000000006</v>
          </cell>
          <cell r="AM17">
            <v>47467.76</v>
          </cell>
          <cell r="AN17">
            <v>54068.53</v>
          </cell>
          <cell r="AO17">
            <v>59573</v>
          </cell>
          <cell r="AP17">
            <v>61909</v>
          </cell>
          <cell r="AQ17">
            <v>65751</v>
          </cell>
          <cell r="AR17">
            <v>83669</v>
          </cell>
          <cell r="AS17">
            <v>87663</v>
          </cell>
          <cell r="AT17">
            <v>2389.7199999999998</v>
          </cell>
          <cell r="AU17">
            <v>8570.07</v>
          </cell>
          <cell r="AV17">
            <v>24222.239999999998</v>
          </cell>
          <cell r="AW17">
            <v>34334.71</v>
          </cell>
          <cell r="AX17">
            <v>36245.61</v>
          </cell>
          <cell r="AY17">
            <v>38392.240000000005</v>
          </cell>
          <cell r="AZ17">
            <v>40222.400000000001</v>
          </cell>
          <cell r="BA17">
            <v>0</v>
          </cell>
          <cell r="BB17">
            <v>0</v>
          </cell>
          <cell r="BC17">
            <v>0</v>
          </cell>
          <cell r="BD17">
            <v>0</v>
          </cell>
          <cell r="BE17">
            <v>0</v>
          </cell>
          <cell r="BF17">
            <v>8320.9</v>
          </cell>
          <cell r="BG17">
            <v>15285.57</v>
          </cell>
          <cell r="BH17">
            <v>40649.78</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row>
        <row r="18">
          <cell r="H18">
            <v>44</v>
          </cell>
          <cell r="I18" t="str">
            <v>YTD Empl_Benefits</v>
          </cell>
          <cell r="J18">
            <v>48748</v>
          </cell>
          <cell r="K18">
            <v>116453</v>
          </cell>
          <cell r="L18">
            <v>187227</v>
          </cell>
          <cell r="M18">
            <v>258107</v>
          </cell>
          <cell r="N18">
            <v>340331</v>
          </cell>
          <cell r="O18">
            <v>403978</v>
          </cell>
          <cell r="P18">
            <v>470008</v>
          </cell>
          <cell r="Q18">
            <v>535088</v>
          </cell>
          <cell r="R18">
            <v>600402</v>
          </cell>
          <cell r="S18">
            <v>666482</v>
          </cell>
          <cell r="T18">
            <v>751392</v>
          </cell>
          <cell r="U18">
            <v>833949</v>
          </cell>
          <cell r="V18">
            <v>48381</v>
          </cell>
          <cell r="W18">
            <v>113775</v>
          </cell>
          <cell r="X18">
            <v>180436</v>
          </cell>
          <cell r="Y18">
            <v>243642</v>
          </cell>
          <cell r="Z18">
            <v>322609</v>
          </cell>
          <cell r="AA18">
            <v>384046</v>
          </cell>
          <cell r="AB18">
            <v>446646</v>
          </cell>
          <cell r="AC18">
            <v>508093</v>
          </cell>
          <cell r="AD18">
            <v>569710</v>
          </cell>
          <cell r="AE18">
            <v>632670</v>
          </cell>
          <cell r="AF18">
            <v>710691</v>
          </cell>
          <cell r="AG18">
            <v>788204</v>
          </cell>
          <cell r="AH18">
            <v>44199.250000000007</v>
          </cell>
          <cell r="AI18">
            <v>106289.95000000003</v>
          </cell>
          <cell r="AJ18">
            <v>173318.04</v>
          </cell>
          <cell r="AK18">
            <v>254872.91000000003</v>
          </cell>
          <cell r="AL18">
            <v>318552.64000000007</v>
          </cell>
          <cell r="AM18">
            <v>382445.02999999991</v>
          </cell>
          <cell r="AN18">
            <v>445685.72000000009</v>
          </cell>
          <cell r="AO18">
            <v>507387</v>
          </cell>
          <cell r="AP18">
            <v>568137</v>
          </cell>
          <cell r="AQ18">
            <v>629304</v>
          </cell>
          <cell r="AR18">
            <v>708761</v>
          </cell>
          <cell r="AS18">
            <v>788979</v>
          </cell>
          <cell r="AT18">
            <v>42090.640000000007</v>
          </cell>
          <cell r="AU18">
            <v>105400.98000000001</v>
          </cell>
          <cell r="AV18">
            <v>172261.71000000002</v>
          </cell>
          <cell r="AW18">
            <v>253535.18</v>
          </cell>
          <cell r="AX18">
            <v>318483.54000000004</v>
          </cell>
          <cell r="AY18">
            <v>381408.99999999994</v>
          </cell>
          <cell r="AZ18">
            <v>444237.42999999993</v>
          </cell>
          <cell r="BA18">
            <v>0</v>
          </cell>
          <cell r="BB18">
            <v>0</v>
          </cell>
          <cell r="BC18">
            <v>0</v>
          </cell>
          <cell r="BD18">
            <v>0</v>
          </cell>
          <cell r="BE18">
            <v>0</v>
          </cell>
          <cell r="BF18">
            <v>43240.520000000004</v>
          </cell>
          <cell r="BG18">
            <v>108528.88000000002</v>
          </cell>
          <cell r="BH18">
            <v>192880.62</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row>
        <row r="19">
          <cell r="H19">
            <v>45</v>
          </cell>
          <cell r="I19" t="str">
            <v>YTD Total Benefits</v>
          </cell>
          <cell r="J19">
            <v>200436</v>
          </cell>
          <cell r="K19">
            <v>483384</v>
          </cell>
          <cell r="L19">
            <v>777808</v>
          </cell>
          <cell r="M19">
            <v>1066369</v>
          </cell>
          <cell r="N19">
            <v>1397031</v>
          </cell>
          <cell r="O19">
            <v>1650405</v>
          </cell>
          <cell r="P19">
            <v>1915681</v>
          </cell>
          <cell r="Q19">
            <v>2176207</v>
          </cell>
          <cell r="R19">
            <v>2437116</v>
          </cell>
          <cell r="S19">
            <v>2701156</v>
          </cell>
          <cell r="T19">
            <v>3043252</v>
          </cell>
          <cell r="U19">
            <v>3366186</v>
          </cell>
          <cell r="V19">
            <v>191875</v>
          </cell>
          <cell r="W19">
            <v>459820</v>
          </cell>
          <cell r="X19">
            <v>735769</v>
          </cell>
          <cell r="Y19">
            <v>991930</v>
          </cell>
          <cell r="Z19">
            <v>1314511</v>
          </cell>
          <cell r="AA19">
            <v>1566448</v>
          </cell>
          <cell r="AB19">
            <v>1815180</v>
          </cell>
          <cell r="AC19">
            <v>2057747</v>
          </cell>
          <cell r="AD19">
            <v>2301515</v>
          </cell>
          <cell r="AE19">
            <v>2554256</v>
          </cell>
          <cell r="AF19">
            <v>2866657</v>
          </cell>
          <cell r="AG19">
            <v>3166584</v>
          </cell>
          <cell r="AH19">
            <v>175537.68</v>
          </cell>
          <cell r="AI19">
            <v>420881.42000000004</v>
          </cell>
          <cell r="AJ19">
            <v>690801.46</v>
          </cell>
          <cell r="AK19">
            <v>1010304.1300000001</v>
          </cell>
          <cell r="AL19">
            <v>1258783.9500000002</v>
          </cell>
          <cell r="AM19">
            <v>1515611.8399999999</v>
          </cell>
          <cell r="AN19">
            <v>1764235.0300000003</v>
          </cell>
          <cell r="AO19">
            <v>2006564</v>
          </cell>
          <cell r="AP19">
            <v>2243790</v>
          </cell>
          <cell r="AQ19">
            <v>2483287</v>
          </cell>
          <cell r="AR19">
            <v>2803958</v>
          </cell>
          <cell r="AS19">
            <v>3119132</v>
          </cell>
          <cell r="AT19">
            <v>165714.30000000002</v>
          </cell>
          <cell r="AU19">
            <v>416144.51000000013</v>
          </cell>
          <cell r="AV19">
            <v>682695.87000000011</v>
          </cell>
          <cell r="AW19">
            <v>1003637.1999999997</v>
          </cell>
          <cell r="AX19">
            <v>1256382.0699999998</v>
          </cell>
          <cell r="AY19">
            <v>1497759.7999999998</v>
          </cell>
          <cell r="AZ19">
            <v>1737899.4799999997</v>
          </cell>
          <cell r="BA19">
            <v>0</v>
          </cell>
          <cell r="BB19">
            <v>0</v>
          </cell>
          <cell r="BC19">
            <v>0</v>
          </cell>
          <cell r="BD19">
            <v>0</v>
          </cell>
          <cell r="BE19">
            <v>0</v>
          </cell>
          <cell r="BF19">
            <v>168714.53</v>
          </cell>
          <cell r="BG19">
            <v>422963.85000000003</v>
          </cell>
          <cell r="BH19">
            <v>771084.49999999988</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row>
        <row r="20">
          <cell r="H20">
            <v>46</v>
          </cell>
          <cell r="I20" t="str">
            <v>YTD Target (Budget) Overtime$</v>
          </cell>
          <cell r="J20">
            <v>1980</v>
          </cell>
          <cell r="K20">
            <v>19215</v>
          </cell>
          <cell r="L20">
            <v>13860</v>
          </cell>
          <cell r="M20">
            <v>19140</v>
          </cell>
          <cell r="N20">
            <v>26400</v>
          </cell>
          <cell r="O20">
            <v>31680</v>
          </cell>
          <cell r="P20">
            <v>36300</v>
          </cell>
          <cell r="Q20">
            <v>41580</v>
          </cell>
          <cell r="R20">
            <v>46860</v>
          </cell>
          <cell r="S20">
            <v>51480</v>
          </cell>
          <cell r="T20">
            <v>58740</v>
          </cell>
          <cell r="U20">
            <v>66000</v>
          </cell>
          <cell r="V20">
            <v>3803</v>
          </cell>
          <cell r="W20">
            <v>13582</v>
          </cell>
          <cell r="X20">
            <v>22818</v>
          </cell>
          <cell r="Y20">
            <v>30424</v>
          </cell>
          <cell r="Z20">
            <v>35857</v>
          </cell>
          <cell r="AA20">
            <v>37487</v>
          </cell>
          <cell r="AB20">
            <v>41833</v>
          </cell>
          <cell r="AC20">
            <v>44549</v>
          </cell>
          <cell r="AD20">
            <v>45636</v>
          </cell>
          <cell r="AE20">
            <v>47809</v>
          </cell>
          <cell r="AF20">
            <v>53242</v>
          </cell>
          <cell r="AG20">
            <v>54329</v>
          </cell>
          <cell r="AH20">
            <v>6580</v>
          </cell>
          <cell r="AI20">
            <v>30080</v>
          </cell>
          <cell r="AJ20">
            <v>36660</v>
          </cell>
          <cell r="AK20">
            <v>43240</v>
          </cell>
          <cell r="AL20">
            <v>48880</v>
          </cell>
          <cell r="AM20">
            <v>54520</v>
          </cell>
          <cell r="AN20">
            <v>61100</v>
          </cell>
          <cell r="AO20">
            <v>67680</v>
          </cell>
          <cell r="AP20">
            <v>74260</v>
          </cell>
          <cell r="AQ20">
            <v>80840</v>
          </cell>
          <cell r="AR20">
            <v>87420</v>
          </cell>
          <cell r="AS20">
            <v>94000</v>
          </cell>
          <cell r="AT20">
            <v>1602</v>
          </cell>
          <cell r="AU20">
            <v>10738</v>
          </cell>
          <cell r="AV20">
            <v>27339</v>
          </cell>
          <cell r="AW20">
            <v>39611</v>
          </cell>
          <cell r="AX20">
            <v>49565</v>
          </cell>
          <cell r="AY20">
            <v>51849</v>
          </cell>
          <cell r="AZ20">
            <v>58666</v>
          </cell>
          <cell r="BA20">
            <v>0</v>
          </cell>
          <cell r="BB20">
            <v>0</v>
          </cell>
          <cell r="BC20">
            <v>0</v>
          </cell>
          <cell r="BD20">
            <v>0</v>
          </cell>
          <cell r="BE20">
            <v>0</v>
          </cell>
          <cell r="BF20">
            <v>1518</v>
          </cell>
          <cell r="BG20">
            <v>3786</v>
          </cell>
          <cell r="BH20">
            <v>22559</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row>
        <row r="21">
          <cell r="H21">
            <v>47</v>
          </cell>
          <cell r="I21" t="str">
            <v>YTD Target (Budget) Empl_Benefits</v>
          </cell>
          <cell r="J21">
            <v>32064</v>
          </cell>
          <cell r="K21">
            <v>114254</v>
          </cell>
          <cell r="L21">
            <v>183069</v>
          </cell>
          <cell r="M21">
            <v>250546</v>
          </cell>
          <cell r="N21">
            <v>339164</v>
          </cell>
          <cell r="O21">
            <v>410425</v>
          </cell>
          <cell r="P21">
            <v>471183</v>
          </cell>
          <cell r="Q21">
            <v>538975</v>
          </cell>
          <cell r="R21">
            <v>608150</v>
          </cell>
          <cell r="S21">
            <v>668903</v>
          </cell>
          <cell r="T21">
            <v>758287</v>
          </cell>
          <cell r="U21">
            <v>849057</v>
          </cell>
          <cell r="V21">
            <v>31552</v>
          </cell>
          <cell r="W21">
            <v>117227</v>
          </cell>
          <cell r="X21">
            <v>184402</v>
          </cell>
          <cell r="Y21">
            <v>250063</v>
          </cell>
          <cell r="Z21">
            <v>329093</v>
          </cell>
          <cell r="AA21">
            <v>395024</v>
          </cell>
          <cell r="AB21">
            <v>460152</v>
          </cell>
          <cell r="AC21">
            <v>524906</v>
          </cell>
          <cell r="AD21">
            <v>590748</v>
          </cell>
          <cell r="AE21">
            <v>655412</v>
          </cell>
          <cell r="AF21">
            <v>734442</v>
          </cell>
          <cell r="AG21">
            <v>814112</v>
          </cell>
          <cell r="AH21">
            <v>44426</v>
          </cell>
          <cell r="AI21">
            <v>111127</v>
          </cell>
          <cell r="AJ21">
            <v>176382</v>
          </cell>
          <cell r="AK21">
            <v>253252</v>
          </cell>
          <cell r="AL21">
            <v>316988</v>
          </cell>
          <cell r="AM21">
            <v>382087</v>
          </cell>
          <cell r="AN21">
            <v>445979</v>
          </cell>
          <cell r="AO21">
            <v>516360</v>
          </cell>
          <cell r="AP21">
            <v>581615</v>
          </cell>
          <cell r="AQ21">
            <v>645507</v>
          </cell>
          <cell r="AR21">
            <v>722377</v>
          </cell>
          <cell r="AS21">
            <v>800606</v>
          </cell>
          <cell r="AT21">
            <v>44037</v>
          </cell>
          <cell r="AU21">
            <v>109566</v>
          </cell>
          <cell r="AV21">
            <v>176571</v>
          </cell>
          <cell r="AW21">
            <v>254943</v>
          </cell>
          <cell r="AX21">
            <v>319742</v>
          </cell>
          <cell r="AY21">
            <v>384407</v>
          </cell>
          <cell r="AZ21">
            <v>448166</v>
          </cell>
          <cell r="BA21">
            <v>0</v>
          </cell>
          <cell r="BB21">
            <v>0</v>
          </cell>
          <cell r="BC21">
            <v>0</v>
          </cell>
          <cell r="BD21">
            <v>0</v>
          </cell>
          <cell r="BE21">
            <v>0</v>
          </cell>
          <cell r="BF21">
            <v>62739</v>
          </cell>
          <cell r="BG21">
            <v>125707</v>
          </cell>
          <cell r="BH21">
            <v>203175</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row>
        <row r="22">
          <cell r="H22">
            <v>48</v>
          </cell>
          <cell r="I22" t="str">
            <v>YTD Target (Budget) Total Benefits</v>
          </cell>
          <cell r="J22">
            <v>126149</v>
          </cell>
          <cell r="K22">
            <v>450856</v>
          </cell>
          <cell r="L22">
            <v>721726</v>
          </cell>
          <cell r="M22">
            <v>987938</v>
          </cell>
          <cell r="N22">
            <v>1338424</v>
          </cell>
          <cell r="O22">
            <v>1650405</v>
          </cell>
          <cell r="P22">
            <v>1866057</v>
          </cell>
          <cell r="Q22">
            <v>2133730</v>
          </cell>
          <cell r="R22">
            <v>2406850</v>
          </cell>
          <cell r="S22">
            <v>2647326</v>
          </cell>
          <cell r="T22">
            <v>3003060</v>
          </cell>
          <cell r="U22">
            <v>3364254</v>
          </cell>
          <cell r="V22">
            <v>174064</v>
          </cell>
          <cell r="W22">
            <v>454285</v>
          </cell>
          <cell r="X22">
            <v>716536</v>
          </cell>
          <cell r="Y22">
            <v>972973</v>
          </cell>
          <cell r="Z22">
            <v>1282265</v>
          </cell>
          <cell r="AA22">
            <v>1535666</v>
          </cell>
          <cell r="AB22">
            <v>1788310</v>
          </cell>
          <cell r="AC22">
            <v>2057747</v>
          </cell>
          <cell r="AD22">
            <v>2290515</v>
          </cell>
          <cell r="AE22">
            <v>2539318</v>
          </cell>
          <cell r="AF22">
            <v>2848610</v>
          </cell>
          <cell r="AG22">
            <v>3158063</v>
          </cell>
          <cell r="AH22">
            <v>175533</v>
          </cell>
          <cell r="AI22">
            <v>442816</v>
          </cell>
          <cell r="AJ22">
            <v>696343</v>
          </cell>
          <cell r="AK22">
            <v>991912</v>
          </cell>
          <cell r="AL22">
            <v>1238382</v>
          </cell>
          <cell r="AM22">
            <v>1490813</v>
          </cell>
          <cell r="AN22">
            <v>1738367</v>
          </cell>
          <cell r="AO22">
            <v>2009928</v>
          </cell>
          <cell r="AP22">
            <v>2263455</v>
          </cell>
          <cell r="AQ22">
            <v>2511009</v>
          </cell>
          <cell r="AR22">
            <v>2806590</v>
          </cell>
          <cell r="AS22">
            <v>3108111</v>
          </cell>
          <cell r="AT22">
            <v>171186</v>
          </cell>
          <cell r="AU22">
            <v>425152</v>
          </cell>
          <cell r="AV22">
            <v>688420</v>
          </cell>
          <cell r="AW22">
            <v>991494</v>
          </cell>
          <cell r="AX22">
            <v>1247789</v>
          </cell>
          <cell r="AY22">
            <v>1496366</v>
          </cell>
          <cell r="AZ22">
            <v>1741220</v>
          </cell>
          <cell r="BA22">
            <v>0</v>
          </cell>
          <cell r="BB22">
            <v>0</v>
          </cell>
          <cell r="BC22">
            <v>0</v>
          </cell>
          <cell r="BD22">
            <v>0</v>
          </cell>
          <cell r="BE22">
            <v>0</v>
          </cell>
          <cell r="BF22">
            <v>247080</v>
          </cell>
          <cell r="BG22">
            <v>444004</v>
          </cell>
          <cell r="BH22">
            <v>804556</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row>
        <row r="23">
          <cell r="H23">
            <v>49</v>
          </cell>
          <cell r="I23" t="str">
            <v>Actual</v>
          </cell>
          <cell r="J23">
            <v>84809</v>
          </cell>
          <cell r="K23">
            <v>339549</v>
          </cell>
          <cell r="L23">
            <v>123202</v>
          </cell>
          <cell r="M23">
            <v>274364</v>
          </cell>
          <cell r="N23">
            <v>301</v>
          </cell>
          <cell r="O23">
            <v>187435</v>
          </cell>
          <cell r="P23">
            <v>170508</v>
          </cell>
          <cell r="Q23">
            <v>102340</v>
          </cell>
          <cell r="R23">
            <v>127362</v>
          </cell>
          <cell r="S23">
            <v>125129</v>
          </cell>
          <cell r="T23">
            <v>37386</v>
          </cell>
          <cell r="U23">
            <v>169156</v>
          </cell>
          <cell r="V23">
            <v>142656</v>
          </cell>
          <cell r="W23">
            <v>328667</v>
          </cell>
          <cell r="X23">
            <v>173887</v>
          </cell>
          <cell r="Y23">
            <v>145028</v>
          </cell>
          <cell r="Z23">
            <v>30175</v>
          </cell>
          <cell r="AA23">
            <v>210372</v>
          </cell>
          <cell r="AB23">
            <v>141576</v>
          </cell>
          <cell r="AC23">
            <v>175076</v>
          </cell>
          <cell r="AD23">
            <v>261282</v>
          </cell>
          <cell r="AE23">
            <v>47922</v>
          </cell>
          <cell r="AF23">
            <v>48143</v>
          </cell>
          <cell r="AG23">
            <v>271197</v>
          </cell>
          <cell r="AH23">
            <v>94609.479999999865</v>
          </cell>
          <cell r="AI23">
            <v>185113.21999999997</v>
          </cell>
          <cell r="AJ23">
            <v>339460.81000000006</v>
          </cell>
          <cell r="AK23">
            <v>127640.76999999979</v>
          </cell>
          <cell r="AL23">
            <v>68769.730000000214</v>
          </cell>
          <cell r="AM23">
            <v>302109.34000000008</v>
          </cell>
          <cell r="AN23">
            <v>116671.95999999985</v>
          </cell>
          <cell r="AO23">
            <v>36961</v>
          </cell>
          <cell r="AP23">
            <v>299066</v>
          </cell>
          <cell r="AQ23">
            <v>102669</v>
          </cell>
          <cell r="AR23">
            <v>46973</v>
          </cell>
          <cell r="AS23">
            <v>216264</v>
          </cell>
          <cell r="AT23">
            <v>92564.319999999949</v>
          </cell>
          <cell r="AU23">
            <v>244436.1399999999</v>
          </cell>
          <cell r="AV23">
            <v>276942.69999999949</v>
          </cell>
          <cell r="AW23">
            <v>84830.129999999888</v>
          </cell>
          <cell r="AX23">
            <v>-15294.669999999925</v>
          </cell>
          <cell r="AY23">
            <v>365159.27</v>
          </cell>
          <cell r="AZ23">
            <v>150233.97999999975</v>
          </cell>
          <cell r="BA23">
            <v>0</v>
          </cell>
          <cell r="BB23">
            <v>0</v>
          </cell>
          <cell r="BC23">
            <v>0</v>
          </cell>
          <cell r="BD23">
            <v>0</v>
          </cell>
          <cell r="BE23">
            <v>0</v>
          </cell>
          <cell r="BF23">
            <v>138045.56999999995</v>
          </cell>
          <cell r="BG23">
            <v>184632.53999999992</v>
          </cell>
          <cell r="BH23">
            <v>320848.33999999985</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row>
        <row r="24">
          <cell r="H24">
            <v>50</v>
          </cell>
          <cell r="I24" t="str">
            <v>Target (Budget)</v>
          </cell>
          <cell r="J24">
            <v>222243</v>
          </cell>
          <cell r="K24">
            <v>347426</v>
          </cell>
          <cell r="L24">
            <v>308006</v>
          </cell>
          <cell r="M24">
            <v>175253</v>
          </cell>
          <cell r="N24">
            <v>43276</v>
          </cell>
          <cell r="O24">
            <v>141546</v>
          </cell>
          <cell r="P24">
            <v>393264</v>
          </cell>
          <cell r="Q24">
            <v>80385</v>
          </cell>
          <cell r="R24">
            <v>98462</v>
          </cell>
          <cell r="S24">
            <v>107582</v>
          </cell>
          <cell r="T24">
            <v>-7676</v>
          </cell>
          <cell r="U24">
            <v>58112</v>
          </cell>
          <cell r="V24">
            <v>156284</v>
          </cell>
          <cell r="W24">
            <v>334253</v>
          </cell>
          <cell r="X24">
            <v>214456</v>
          </cell>
          <cell r="Y24">
            <v>161097</v>
          </cell>
          <cell r="Z24">
            <v>64650</v>
          </cell>
          <cell r="AA24">
            <v>136120</v>
          </cell>
          <cell r="AB24">
            <v>339263</v>
          </cell>
          <cell r="AC24">
            <v>80912</v>
          </cell>
          <cell r="AD24">
            <v>93159</v>
          </cell>
          <cell r="AE24">
            <v>81545</v>
          </cell>
          <cell r="AF24">
            <v>21056</v>
          </cell>
          <cell r="AG24">
            <v>80127</v>
          </cell>
          <cell r="AH24">
            <v>171797</v>
          </cell>
          <cell r="AI24">
            <v>251413</v>
          </cell>
          <cell r="AJ24">
            <v>313824</v>
          </cell>
          <cell r="AK24">
            <v>73297</v>
          </cell>
          <cell r="AL24">
            <v>92401</v>
          </cell>
          <cell r="AM24">
            <v>253886</v>
          </cell>
          <cell r="AN24">
            <v>90534</v>
          </cell>
          <cell r="AO24">
            <v>85409</v>
          </cell>
          <cell r="AP24">
            <v>275958</v>
          </cell>
          <cell r="AQ24">
            <v>95586</v>
          </cell>
          <cell r="AR24">
            <v>61389</v>
          </cell>
          <cell r="AS24">
            <v>211752</v>
          </cell>
          <cell r="AT24">
            <v>145961</v>
          </cell>
          <cell r="AU24">
            <v>280306</v>
          </cell>
          <cell r="AV24">
            <v>189926</v>
          </cell>
          <cell r="AW24">
            <v>148383</v>
          </cell>
          <cell r="AX24">
            <v>94875</v>
          </cell>
          <cell r="AY24">
            <v>187820</v>
          </cell>
          <cell r="AZ24">
            <v>89310</v>
          </cell>
          <cell r="BA24">
            <v>0</v>
          </cell>
          <cell r="BB24">
            <v>0</v>
          </cell>
          <cell r="BC24">
            <v>0</v>
          </cell>
          <cell r="BD24">
            <v>0</v>
          </cell>
          <cell r="BE24">
            <v>0</v>
          </cell>
          <cell r="BF24">
            <v>-29095</v>
          </cell>
          <cell r="BG24">
            <v>230472</v>
          </cell>
          <cell r="BH24">
            <v>301638</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row>
        <row r="25">
          <cell r="H25">
            <v>53</v>
          </cell>
          <cell r="I25" t="str">
            <v>YTD Actual</v>
          </cell>
          <cell r="J25">
            <v>84809</v>
          </cell>
          <cell r="K25">
            <v>424358</v>
          </cell>
          <cell r="L25">
            <v>547560</v>
          </cell>
          <cell r="M25">
            <v>821924</v>
          </cell>
          <cell r="N25">
            <v>822225</v>
          </cell>
          <cell r="O25">
            <v>1009660</v>
          </cell>
          <cell r="P25">
            <v>1180168</v>
          </cell>
          <cell r="Q25">
            <v>1282507</v>
          </cell>
          <cell r="R25">
            <v>1409869</v>
          </cell>
          <cell r="S25">
            <v>1534998</v>
          </cell>
          <cell r="T25">
            <v>1572384</v>
          </cell>
          <cell r="U25">
            <v>1741540</v>
          </cell>
          <cell r="V25">
            <v>142656</v>
          </cell>
          <cell r="W25">
            <v>471322</v>
          </cell>
          <cell r="X25">
            <v>645209</v>
          </cell>
          <cell r="Y25">
            <v>790238</v>
          </cell>
          <cell r="Z25">
            <v>820413</v>
          </cell>
          <cell r="AA25">
            <v>1030785</v>
          </cell>
          <cell r="AB25">
            <v>1172362</v>
          </cell>
          <cell r="AC25">
            <v>1347437</v>
          </cell>
          <cell r="AD25">
            <v>1608719</v>
          </cell>
          <cell r="AE25">
            <v>1656641</v>
          </cell>
          <cell r="AF25">
            <v>1704784</v>
          </cell>
          <cell r="AG25">
            <v>1975981</v>
          </cell>
          <cell r="AH25">
            <v>94609.479999999865</v>
          </cell>
          <cell r="AI25">
            <v>279722.70000000019</v>
          </cell>
          <cell r="AJ25">
            <v>619183.51000000071</v>
          </cell>
          <cell r="AK25">
            <v>746824.28000000026</v>
          </cell>
          <cell r="AL25">
            <v>815594.01000000071</v>
          </cell>
          <cell r="AM25">
            <v>1117703.3499999987</v>
          </cell>
          <cell r="AN25">
            <v>1234375.3099999977</v>
          </cell>
          <cell r="AO25">
            <v>1271336</v>
          </cell>
          <cell r="AP25">
            <v>1570402</v>
          </cell>
          <cell r="AQ25">
            <v>1673072</v>
          </cell>
          <cell r="AR25">
            <v>1720044</v>
          </cell>
          <cell r="AS25">
            <v>1936308</v>
          </cell>
          <cell r="AT25">
            <v>92564.319999999949</v>
          </cell>
          <cell r="AU25">
            <v>337000.45999999996</v>
          </cell>
          <cell r="AV25">
            <v>613943.15999999968</v>
          </cell>
          <cell r="AW25">
            <v>698773.29</v>
          </cell>
          <cell r="AX25">
            <v>683478.62000000011</v>
          </cell>
          <cell r="AY25">
            <v>1048637.8900000006</v>
          </cell>
          <cell r="AZ25">
            <v>1198871.8700000029</v>
          </cell>
          <cell r="BA25">
            <v>0</v>
          </cell>
          <cell r="BB25">
            <v>0</v>
          </cell>
          <cell r="BC25">
            <v>0</v>
          </cell>
          <cell r="BD25">
            <v>0</v>
          </cell>
          <cell r="BE25">
            <v>0</v>
          </cell>
          <cell r="BF25">
            <v>138045.56999999995</v>
          </cell>
          <cell r="BG25">
            <v>322678.1100000001</v>
          </cell>
          <cell r="BH25">
            <v>643526.45000000065</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row>
        <row r="26">
          <cell r="H26">
            <v>54</v>
          </cell>
          <cell r="I26" t="str">
            <v>YTD Target (Budget)</v>
          </cell>
          <cell r="J26">
            <v>222243</v>
          </cell>
          <cell r="K26">
            <v>489121</v>
          </cell>
          <cell r="L26">
            <v>797127</v>
          </cell>
          <cell r="M26">
            <v>972380</v>
          </cell>
          <cell r="N26">
            <v>1015656</v>
          </cell>
          <cell r="O26">
            <v>1157202</v>
          </cell>
          <cell r="P26">
            <v>1550466</v>
          </cell>
          <cell r="Q26">
            <v>1630851</v>
          </cell>
          <cell r="R26">
            <v>1729313</v>
          </cell>
          <cell r="S26">
            <v>1836895</v>
          </cell>
          <cell r="T26">
            <v>1829219</v>
          </cell>
          <cell r="U26">
            <v>1887331</v>
          </cell>
          <cell r="V26">
            <v>156284</v>
          </cell>
          <cell r="W26">
            <v>467970</v>
          </cell>
          <cell r="X26">
            <v>682426</v>
          </cell>
          <cell r="Y26">
            <v>843523</v>
          </cell>
          <cell r="Z26">
            <v>908173</v>
          </cell>
          <cell r="AA26">
            <v>1044293</v>
          </cell>
          <cell r="AB26">
            <v>1383556</v>
          </cell>
          <cell r="AC26">
            <v>1464468</v>
          </cell>
          <cell r="AD26">
            <v>1557627</v>
          </cell>
          <cell r="AE26">
            <v>1639172</v>
          </cell>
          <cell r="AF26">
            <v>1660228</v>
          </cell>
          <cell r="AG26">
            <v>1740355</v>
          </cell>
          <cell r="AH26">
            <v>171797</v>
          </cell>
          <cell r="AI26">
            <v>406881</v>
          </cell>
          <cell r="AJ26">
            <v>720705</v>
          </cell>
          <cell r="AK26">
            <v>794002</v>
          </cell>
          <cell r="AL26">
            <v>886403</v>
          </cell>
          <cell r="AM26">
            <v>1140289</v>
          </cell>
          <cell r="AN26">
            <v>1230823</v>
          </cell>
          <cell r="AO26">
            <v>1316232</v>
          </cell>
          <cell r="AP26">
            <v>1592190</v>
          </cell>
          <cell r="AQ26">
            <v>1687776</v>
          </cell>
          <cell r="AR26">
            <v>1749165</v>
          </cell>
          <cell r="AS26">
            <v>1960917</v>
          </cell>
          <cell r="AT26">
            <v>145961</v>
          </cell>
          <cell r="AU26">
            <v>426267</v>
          </cell>
          <cell r="AV26">
            <v>616193</v>
          </cell>
          <cell r="AW26">
            <v>764576</v>
          </cell>
          <cell r="AX26">
            <v>859451</v>
          </cell>
          <cell r="AY26">
            <v>1047271</v>
          </cell>
          <cell r="AZ26">
            <v>1136581</v>
          </cell>
          <cell r="BA26">
            <v>0</v>
          </cell>
          <cell r="BB26">
            <v>0</v>
          </cell>
          <cell r="BC26">
            <v>0</v>
          </cell>
          <cell r="BD26">
            <v>0</v>
          </cell>
          <cell r="BE26">
            <v>0</v>
          </cell>
          <cell r="BF26">
            <v>-29095</v>
          </cell>
          <cell r="BG26">
            <v>255791</v>
          </cell>
          <cell r="BH26">
            <v>557429</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row>
        <row r="27">
          <cell r="H27">
            <v>61</v>
          </cell>
          <cell r="I27" t="str">
            <v>Actual</v>
          </cell>
          <cell r="J27">
            <v>-38623</v>
          </cell>
          <cell r="K27">
            <v>188519</v>
          </cell>
          <cell r="L27">
            <v>-41843</v>
          </cell>
          <cell r="M27">
            <v>136255</v>
          </cell>
          <cell r="N27">
            <v>-50770</v>
          </cell>
          <cell r="O27">
            <v>38564</v>
          </cell>
          <cell r="P27">
            <v>50563</v>
          </cell>
          <cell r="Q27">
            <v>-12617</v>
          </cell>
          <cell r="R27">
            <v>-17962</v>
          </cell>
          <cell r="S27">
            <v>7543</v>
          </cell>
          <cell r="T27">
            <v>-79262</v>
          </cell>
          <cell r="U27">
            <v>17666</v>
          </cell>
          <cell r="V27">
            <v>29752</v>
          </cell>
          <cell r="W27">
            <v>200630</v>
          </cell>
          <cell r="X27">
            <v>34610</v>
          </cell>
          <cell r="Y27">
            <v>31164</v>
          </cell>
          <cell r="Z27">
            <v>-79396</v>
          </cell>
          <cell r="AA27">
            <v>72521</v>
          </cell>
          <cell r="AB27">
            <v>28031</v>
          </cell>
          <cell r="AC27">
            <v>62261</v>
          </cell>
          <cell r="AD27">
            <v>120262</v>
          </cell>
          <cell r="AE27">
            <v>-59432</v>
          </cell>
          <cell r="AF27">
            <v>-62326</v>
          </cell>
          <cell r="AG27">
            <v>26260</v>
          </cell>
          <cell r="AH27">
            <v>72085.35999999987</v>
          </cell>
          <cell r="AI27">
            <v>7266.0199999999604</v>
          </cell>
          <cell r="AJ27">
            <v>206263.89000000004</v>
          </cell>
          <cell r="AK27">
            <v>23384.339999999764</v>
          </cell>
          <cell r="AL27">
            <v>-28948.449999999808</v>
          </cell>
          <cell r="AM27">
            <v>93059.400000000081</v>
          </cell>
          <cell r="AN27">
            <v>29672.259999999835</v>
          </cell>
          <cell r="AO27">
            <v>-70987</v>
          </cell>
          <cell r="AP27">
            <v>166377</v>
          </cell>
          <cell r="AQ27">
            <v>4786</v>
          </cell>
          <cell r="AR27">
            <v>-53144</v>
          </cell>
          <cell r="AS27">
            <v>-63842</v>
          </cell>
          <cell r="AT27">
            <v>8146.1599999999453</v>
          </cell>
          <cell r="AU27">
            <v>147019.4599999999</v>
          </cell>
          <cell r="AV27">
            <v>1078.7499999994761</v>
          </cell>
          <cell r="AW27">
            <v>-8684.8700000001118</v>
          </cell>
          <cell r="AX27">
            <v>-97040.779999999926</v>
          </cell>
          <cell r="AY27">
            <v>232720.42</v>
          </cell>
          <cell r="AZ27">
            <v>68004.44999999975</v>
          </cell>
          <cell r="BA27">
            <v>0</v>
          </cell>
          <cell r="BB27">
            <v>0</v>
          </cell>
          <cell r="BC27">
            <v>0</v>
          </cell>
          <cell r="BD27">
            <v>0</v>
          </cell>
          <cell r="BE27">
            <v>0</v>
          </cell>
          <cell r="BF27">
            <v>54071.399999999951</v>
          </cell>
          <cell r="BG27">
            <v>91801.479999999923</v>
          </cell>
          <cell r="BH27">
            <v>193881.14999999985</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row>
        <row r="28">
          <cell r="H28">
            <v>62</v>
          </cell>
          <cell r="I28" t="str">
            <v>Target (Budget)</v>
          </cell>
          <cell r="J28">
            <v>108916</v>
          </cell>
          <cell r="K28">
            <v>217434</v>
          </cell>
          <cell r="L28">
            <v>157420</v>
          </cell>
          <cell r="M28">
            <v>56187</v>
          </cell>
          <cell r="N28">
            <v>-73197</v>
          </cell>
          <cell r="O28">
            <v>-3855</v>
          </cell>
          <cell r="P28">
            <v>263827</v>
          </cell>
          <cell r="Q28">
            <v>-32942</v>
          </cell>
          <cell r="R28">
            <v>-43792</v>
          </cell>
          <cell r="S28">
            <v>-5191</v>
          </cell>
          <cell r="T28">
            <v>-119894</v>
          </cell>
          <cell r="U28">
            <v>-85646</v>
          </cell>
          <cell r="V28">
            <v>45174</v>
          </cell>
          <cell r="W28">
            <v>209399</v>
          </cell>
          <cell r="X28">
            <v>66703</v>
          </cell>
          <cell r="Y28">
            <v>45405</v>
          </cell>
          <cell r="Z28">
            <v>-48751</v>
          </cell>
          <cell r="AA28">
            <v>-7051</v>
          </cell>
          <cell r="AB28">
            <v>214409</v>
          </cell>
          <cell r="AC28">
            <v>-30198</v>
          </cell>
          <cell r="AD28">
            <v>-47722</v>
          </cell>
          <cell r="AE28">
            <v>-29565</v>
          </cell>
          <cell r="AF28">
            <v>-90054</v>
          </cell>
          <cell r="AG28">
            <v>-63072</v>
          </cell>
          <cell r="AH28">
            <v>70708</v>
          </cell>
          <cell r="AI28">
            <v>125768</v>
          </cell>
          <cell r="AJ28">
            <v>166337</v>
          </cell>
          <cell r="AK28">
            <v>-32703</v>
          </cell>
          <cell r="AL28">
            <v>-13599</v>
          </cell>
          <cell r="AM28">
            <v>21911</v>
          </cell>
          <cell r="AN28">
            <v>-8266</v>
          </cell>
          <cell r="AO28">
            <v>-13391</v>
          </cell>
          <cell r="AP28">
            <v>143983</v>
          </cell>
          <cell r="AQ28">
            <v>-3214</v>
          </cell>
          <cell r="AR28">
            <v>-37411</v>
          </cell>
          <cell r="AS28">
            <v>-70222</v>
          </cell>
          <cell r="AT28">
            <v>43322</v>
          </cell>
          <cell r="AU28">
            <v>162579</v>
          </cell>
          <cell r="AV28">
            <v>-80370</v>
          </cell>
          <cell r="AW28">
            <v>46650</v>
          </cell>
          <cell r="AX28">
            <v>4494</v>
          </cell>
          <cell r="AY28">
            <v>63306</v>
          </cell>
          <cell r="AZ28">
            <v>97221</v>
          </cell>
          <cell r="BA28">
            <v>0</v>
          </cell>
          <cell r="BB28">
            <v>0</v>
          </cell>
          <cell r="BC28">
            <v>0</v>
          </cell>
          <cell r="BD28">
            <v>0</v>
          </cell>
          <cell r="BE28">
            <v>0</v>
          </cell>
          <cell r="BF28">
            <v>-123833</v>
          </cell>
          <cell r="BG28">
            <v>141216</v>
          </cell>
          <cell r="BH28">
            <v>52571</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row>
        <row r="29">
          <cell r="H29">
            <v>65</v>
          </cell>
          <cell r="I29" t="str">
            <v>YTD Actual</v>
          </cell>
          <cell r="J29">
            <v>-38623</v>
          </cell>
          <cell r="K29">
            <v>149896</v>
          </cell>
          <cell r="L29">
            <v>108053</v>
          </cell>
          <cell r="M29">
            <v>244308</v>
          </cell>
          <cell r="N29">
            <v>193538</v>
          </cell>
          <cell r="O29">
            <v>232102</v>
          </cell>
          <cell r="P29">
            <v>282665</v>
          </cell>
          <cell r="Q29">
            <v>270047</v>
          </cell>
          <cell r="R29">
            <v>252085</v>
          </cell>
          <cell r="S29">
            <v>259628</v>
          </cell>
          <cell r="T29">
            <v>180366</v>
          </cell>
          <cell r="U29">
            <v>198032</v>
          </cell>
          <cell r="V29">
            <v>29752</v>
          </cell>
          <cell r="W29">
            <v>230383</v>
          </cell>
          <cell r="X29">
            <v>264993</v>
          </cell>
          <cell r="Y29">
            <v>296157</v>
          </cell>
          <cell r="Z29">
            <v>216761</v>
          </cell>
          <cell r="AA29">
            <v>289285</v>
          </cell>
          <cell r="AB29">
            <v>317316</v>
          </cell>
          <cell r="AC29">
            <v>379579</v>
          </cell>
          <cell r="AD29">
            <v>499839</v>
          </cell>
          <cell r="AE29">
            <v>440407</v>
          </cell>
          <cell r="AF29">
            <v>378081</v>
          </cell>
          <cell r="AG29">
            <v>404341</v>
          </cell>
          <cell r="AH29">
            <v>72085.35999999987</v>
          </cell>
          <cell r="AI29">
            <v>79351.380000000179</v>
          </cell>
          <cell r="AJ29">
            <v>285615.27000000066</v>
          </cell>
          <cell r="AK29">
            <v>308999.61000000022</v>
          </cell>
          <cell r="AL29">
            <v>280051.16000000085</v>
          </cell>
          <cell r="AM29">
            <v>373110.55999999866</v>
          </cell>
          <cell r="AN29">
            <v>402782.81999999785</v>
          </cell>
          <cell r="AO29">
            <v>331796</v>
          </cell>
          <cell r="AP29">
            <v>498172</v>
          </cell>
          <cell r="AQ29">
            <v>502958</v>
          </cell>
          <cell r="AR29">
            <v>449815</v>
          </cell>
          <cell r="AS29">
            <v>385972</v>
          </cell>
          <cell r="AT29">
            <v>8146.1599999999453</v>
          </cell>
          <cell r="AU29">
            <v>155165.61999999994</v>
          </cell>
          <cell r="AV29">
            <v>156244.3699999997</v>
          </cell>
          <cell r="AW29">
            <v>147559.5</v>
          </cell>
          <cell r="AX29">
            <v>50518.720000000088</v>
          </cell>
          <cell r="AY29">
            <v>283239.1400000006</v>
          </cell>
          <cell r="AZ29">
            <v>351243.59000000288</v>
          </cell>
          <cell r="BA29">
            <v>0</v>
          </cell>
          <cell r="BB29">
            <v>0</v>
          </cell>
          <cell r="BC29">
            <v>0</v>
          </cell>
          <cell r="BD29">
            <v>0</v>
          </cell>
          <cell r="BE29">
            <v>0</v>
          </cell>
          <cell r="BF29">
            <v>54071.399999999951</v>
          </cell>
          <cell r="BG29">
            <v>145872.88000000009</v>
          </cell>
          <cell r="BH29">
            <v>339754.03000000067</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row>
        <row r="30">
          <cell r="H30">
            <v>66</v>
          </cell>
          <cell r="I30" t="str">
            <v>YTD Target (Budget)</v>
          </cell>
          <cell r="J30">
            <v>108916</v>
          </cell>
          <cell r="K30">
            <v>244693</v>
          </cell>
          <cell r="L30">
            <v>402113</v>
          </cell>
          <cell r="M30">
            <v>458300</v>
          </cell>
          <cell r="N30">
            <v>385103</v>
          </cell>
          <cell r="O30">
            <v>381248</v>
          </cell>
          <cell r="P30">
            <v>645075</v>
          </cell>
          <cell r="Q30">
            <v>612133</v>
          </cell>
          <cell r="R30">
            <v>568341</v>
          </cell>
          <cell r="S30">
            <v>563150</v>
          </cell>
          <cell r="T30">
            <v>443256</v>
          </cell>
          <cell r="U30">
            <v>357610</v>
          </cell>
          <cell r="V30">
            <v>45174</v>
          </cell>
          <cell r="W30">
            <v>232006</v>
          </cell>
          <cell r="X30">
            <v>298709</v>
          </cell>
          <cell r="Y30">
            <v>344114</v>
          </cell>
          <cell r="Z30">
            <v>295363</v>
          </cell>
          <cell r="AA30">
            <v>288312</v>
          </cell>
          <cell r="AB30">
            <v>502721</v>
          </cell>
          <cell r="AC30">
            <v>472523</v>
          </cell>
          <cell r="AD30">
            <v>424801</v>
          </cell>
          <cell r="AE30">
            <v>395236</v>
          </cell>
          <cell r="AF30">
            <v>305182</v>
          </cell>
          <cell r="AG30">
            <v>242110</v>
          </cell>
          <cell r="AH30">
            <v>70708</v>
          </cell>
          <cell r="AI30">
            <v>180147</v>
          </cell>
          <cell r="AJ30">
            <v>346484</v>
          </cell>
          <cell r="AK30">
            <v>313781</v>
          </cell>
          <cell r="AL30">
            <v>300182</v>
          </cell>
          <cell r="AM30">
            <v>361493</v>
          </cell>
          <cell r="AN30">
            <v>353227</v>
          </cell>
          <cell r="AO30">
            <v>339836</v>
          </cell>
          <cell r="AP30">
            <v>483819</v>
          </cell>
          <cell r="AQ30">
            <v>480605</v>
          </cell>
          <cell r="AR30">
            <v>443194</v>
          </cell>
          <cell r="AS30">
            <v>372972</v>
          </cell>
          <cell r="AT30">
            <v>43322</v>
          </cell>
          <cell r="AU30">
            <v>205901</v>
          </cell>
          <cell r="AV30">
            <v>148011</v>
          </cell>
          <cell r="AW30">
            <v>194661</v>
          </cell>
          <cell r="AX30">
            <v>199155</v>
          </cell>
          <cell r="AY30">
            <v>262461</v>
          </cell>
          <cell r="AZ30">
            <v>359682</v>
          </cell>
          <cell r="BA30">
            <v>0</v>
          </cell>
          <cell r="BB30">
            <v>0</v>
          </cell>
          <cell r="BC30">
            <v>0</v>
          </cell>
          <cell r="BD30">
            <v>0</v>
          </cell>
          <cell r="BE30">
            <v>0</v>
          </cell>
          <cell r="BF30">
            <v>-123833</v>
          </cell>
          <cell r="BG30">
            <v>71797</v>
          </cell>
          <cell r="BH30">
            <v>124368</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row>
        <row r="31">
          <cell r="H31">
            <v>288</v>
          </cell>
          <cell r="I31" t="str">
            <v>Actual</v>
          </cell>
          <cell r="J31">
            <v>478159</v>
          </cell>
          <cell r="K31">
            <v>950681</v>
          </cell>
          <cell r="L31">
            <v>607791</v>
          </cell>
          <cell r="M31">
            <v>684372</v>
          </cell>
          <cell r="N31">
            <v>457556</v>
          </cell>
          <cell r="O31">
            <v>519756</v>
          </cell>
          <cell r="P31">
            <v>651300</v>
          </cell>
          <cell r="Q31">
            <v>507471</v>
          </cell>
          <cell r="R31">
            <v>477402</v>
          </cell>
          <cell r="S31">
            <v>555908</v>
          </cell>
          <cell r="T31">
            <v>638558</v>
          </cell>
          <cell r="U31">
            <v>523979</v>
          </cell>
          <cell r="V31">
            <v>483409</v>
          </cell>
          <cell r="W31">
            <v>914393</v>
          </cell>
          <cell r="X31">
            <v>495168</v>
          </cell>
          <cell r="Y31">
            <v>678463</v>
          </cell>
          <cell r="Z31">
            <v>541851</v>
          </cell>
          <cell r="AA31">
            <v>488012</v>
          </cell>
          <cell r="AB31">
            <v>568531</v>
          </cell>
          <cell r="AC31">
            <v>503414</v>
          </cell>
          <cell r="AD31">
            <v>516001</v>
          </cell>
          <cell r="AE31">
            <v>494495</v>
          </cell>
          <cell r="AF31">
            <v>592315</v>
          </cell>
          <cell r="AG31">
            <v>522176</v>
          </cell>
          <cell r="AH31">
            <v>493182.93</v>
          </cell>
          <cell r="AI31">
            <v>690218.62</v>
          </cell>
          <cell r="AJ31">
            <v>592299.16</v>
          </cell>
          <cell r="AK31">
            <v>673299.91999999993</v>
          </cell>
          <cell r="AL31">
            <v>533050.73</v>
          </cell>
          <cell r="AM31">
            <v>509600.54000000004</v>
          </cell>
          <cell r="AN31">
            <v>527655.99</v>
          </cell>
          <cell r="AO31">
            <v>540362</v>
          </cell>
          <cell r="AP31">
            <v>553149</v>
          </cell>
          <cell r="AQ31">
            <v>513721</v>
          </cell>
          <cell r="AR31">
            <v>575685</v>
          </cell>
          <cell r="AS31">
            <v>595209</v>
          </cell>
          <cell r="AT31">
            <v>422345.37</v>
          </cell>
          <cell r="AU31">
            <v>665285.75</v>
          </cell>
          <cell r="AV31">
            <v>622567.61</v>
          </cell>
          <cell r="AW31">
            <v>604454.05000000005</v>
          </cell>
          <cell r="AX31">
            <v>486986.38</v>
          </cell>
          <cell r="AY31">
            <v>496303.42</v>
          </cell>
          <cell r="AZ31">
            <v>586407.71</v>
          </cell>
          <cell r="BA31">
            <v>0</v>
          </cell>
          <cell r="BB31">
            <v>0</v>
          </cell>
          <cell r="BC31">
            <v>0</v>
          </cell>
          <cell r="BD31">
            <v>0</v>
          </cell>
          <cell r="BE31">
            <v>0</v>
          </cell>
          <cell r="BF31">
            <v>511275.91</v>
          </cell>
          <cell r="BG31">
            <v>589493.93999999994</v>
          </cell>
          <cell r="BH31">
            <v>611948.34</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row>
        <row r="32">
          <cell r="H32">
            <v>289</v>
          </cell>
          <cell r="I32" t="str">
            <v>Target (Budget)</v>
          </cell>
          <cell r="J32">
            <v>508156</v>
          </cell>
          <cell r="K32">
            <v>943719</v>
          </cell>
          <cell r="L32">
            <v>653344</v>
          </cell>
          <cell r="M32">
            <v>653344</v>
          </cell>
          <cell r="N32">
            <v>580750</v>
          </cell>
          <cell r="O32">
            <v>508156</v>
          </cell>
          <cell r="P32">
            <v>943719</v>
          </cell>
          <cell r="Q32">
            <v>508156</v>
          </cell>
          <cell r="R32">
            <v>435563</v>
          </cell>
          <cell r="S32">
            <v>508156</v>
          </cell>
          <cell r="T32">
            <v>508156</v>
          </cell>
          <cell r="U32">
            <v>508160</v>
          </cell>
          <cell r="V32">
            <v>467005</v>
          </cell>
          <cell r="W32">
            <v>867768</v>
          </cell>
          <cell r="X32">
            <v>600523</v>
          </cell>
          <cell r="Y32">
            <v>600592</v>
          </cell>
          <cell r="Z32">
            <v>533799</v>
          </cell>
          <cell r="AA32">
            <v>466936</v>
          </cell>
          <cell r="AB32">
            <v>867768</v>
          </cell>
          <cell r="AC32">
            <v>467005</v>
          </cell>
          <cell r="AD32">
            <v>400142</v>
          </cell>
          <cell r="AE32">
            <v>467005</v>
          </cell>
          <cell r="AF32">
            <v>467005</v>
          </cell>
          <cell r="AG32">
            <v>466936</v>
          </cell>
          <cell r="AH32">
            <v>485854</v>
          </cell>
          <cell r="AI32">
            <v>829200</v>
          </cell>
          <cell r="AJ32">
            <v>601128</v>
          </cell>
          <cell r="AK32">
            <v>548307</v>
          </cell>
          <cell r="AL32">
            <v>518312</v>
          </cell>
          <cell r="AM32">
            <v>515507</v>
          </cell>
          <cell r="AN32">
            <v>550242</v>
          </cell>
          <cell r="AO32">
            <v>536411</v>
          </cell>
          <cell r="AP32">
            <v>538675</v>
          </cell>
          <cell r="AQ32">
            <v>522581</v>
          </cell>
          <cell r="AR32">
            <v>536411</v>
          </cell>
          <cell r="AS32">
            <v>522506</v>
          </cell>
          <cell r="AT32">
            <v>509005</v>
          </cell>
          <cell r="AU32">
            <v>897799</v>
          </cell>
          <cell r="AV32">
            <v>522501</v>
          </cell>
          <cell r="AW32">
            <v>715734</v>
          </cell>
          <cell r="AX32">
            <v>532102</v>
          </cell>
          <cell r="AY32">
            <v>476708</v>
          </cell>
          <cell r="AZ32">
            <v>508742</v>
          </cell>
          <cell r="BA32">
            <v>0</v>
          </cell>
          <cell r="BB32">
            <v>0</v>
          </cell>
          <cell r="BC32">
            <v>0</v>
          </cell>
          <cell r="BD32">
            <v>0</v>
          </cell>
          <cell r="BE32">
            <v>0</v>
          </cell>
          <cell r="BF32">
            <v>415151</v>
          </cell>
          <cell r="BG32">
            <v>686561</v>
          </cell>
          <cell r="BH32">
            <v>638367</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row>
        <row r="33">
          <cell r="H33">
            <v>292</v>
          </cell>
          <cell r="I33" t="str">
            <v>YTD Actual</v>
          </cell>
          <cell r="J33">
            <v>478159</v>
          </cell>
          <cell r="K33">
            <v>1428840</v>
          </cell>
          <cell r="L33">
            <v>2036631</v>
          </cell>
          <cell r="M33">
            <v>2721003</v>
          </cell>
          <cell r="N33">
            <v>3178559</v>
          </cell>
          <cell r="O33">
            <v>3698315</v>
          </cell>
          <cell r="P33">
            <v>4349615</v>
          </cell>
          <cell r="Q33">
            <v>4857085</v>
          </cell>
          <cell r="R33">
            <v>5334487</v>
          </cell>
          <cell r="S33">
            <v>5890395</v>
          </cell>
          <cell r="T33">
            <v>6528952</v>
          </cell>
          <cell r="U33">
            <v>7052932</v>
          </cell>
          <cell r="V33">
            <v>483409</v>
          </cell>
          <cell r="W33">
            <v>1397801</v>
          </cell>
          <cell r="X33">
            <v>1892970</v>
          </cell>
          <cell r="Y33">
            <v>2571433</v>
          </cell>
          <cell r="Z33">
            <v>3113284</v>
          </cell>
          <cell r="AA33">
            <v>3601297</v>
          </cell>
          <cell r="AB33">
            <v>4169828</v>
          </cell>
          <cell r="AC33">
            <v>4673242</v>
          </cell>
          <cell r="AD33">
            <v>5189243</v>
          </cell>
          <cell r="AE33">
            <v>5683738</v>
          </cell>
          <cell r="AF33">
            <v>6276054</v>
          </cell>
          <cell r="AG33">
            <v>6798230</v>
          </cell>
          <cell r="AH33">
            <v>493182.93</v>
          </cell>
          <cell r="AI33">
            <v>1183401.55</v>
          </cell>
          <cell r="AJ33">
            <v>1775700.71</v>
          </cell>
          <cell r="AK33">
            <v>2449000.63</v>
          </cell>
          <cell r="AL33">
            <v>2982051.3599999994</v>
          </cell>
          <cell r="AM33">
            <v>3491651.9000000004</v>
          </cell>
          <cell r="AN33">
            <v>4019307.89</v>
          </cell>
          <cell r="AO33">
            <v>4559670</v>
          </cell>
          <cell r="AP33">
            <v>5112819</v>
          </cell>
          <cell r="AQ33">
            <v>5626540</v>
          </cell>
          <cell r="AR33">
            <v>6202225</v>
          </cell>
          <cell r="AS33">
            <v>6797435</v>
          </cell>
          <cell r="AT33">
            <v>422345.37</v>
          </cell>
          <cell r="AU33">
            <v>1087631.1200000001</v>
          </cell>
          <cell r="AV33">
            <v>1710198.73</v>
          </cell>
          <cell r="AW33">
            <v>2314652.7800000003</v>
          </cell>
          <cell r="AX33">
            <v>2801639.16</v>
          </cell>
          <cell r="AY33">
            <v>3297942.58</v>
          </cell>
          <cell r="AZ33">
            <v>3884350.29</v>
          </cell>
          <cell r="BA33">
            <v>0</v>
          </cell>
          <cell r="BB33">
            <v>0</v>
          </cell>
          <cell r="BC33">
            <v>0</v>
          </cell>
          <cell r="BD33">
            <v>0</v>
          </cell>
          <cell r="BE33">
            <v>0</v>
          </cell>
          <cell r="BF33">
            <v>511275.91</v>
          </cell>
          <cell r="BG33">
            <v>1100769.8500000001</v>
          </cell>
          <cell r="BH33">
            <v>1712718.1900000002</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row>
        <row r="34">
          <cell r="H34">
            <v>293</v>
          </cell>
          <cell r="I34" t="str">
            <v>YTD Target (Budget)</v>
          </cell>
          <cell r="J34">
            <v>508156</v>
          </cell>
          <cell r="K34">
            <v>1451875</v>
          </cell>
          <cell r="L34">
            <v>2105219</v>
          </cell>
          <cell r="M34">
            <v>2758563</v>
          </cell>
          <cell r="N34">
            <v>3339313</v>
          </cell>
          <cell r="O34">
            <v>3847469</v>
          </cell>
          <cell r="P34">
            <v>4791188</v>
          </cell>
          <cell r="Q34">
            <v>5299344</v>
          </cell>
          <cell r="R34">
            <v>5734907</v>
          </cell>
          <cell r="S34">
            <v>6243063</v>
          </cell>
          <cell r="T34">
            <v>6751219</v>
          </cell>
          <cell r="U34">
            <v>7259379</v>
          </cell>
          <cell r="V34">
            <v>467005</v>
          </cell>
          <cell r="W34">
            <v>1334773</v>
          </cell>
          <cell r="X34">
            <v>1935296</v>
          </cell>
          <cell r="Y34">
            <v>2535888</v>
          </cell>
          <cell r="Z34">
            <v>3069687</v>
          </cell>
          <cell r="AA34">
            <v>3536623</v>
          </cell>
          <cell r="AB34">
            <v>4404391</v>
          </cell>
          <cell r="AC34">
            <v>4871396</v>
          </cell>
          <cell r="AD34">
            <v>5271538</v>
          </cell>
          <cell r="AE34">
            <v>5738543</v>
          </cell>
          <cell r="AF34">
            <v>6205548</v>
          </cell>
          <cell r="AG34">
            <v>6672484</v>
          </cell>
          <cell r="AH34">
            <v>485854</v>
          </cell>
          <cell r="AI34">
            <v>1315054</v>
          </cell>
          <cell r="AJ34">
            <v>1916182</v>
          </cell>
          <cell r="AK34">
            <v>2464489</v>
          </cell>
          <cell r="AL34">
            <v>2982801</v>
          </cell>
          <cell r="AM34">
            <v>3498308</v>
          </cell>
          <cell r="AN34">
            <v>4048550</v>
          </cell>
          <cell r="AO34">
            <v>4584961</v>
          </cell>
          <cell r="AP34">
            <v>5123636</v>
          </cell>
          <cell r="AQ34">
            <v>5646217</v>
          </cell>
          <cell r="AR34">
            <v>6182628</v>
          </cell>
          <cell r="AS34">
            <v>6705137</v>
          </cell>
          <cell r="AT34">
            <v>509005</v>
          </cell>
          <cell r="AU34">
            <v>1406804</v>
          </cell>
          <cell r="AV34">
            <v>1929305</v>
          </cell>
          <cell r="AW34">
            <v>2645039</v>
          </cell>
          <cell r="AX34">
            <v>3177141</v>
          </cell>
          <cell r="AY34">
            <v>3653849</v>
          </cell>
          <cell r="AZ34">
            <v>4162591</v>
          </cell>
          <cell r="BA34">
            <v>0</v>
          </cell>
          <cell r="BB34">
            <v>0</v>
          </cell>
          <cell r="BC34">
            <v>0</v>
          </cell>
          <cell r="BD34">
            <v>0</v>
          </cell>
          <cell r="BE34">
            <v>0</v>
          </cell>
          <cell r="BF34">
            <v>415151</v>
          </cell>
          <cell r="BG34">
            <v>1101712</v>
          </cell>
          <cell r="BH34">
            <v>1740079</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row>
        <row r="35">
          <cell r="H35">
            <v>300</v>
          </cell>
          <cell r="I35" t="str">
            <v>Actual</v>
          </cell>
          <cell r="J35">
            <v>392015</v>
          </cell>
          <cell r="K35">
            <v>652214</v>
          </cell>
          <cell r="L35">
            <v>605926</v>
          </cell>
          <cell r="M35">
            <v>474834</v>
          </cell>
          <cell r="N35">
            <v>502024</v>
          </cell>
          <cell r="O35">
            <v>412839</v>
          </cell>
          <cell r="P35">
            <v>545086</v>
          </cell>
          <cell r="Q35">
            <v>477312</v>
          </cell>
          <cell r="R35">
            <v>451588</v>
          </cell>
          <cell r="S35">
            <v>487298</v>
          </cell>
          <cell r="T35">
            <v>612283</v>
          </cell>
          <cell r="U35">
            <v>547109</v>
          </cell>
          <cell r="V35">
            <v>375406</v>
          </cell>
          <cell r="W35">
            <v>609524</v>
          </cell>
          <cell r="X35">
            <v>488138</v>
          </cell>
          <cell r="Y35">
            <v>566498</v>
          </cell>
          <cell r="Z35">
            <v>303180</v>
          </cell>
          <cell r="AA35">
            <v>466040</v>
          </cell>
          <cell r="AB35">
            <v>452842</v>
          </cell>
          <cell r="AC35">
            <v>363591</v>
          </cell>
          <cell r="AD35">
            <v>460427</v>
          </cell>
          <cell r="AE35">
            <v>474064</v>
          </cell>
          <cell r="AF35">
            <v>561355</v>
          </cell>
          <cell r="AG35">
            <v>491515</v>
          </cell>
          <cell r="AH35">
            <v>398993.58999999997</v>
          </cell>
          <cell r="AI35">
            <v>508275.56000000006</v>
          </cell>
          <cell r="AJ35">
            <v>464176.02999999991</v>
          </cell>
          <cell r="AK35">
            <v>580497.07000000007</v>
          </cell>
          <cell r="AL35">
            <v>489612.72</v>
          </cell>
          <cell r="AM35">
            <v>442619.74999999988</v>
          </cell>
          <cell r="AN35">
            <v>442392.47</v>
          </cell>
          <cell r="AO35">
            <v>531980</v>
          </cell>
          <cell r="AP35">
            <v>461955</v>
          </cell>
          <cell r="AQ35">
            <v>441095</v>
          </cell>
          <cell r="AR35">
            <v>514959</v>
          </cell>
          <cell r="AS35">
            <v>607024</v>
          </cell>
          <cell r="AT35">
            <v>334607.79000000004</v>
          </cell>
          <cell r="AU35">
            <v>417529.02999999997</v>
          </cell>
          <cell r="AV35">
            <v>541899.97</v>
          </cell>
          <cell r="AW35">
            <v>535115.19000000006</v>
          </cell>
          <cell r="AX35">
            <v>509921.58999999997</v>
          </cell>
          <cell r="AY35">
            <v>379873.87000000005</v>
          </cell>
          <cell r="AZ35">
            <v>440857.02</v>
          </cell>
          <cell r="BA35">
            <v>0</v>
          </cell>
          <cell r="BB35">
            <v>0</v>
          </cell>
          <cell r="BC35">
            <v>0</v>
          </cell>
          <cell r="BD35">
            <v>0</v>
          </cell>
          <cell r="BE35">
            <v>0</v>
          </cell>
          <cell r="BF35">
            <v>359893.67999999993</v>
          </cell>
          <cell r="BG35">
            <v>412560.24</v>
          </cell>
          <cell r="BH35">
            <v>543155.88</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row>
        <row r="36">
          <cell r="H36">
            <v>301</v>
          </cell>
          <cell r="I36" t="str">
            <v>Target (Budget)</v>
          </cell>
          <cell r="J36">
            <v>332720</v>
          </cell>
          <cell r="K36">
            <v>630523</v>
          </cell>
          <cell r="L36">
            <v>530437</v>
          </cell>
          <cell r="M36">
            <v>522642</v>
          </cell>
          <cell r="N36">
            <v>577257</v>
          </cell>
          <cell r="O36">
            <v>476496</v>
          </cell>
          <cell r="P36">
            <v>603326</v>
          </cell>
          <cell r="Q36">
            <v>468701</v>
          </cell>
          <cell r="R36">
            <v>449525</v>
          </cell>
          <cell r="S36">
            <v>441504</v>
          </cell>
          <cell r="T36">
            <v>550287</v>
          </cell>
          <cell r="U36">
            <v>558071</v>
          </cell>
          <cell r="V36">
            <v>360882</v>
          </cell>
          <cell r="W36">
            <v>588927</v>
          </cell>
          <cell r="X36">
            <v>495949</v>
          </cell>
          <cell r="Y36">
            <v>486871</v>
          </cell>
          <cell r="Z36">
            <v>257060</v>
          </cell>
          <cell r="AA36">
            <v>437298</v>
          </cell>
          <cell r="AB36">
            <v>582681</v>
          </cell>
          <cell r="AC36">
            <v>431305</v>
          </cell>
          <cell r="AD36">
            <v>411765</v>
          </cell>
          <cell r="AE36">
            <v>430672</v>
          </cell>
          <cell r="AF36">
            <v>483737</v>
          </cell>
          <cell r="AG36">
            <v>485885</v>
          </cell>
          <cell r="AH36">
            <v>357310</v>
          </cell>
          <cell r="AI36">
            <v>604711</v>
          </cell>
          <cell r="AJ36">
            <v>485690</v>
          </cell>
          <cell r="AK36">
            <v>501934</v>
          </cell>
          <cell r="AL36">
            <v>452835</v>
          </cell>
          <cell r="AM36">
            <v>460007</v>
          </cell>
          <cell r="AN36">
            <v>486632</v>
          </cell>
          <cell r="AO36">
            <v>477926</v>
          </cell>
          <cell r="AP36">
            <v>461103</v>
          </cell>
          <cell r="AQ36">
            <v>453919</v>
          </cell>
          <cell r="AR36">
            <v>501946</v>
          </cell>
          <cell r="AS36">
            <v>509145</v>
          </cell>
          <cell r="AT36">
            <v>377762</v>
          </cell>
          <cell r="AU36">
            <v>637187</v>
          </cell>
          <cell r="AV36">
            <v>484319</v>
          </cell>
          <cell r="AW36">
            <v>593903</v>
          </cell>
          <cell r="AX36">
            <v>463490</v>
          </cell>
          <cell r="AY36">
            <v>423611</v>
          </cell>
          <cell r="AZ36">
            <v>446119</v>
          </cell>
          <cell r="BA36">
            <v>0</v>
          </cell>
          <cell r="BB36">
            <v>0</v>
          </cell>
          <cell r="BC36">
            <v>0</v>
          </cell>
          <cell r="BD36">
            <v>0</v>
          </cell>
          <cell r="BE36">
            <v>0</v>
          </cell>
          <cell r="BF36">
            <v>412449</v>
          </cell>
          <cell r="BG36">
            <v>427764</v>
          </cell>
          <cell r="BH36">
            <v>611726</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row>
        <row r="37">
          <cell r="H37">
            <v>304</v>
          </cell>
          <cell r="I37" t="str">
            <v>YTD Actual</v>
          </cell>
          <cell r="J37">
            <v>392015</v>
          </cell>
          <cell r="K37">
            <v>1044229</v>
          </cell>
          <cell r="L37">
            <v>1650155</v>
          </cell>
          <cell r="M37">
            <v>2124989</v>
          </cell>
          <cell r="N37">
            <v>2627013</v>
          </cell>
          <cell r="O37">
            <v>3039852</v>
          </cell>
          <cell r="P37">
            <v>3584938</v>
          </cell>
          <cell r="Q37">
            <v>4062250</v>
          </cell>
          <cell r="R37">
            <v>4513838</v>
          </cell>
          <cell r="S37">
            <v>5001136</v>
          </cell>
          <cell r="T37">
            <v>5613419</v>
          </cell>
          <cell r="U37">
            <v>6160528</v>
          </cell>
          <cell r="V37">
            <v>375406</v>
          </cell>
          <cell r="W37">
            <v>984930</v>
          </cell>
          <cell r="X37">
            <v>1473068</v>
          </cell>
          <cell r="Y37">
            <v>2039566</v>
          </cell>
          <cell r="Z37">
            <v>1566883</v>
          </cell>
          <cell r="AA37">
            <v>3071371</v>
          </cell>
          <cell r="AB37">
            <v>3524213</v>
          </cell>
          <cell r="AC37">
            <v>3887804</v>
          </cell>
          <cell r="AD37">
            <v>4348231</v>
          </cell>
          <cell r="AE37">
            <v>4822295</v>
          </cell>
          <cell r="AF37">
            <v>5383650</v>
          </cell>
          <cell r="AG37">
            <v>5875165</v>
          </cell>
          <cell r="AH37">
            <v>398993.58999999997</v>
          </cell>
          <cell r="AI37">
            <v>907269.15</v>
          </cell>
          <cell r="AJ37">
            <v>1371445.1799999997</v>
          </cell>
          <cell r="AK37">
            <v>1951942.25</v>
          </cell>
          <cell r="AL37">
            <v>2441554.9700000002</v>
          </cell>
          <cell r="AM37">
            <v>2884174.72</v>
          </cell>
          <cell r="AN37">
            <v>3326567.1900000004</v>
          </cell>
          <cell r="AO37">
            <v>3858547</v>
          </cell>
          <cell r="AP37">
            <v>4320502</v>
          </cell>
          <cell r="AQ37">
            <v>4779647</v>
          </cell>
          <cell r="AR37">
            <v>5294606</v>
          </cell>
          <cell r="AS37">
            <v>5901630</v>
          </cell>
          <cell r="AT37">
            <v>334607.79000000004</v>
          </cell>
          <cell r="AU37">
            <v>752136.82</v>
          </cell>
          <cell r="AV37">
            <v>1294036.79</v>
          </cell>
          <cell r="AW37">
            <v>1829151.98</v>
          </cell>
          <cell r="AX37">
            <v>2339073.5699999998</v>
          </cell>
          <cell r="AY37">
            <v>2718947.44</v>
          </cell>
          <cell r="AZ37">
            <v>3159804.46</v>
          </cell>
          <cell r="BA37">
            <v>0</v>
          </cell>
          <cell r="BB37">
            <v>0</v>
          </cell>
          <cell r="BC37">
            <v>0</v>
          </cell>
          <cell r="BD37">
            <v>0</v>
          </cell>
          <cell r="BE37">
            <v>0</v>
          </cell>
          <cell r="BF37">
            <v>359893.67999999993</v>
          </cell>
          <cell r="BG37">
            <v>772453.92</v>
          </cell>
          <cell r="BH37">
            <v>1315609.7999999998</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row>
        <row r="38">
          <cell r="H38">
            <v>305</v>
          </cell>
          <cell r="I38" t="str">
            <v>YTD Target (Budget)</v>
          </cell>
          <cell r="J38">
            <v>332720</v>
          </cell>
          <cell r="K38">
            <v>1017636</v>
          </cell>
          <cell r="L38">
            <v>1548073</v>
          </cell>
          <cell r="M38">
            <v>2070715</v>
          </cell>
          <cell r="N38">
            <v>2647972</v>
          </cell>
          <cell r="O38">
            <v>3124468</v>
          </cell>
          <cell r="P38">
            <v>3727794</v>
          </cell>
          <cell r="Q38">
            <v>4196495</v>
          </cell>
          <cell r="R38">
            <v>4646020</v>
          </cell>
          <cell r="S38">
            <v>5087524</v>
          </cell>
          <cell r="T38">
            <v>5637811</v>
          </cell>
          <cell r="U38">
            <v>6195882</v>
          </cell>
          <cell r="V38">
            <v>360882</v>
          </cell>
          <cell r="W38">
            <v>972376</v>
          </cell>
          <cell r="X38">
            <v>1468325</v>
          </cell>
          <cell r="Y38">
            <v>1955196</v>
          </cell>
          <cell r="Z38">
            <v>1441939</v>
          </cell>
          <cell r="AA38">
            <v>2901131</v>
          </cell>
          <cell r="AB38">
            <v>3483812</v>
          </cell>
          <cell r="AC38">
            <v>3915117</v>
          </cell>
          <cell r="AD38">
            <v>4326882</v>
          </cell>
          <cell r="AE38">
            <v>4757554</v>
          </cell>
          <cell r="AF38">
            <v>5241291</v>
          </cell>
          <cell r="AG38">
            <v>5727176</v>
          </cell>
          <cell r="AH38">
            <v>357310</v>
          </cell>
          <cell r="AI38">
            <v>962021</v>
          </cell>
          <cell r="AJ38">
            <v>1447711</v>
          </cell>
          <cell r="AK38">
            <v>1949645</v>
          </cell>
          <cell r="AL38">
            <v>2402480</v>
          </cell>
          <cell r="AM38">
            <v>2862487</v>
          </cell>
          <cell r="AN38">
            <v>3349119</v>
          </cell>
          <cell r="AO38">
            <v>3827045</v>
          </cell>
          <cell r="AP38">
            <v>4288148</v>
          </cell>
          <cell r="AQ38">
            <v>4742067</v>
          </cell>
          <cell r="AR38">
            <v>5244013</v>
          </cell>
          <cell r="AS38">
            <v>5753158</v>
          </cell>
          <cell r="AT38">
            <v>377762</v>
          </cell>
          <cell r="AU38">
            <v>1014949</v>
          </cell>
          <cell r="AV38">
            <v>1499268</v>
          </cell>
          <cell r="AW38">
            <v>2093171</v>
          </cell>
          <cell r="AX38">
            <v>2556661</v>
          </cell>
          <cell r="AY38">
            <v>2980272</v>
          </cell>
          <cell r="AZ38">
            <v>3426391</v>
          </cell>
          <cell r="BA38">
            <v>0</v>
          </cell>
          <cell r="BB38">
            <v>0</v>
          </cell>
          <cell r="BC38">
            <v>0</v>
          </cell>
          <cell r="BD38">
            <v>0</v>
          </cell>
          <cell r="BE38">
            <v>0</v>
          </cell>
          <cell r="BF38">
            <v>412449</v>
          </cell>
          <cell r="BG38">
            <v>785799</v>
          </cell>
          <cell r="BH38">
            <v>1397525</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row>
        <row r="39">
          <cell r="H39">
            <v>324</v>
          </cell>
          <cell r="I39" t="str">
            <v>Overtime$</v>
          </cell>
          <cell r="J39">
            <v>6562</v>
          </cell>
          <cell r="K39">
            <v>17079</v>
          </cell>
          <cell r="L39">
            <v>16916</v>
          </cell>
          <cell r="M39">
            <v>12863</v>
          </cell>
          <cell r="N39">
            <v>9824</v>
          </cell>
          <cell r="O39">
            <v>2165</v>
          </cell>
          <cell r="P39">
            <v>9288</v>
          </cell>
          <cell r="Q39">
            <v>4543</v>
          </cell>
          <cell r="R39">
            <v>1984</v>
          </cell>
          <cell r="S39">
            <v>3714</v>
          </cell>
          <cell r="T39">
            <v>10183</v>
          </cell>
          <cell r="U39">
            <v>1122</v>
          </cell>
          <cell r="V39">
            <v>1367</v>
          </cell>
          <cell r="W39">
            <v>11531</v>
          </cell>
          <cell r="X39">
            <v>20754</v>
          </cell>
          <cell r="Y39">
            <v>15933</v>
          </cell>
          <cell r="Z39">
            <v>13121</v>
          </cell>
          <cell r="AA39">
            <v>3271</v>
          </cell>
          <cell r="AB39">
            <v>8875</v>
          </cell>
          <cell r="AC39">
            <v>1126</v>
          </cell>
          <cell r="AD39">
            <v>2725</v>
          </cell>
          <cell r="AE39">
            <v>8044</v>
          </cell>
          <cell r="AF39">
            <v>12374</v>
          </cell>
          <cell r="AG39">
            <v>1013</v>
          </cell>
          <cell r="AH39">
            <v>1921.33</v>
          </cell>
          <cell r="AI39">
            <v>5658.99</v>
          </cell>
          <cell r="AJ39">
            <v>20366.5</v>
          </cell>
          <cell r="AK39">
            <v>7613.9699999999993</v>
          </cell>
          <cell r="AL39">
            <v>4420.88</v>
          </cell>
          <cell r="AM39">
            <v>7486.09</v>
          </cell>
          <cell r="AN39">
            <v>6600.7699999999995</v>
          </cell>
          <cell r="AO39">
            <v>5505</v>
          </cell>
          <cell r="AP39">
            <v>2336</v>
          </cell>
          <cell r="AQ39">
            <v>3841</v>
          </cell>
          <cell r="AR39">
            <v>17919</v>
          </cell>
          <cell r="AS39">
            <v>3994</v>
          </cell>
          <cell r="AT39">
            <v>2389.7199999999998</v>
          </cell>
          <cell r="AU39">
            <v>6180.35</v>
          </cell>
          <cell r="AV39">
            <v>15652.17</v>
          </cell>
          <cell r="AW39">
            <v>10112.469999999999</v>
          </cell>
          <cell r="AX39">
            <v>1910.9</v>
          </cell>
          <cell r="AY39">
            <v>2146.63</v>
          </cell>
          <cell r="AZ39">
            <v>1830.16</v>
          </cell>
          <cell r="BA39">
            <v>0</v>
          </cell>
          <cell r="BB39">
            <v>0</v>
          </cell>
          <cell r="BC39">
            <v>0</v>
          </cell>
          <cell r="BD39">
            <v>0</v>
          </cell>
          <cell r="BE39">
            <v>0</v>
          </cell>
          <cell r="BF39">
            <v>8320.9</v>
          </cell>
          <cell r="BG39">
            <v>6964.67</v>
          </cell>
          <cell r="BH39">
            <v>25364.21</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row>
        <row r="40">
          <cell r="H40">
            <v>325</v>
          </cell>
          <cell r="I40" t="str">
            <v>Empl_Benefits</v>
          </cell>
          <cell r="J40">
            <v>36802</v>
          </cell>
          <cell r="K40">
            <v>55293</v>
          </cell>
          <cell r="L40">
            <v>58161</v>
          </cell>
          <cell r="M40">
            <v>58554</v>
          </cell>
          <cell r="N40">
            <v>69923</v>
          </cell>
          <cell r="O40">
            <v>51562</v>
          </cell>
          <cell r="P40">
            <v>53945</v>
          </cell>
          <cell r="Q40">
            <v>52883</v>
          </cell>
          <cell r="R40">
            <v>53126</v>
          </cell>
          <cell r="S40">
            <v>52751</v>
          </cell>
          <cell r="T40">
            <v>71906</v>
          </cell>
          <cell r="U40">
            <v>69653</v>
          </cell>
          <cell r="V40">
            <v>36151</v>
          </cell>
          <cell r="W40">
            <v>52725</v>
          </cell>
          <cell r="X40">
            <v>54837</v>
          </cell>
          <cell r="Y40">
            <v>51115</v>
          </cell>
          <cell r="Z40">
            <v>66590</v>
          </cell>
          <cell r="AA40">
            <v>49116</v>
          </cell>
          <cell r="AB40">
            <v>50736</v>
          </cell>
          <cell r="AC40">
            <v>49340</v>
          </cell>
          <cell r="AD40">
            <v>49513</v>
          </cell>
          <cell r="AE40">
            <v>50770</v>
          </cell>
          <cell r="AF40">
            <v>67044</v>
          </cell>
          <cell r="AG40">
            <v>66196</v>
          </cell>
          <cell r="AH40">
            <v>32614.969999999998</v>
          </cell>
          <cell r="AI40">
            <v>50099.99</v>
          </cell>
          <cell r="AJ40">
            <v>54919.41</v>
          </cell>
          <cell r="AK40">
            <v>69999.149999999994</v>
          </cell>
          <cell r="AL40">
            <v>52536.200000000004</v>
          </cell>
          <cell r="AM40">
            <v>52805.859999999993</v>
          </cell>
          <cell r="AN40">
            <v>52194.700000000004</v>
          </cell>
          <cell r="AO40">
            <v>50605</v>
          </cell>
          <cell r="AP40">
            <v>49723</v>
          </cell>
          <cell r="AQ40">
            <v>50154</v>
          </cell>
          <cell r="AR40">
            <v>68248</v>
          </cell>
          <cell r="AS40">
            <v>68266</v>
          </cell>
          <cell r="AT40">
            <v>30283.49</v>
          </cell>
          <cell r="AU40">
            <v>51434.7</v>
          </cell>
          <cell r="AV40">
            <v>54726.87</v>
          </cell>
          <cell r="AW40">
            <v>69430.069999999992</v>
          </cell>
          <cell r="AX40">
            <v>55950.79</v>
          </cell>
          <cell r="AY40">
            <v>51851.64</v>
          </cell>
          <cell r="AZ40">
            <v>51915.37</v>
          </cell>
          <cell r="BA40">
            <v>0</v>
          </cell>
          <cell r="BB40">
            <v>0</v>
          </cell>
          <cell r="BC40">
            <v>0</v>
          </cell>
          <cell r="BD40">
            <v>0</v>
          </cell>
          <cell r="BE40">
            <v>0</v>
          </cell>
          <cell r="BF40">
            <v>31344</v>
          </cell>
          <cell r="BG40">
            <v>52585.72</v>
          </cell>
          <cell r="BH40">
            <v>72063.14</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row>
        <row r="41">
          <cell r="H41">
            <v>326</v>
          </cell>
          <cell r="I41" t="str">
            <v>Total Personnel</v>
          </cell>
          <cell r="J41">
            <v>148739</v>
          </cell>
          <cell r="K41">
            <v>227888</v>
          </cell>
          <cell r="L41">
            <v>237143</v>
          </cell>
          <cell r="M41">
            <v>234301</v>
          </cell>
          <cell r="N41">
            <v>274234</v>
          </cell>
          <cell r="O41">
            <v>200119</v>
          </cell>
          <cell r="P41">
            <v>212809</v>
          </cell>
          <cell r="Q41">
            <v>207252</v>
          </cell>
          <cell r="R41">
            <v>206432</v>
          </cell>
          <cell r="S41">
            <v>190574</v>
          </cell>
          <cell r="T41">
            <v>279943</v>
          </cell>
          <cell r="U41">
            <v>266411</v>
          </cell>
          <cell r="V41">
            <v>139119</v>
          </cell>
          <cell r="W41">
            <v>231212</v>
          </cell>
          <cell r="X41">
            <v>221940</v>
          </cell>
          <cell r="Y41">
            <v>201592</v>
          </cell>
          <cell r="Z41">
            <v>262512</v>
          </cell>
          <cell r="AA41">
            <v>196205</v>
          </cell>
          <cell r="AB41">
            <v>197280</v>
          </cell>
          <cell r="AC41">
            <v>187738</v>
          </cell>
          <cell r="AD41">
            <v>189276</v>
          </cell>
          <cell r="AE41">
            <v>196971</v>
          </cell>
          <cell r="AF41">
            <v>260586</v>
          </cell>
          <cell r="AG41">
            <v>251086</v>
          </cell>
          <cell r="AH41">
            <v>125291.72</v>
          </cell>
          <cell r="AI41">
            <v>193139.83</v>
          </cell>
          <cell r="AJ41">
            <v>217714.4</v>
          </cell>
          <cell r="AK41">
            <v>267000.64</v>
          </cell>
          <cell r="AL41">
            <v>200216.29</v>
          </cell>
          <cell r="AM41">
            <v>208942.51999999993</v>
          </cell>
          <cell r="AN41">
            <v>201435.58</v>
          </cell>
          <cell r="AO41">
            <v>194002</v>
          </cell>
          <cell r="AP41">
            <v>188323</v>
          </cell>
          <cell r="AQ41">
            <v>190862</v>
          </cell>
          <cell r="AR41">
            <v>267588</v>
          </cell>
          <cell r="AS41">
            <v>264485</v>
          </cell>
          <cell r="AT41">
            <v>116109.19</v>
          </cell>
          <cell r="AU41">
            <v>200365.02000000002</v>
          </cell>
          <cell r="AV41">
            <v>215732.08000000002</v>
          </cell>
          <cell r="AW41">
            <v>269238.77</v>
          </cell>
          <cell r="AX41">
            <v>213076.88000000003</v>
          </cell>
          <cell r="AY41">
            <v>195084.08000000002</v>
          </cell>
          <cell r="AZ41">
            <v>190403.31</v>
          </cell>
          <cell r="BA41">
            <v>0</v>
          </cell>
          <cell r="BB41">
            <v>0</v>
          </cell>
          <cell r="BC41">
            <v>0</v>
          </cell>
          <cell r="BD41">
            <v>0</v>
          </cell>
          <cell r="BE41">
            <v>0</v>
          </cell>
          <cell r="BF41">
            <v>120047.45999999999</v>
          </cell>
          <cell r="BG41">
            <v>199349.24000000002</v>
          </cell>
          <cell r="BH41">
            <v>289232.61</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row>
        <row r="42">
          <cell r="H42">
            <v>327</v>
          </cell>
          <cell r="I42" t="str">
            <v>Target (Budget) Overtime$</v>
          </cell>
          <cell r="J42">
            <v>1980</v>
          </cell>
          <cell r="K42">
            <v>11825</v>
          </cell>
          <cell r="L42">
            <v>5280</v>
          </cell>
          <cell r="M42">
            <v>5280</v>
          </cell>
          <cell r="N42">
            <v>7260</v>
          </cell>
          <cell r="O42">
            <v>5280</v>
          </cell>
          <cell r="P42">
            <v>4620</v>
          </cell>
          <cell r="Q42">
            <v>5280</v>
          </cell>
          <cell r="R42">
            <v>5280</v>
          </cell>
          <cell r="S42">
            <v>4620</v>
          </cell>
          <cell r="T42">
            <v>7260</v>
          </cell>
          <cell r="U42">
            <v>7260</v>
          </cell>
          <cell r="V42">
            <v>3803</v>
          </cell>
          <cell r="W42">
            <v>976</v>
          </cell>
          <cell r="X42">
            <v>9236</v>
          </cell>
          <cell r="Y42">
            <v>131336</v>
          </cell>
          <cell r="Z42">
            <v>5433</v>
          </cell>
          <cell r="AA42">
            <v>1630</v>
          </cell>
          <cell r="AB42">
            <v>4346</v>
          </cell>
          <cell r="AC42">
            <v>2716</v>
          </cell>
          <cell r="AD42">
            <v>1087</v>
          </cell>
          <cell r="AE42">
            <v>2173</v>
          </cell>
          <cell r="AF42">
            <v>5433</v>
          </cell>
          <cell r="AG42">
            <v>1087</v>
          </cell>
          <cell r="AH42">
            <v>6580</v>
          </cell>
          <cell r="AI42">
            <v>23500</v>
          </cell>
          <cell r="AJ42">
            <v>6580</v>
          </cell>
          <cell r="AK42">
            <v>6580</v>
          </cell>
          <cell r="AL42">
            <v>5640</v>
          </cell>
          <cell r="AM42">
            <v>5640</v>
          </cell>
          <cell r="AN42">
            <v>6580</v>
          </cell>
          <cell r="AO42">
            <v>6580</v>
          </cell>
          <cell r="AP42">
            <v>6580</v>
          </cell>
          <cell r="AQ42">
            <v>6580</v>
          </cell>
          <cell r="AR42">
            <v>6580</v>
          </cell>
          <cell r="AS42">
            <v>6580</v>
          </cell>
          <cell r="AT42">
            <v>1602</v>
          </cell>
          <cell r="AU42">
            <v>9136</v>
          </cell>
          <cell r="AV42">
            <v>16601</v>
          </cell>
          <cell r="AW42">
            <v>12272</v>
          </cell>
          <cell r="AX42">
            <v>9954</v>
          </cell>
          <cell r="AY42">
            <v>2284</v>
          </cell>
          <cell r="AZ42">
            <v>6817</v>
          </cell>
          <cell r="BA42">
            <v>0</v>
          </cell>
          <cell r="BB42">
            <v>0</v>
          </cell>
          <cell r="BC42">
            <v>0</v>
          </cell>
          <cell r="BD42">
            <v>0</v>
          </cell>
          <cell r="BE42">
            <v>0</v>
          </cell>
          <cell r="BF42">
            <v>1518</v>
          </cell>
          <cell r="BG42">
            <v>2268</v>
          </cell>
          <cell r="BH42">
            <v>18773</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row>
        <row r="43">
          <cell r="H43">
            <v>328</v>
          </cell>
          <cell r="I43" t="str">
            <v>Target (Budget) Empl_Benefits</v>
          </cell>
          <cell r="J43">
            <v>21117</v>
          </cell>
          <cell r="K43">
            <v>56314</v>
          </cell>
          <cell r="L43">
            <v>56314</v>
          </cell>
          <cell r="M43">
            <v>56314</v>
          </cell>
          <cell r="N43">
            <v>77431</v>
          </cell>
          <cell r="O43">
            <v>56314</v>
          </cell>
          <cell r="P43">
            <v>49275</v>
          </cell>
          <cell r="Q43">
            <v>56314</v>
          </cell>
          <cell r="R43">
            <v>56314</v>
          </cell>
          <cell r="S43">
            <v>49275</v>
          </cell>
          <cell r="T43">
            <v>77431</v>
          </cell>
          <cell r="U43">
            <v>77428</v>
          </cell>
          <cell r="V43">
            <v>20389</v>
          </cell>
          <cell r="W43">
            <v>54311</v>
          </cell>
          <cell r="X43">
            <v>54222</v>
          </cell>
          <cell r="Y43">
            <v>53955</v>
          </cell>
          <cell r="Z43">
            <v>66778</v>
          </cell>
          <cell r="AA43">
            <v>52978</v>
          </cell>
          <cell r="AB43">
            <v>53422</v>
          </cell>
          <cell r="AC43">
            <v>53156</v>
          </cell>
          <cell r="AD43">
            <v>52889</v>
          </cell>
          <cell r="AE43">
            <v>53066</v>
          </cell>
          <cell r="AF43">
            <v>66778</v>
          </cell>
          <cell r="AG43">
            <v>66062</v>
          </cell>
          <cell r="AH43">
            <v>33535</v>
          </cell>
          <cell r="AI43">
            <v>55810</v>
          </cell>
          <cell r="AJ43">
            <v>53001</v>
          </cell>
          <cell r="AK43">
            <v>65979</v>
          </cell>
          <cell r="AL43">
            <v>52845</v>
          </cell>
          <cell r="AM43">
            <v>52845</v>
          </cell>
          <cell r="AN43">
            <v>53001</v>
          </cell>
          <cell r="AO43">
            <v>59490</v>
          </cell>
          <cell r="AP43">
            <v>53001</v>
          </cell>
          <cell r="AQ43">
            <v>53001</v>
          </cell>
          <cell r="AR43">
            <v>65979</v>
          </cell>
          <cell r="AS43">
            <v>65979</v>
          </cell>
          <cell r="AT43">
            <v>32371</v>
          </cell>
          <cell r="AU43">
            <v>53839</v>
          </cell>
          <cell r="AV43">
            <v>55095</v>
          </cell>
          <cell r="AW43">
            <v>67723</v>
          </cell>
          <cell r="AX43">
            <v>53972</v>
          </cell>
          <cell r="AY43">
            <v>52762</v>
          </cell>
          <cell r="AZ43">
            <v>53461</v>
          </cell>
          <cell r="BA43">
            <v>0</v>
          </cell>
          <cell r="BB43">
            <v>0</v>
          </cell>
          <cell r="BC43">
            <v>0</v>
          </cell>
          <cell r="BD43">
            <v>0</v>
          </cell>
          <cell r="BE43">
            <v>0</v>
          </cell>
          <cell r="BF43">
            <v>50986</v>
          </cell>
          <cell r="BG43">
            <v>51209</v>
          </cell>
          <cell r="BH43">
            <v>64748</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row>
        <row r="44">
          <cell r="H44">
            <v>329</v>
          </cell>
          <cell r="I44" t="str">
            <v>Target (Budget) Total Personnel</v>
          </cell>
          <cell r="J44">
            <v>81586</v>
          </cell>
          <cell r="K44">
            <v>217597</v>
          </cell>
          <cell r="L44">
            <v>217567</v>
          </cell>
          <cell r="M44">
            <v>217567</v>
          </cell>
          <cell r="N44">
            <v>299153</v>
          </cell>
          <cell r="O44">
            <v>217567</v>
          </cell>
          <cell r="P44">
            <v>190370</v>
          </cell>
          <cell r="Q44">
            <v>217597</v>
          </cell>
          <cell r="R44">
            <v>217567</v>
          </cell>
          <cell r="S44">
            <v>190370</v>
          </cell>
          <cell r="T44">
            <v>299153</v>
          </cell>
          <cell r="U44">
            <v>299149</v>
          </cell>
          <cell r="V44">
            <v>128722</v>
          </cell>
          <cell r="W44">
            <v>207363</v>
          </cell>
          <cell r="X44">
            <v>206755</v>
          </cell>
          <cell r="Y44">
            <v>204910</v>
          </cell>
          <cell r="Z44">
            <v>251577</v>
          </cell>
          <cell r="AA44">
            <v>197905</v>
          </cell>
          <cell r="AB44">
            <v>201117</v>
          </cell>
          <cell r="AC44">
            <v>199145</v>
          </cell>
          <cell r="AD44">
            <v>197273</v>
          </cell>
          <cell r="AE44">
            <v>198512</v>
          </cell>
          <cell r="AF44">
            <v>251577</v>
          </cell>
          <cell r="AG44">
            <v>246528</v>
          </cell>
          <cell r="AH44">
            <v>127755</v>
          </cell>
          <cell r="AI44">
            <v>219505</v>
          </cell>
          <cell r="AJ44">
            <v>199776</v>
          </cell>
          <cell r="AK44">
            <v>247791</v>
          </cell>
          <cell r="AL44">
            <v>198692</v>
          </cell>
          <cell r="AM44">
            <v>198680</v>
          </cell>
          <cell r="AN44">
            <v>199776</v>
          </cell>
          <cell r="AO44">
            <v>223783</v>
          </cell>
          <cell r="AP44">
            <v>199776</v>
          </cell>
          <cell r="AQ44">
            <v>199776</v>
          </cell>
          <cell r="AR44">
            <v>247803</v>
          </cell>
          <cell r="AS44">
            <v>247786</v>
          </cell>
          <cell r="AT44">
            <v>121519</v>
          </cell>
          <cell r="AU44">
            <v>204126</v>
          </cell>
          <cell r="AV44">
            <v>213103</v>
          </cell>
          <cell r="AW44">
            <v>256642</v>
          </cell>
          <cell r="AX44">
            <v>205077</v>
          </cell>
          <cell r="AY44">
            <v>196453</v>
          </cell>
          <cell r="AZ44">
            <v>201429</v>
          </cell>
          <cell r="BA44">
            <v>0</v>
          </cell>
          <cell r="BB44">
            <v>0</v>
          </cell>
          <cell r="BC44">
            <v>0</v>
          </cell>
          <cell r="BD44">
            <v>0</v>
          </cell>
          <cell r="BE44">
            <v>0</v>
          </cell>
          <cell r="BF44">
            <v>195071</v>
          </cell>
          <cell r="BG44">
            <v>197900</v>
          </cell>
          <cell r="BH44">
            <v>300506</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row>
        <row r="45">
          <cell r="H45">
            <v>330</v>
          </cell>
          <cell r="I45" t="str">
            <v>YTD Overtime$</v>
          </cell>
          <cell r="J45">
            <v>6562</v>
          </cell>
          <cell r="K45">
            <v>16618</v>
          </cell>
          <cell r="L45">
            <v>40557</v>
          </cell>
          <cell r="M45">
            <v>53420</v>
          </cell>
          <cell r="N45">
            <v>63244</v>
          </cell>
          <cell r="O45">
            <v>65409</v>
          </cell>
          <cell r="P45">
            <v>74697</v>
          </cell>
          <cell r="Q45">
            <v>79241</v>
          </cell>
          <cell r="R45">
            <v>81225</v>
          </cell>
          <cell r="S45">
            <v>84939</v>
          </cell>
          <cell r="T45">
            <v>95123</v>
          </cell>
          <cell r="U45">
            <v>96245</v>
          </cell>
          <cell r="V45">
            <v>1367</v>
          </cell>
          <cell r="W45">
            <v>12897</v>
          </cell>
          <cell r="X45">
            <v>33652</v>
          </cell>
          <cell r="Y45">
            <v>49585</v>
          </cell>
          <cell r="Z45">
            <v>62706</v>
          </cell>
          <cell r="AA45">
            <v>65977</v>
          </cell>
          <cell r="AB45">
            <v>74851</v>
          </cell>
          <cell r="AC45">
            <v>75978</v>
          </cell>
          <cell r="AD45">
            <v>78702</v>
          </cell>
          <cell r="AE45">
            <v>86746</v>
          </cell>
          <cell r="AF45">
            <v>99121</v>
          </cell>
          <cell r="AG45">
            <v>100134</v>
          </cell>
          <cell r="AH45">
            <v>1921.33</v>
          </cell>
          <cell r="AI45">
            <v>7580.32</v>
          </cell>
          <cell r="AJ45">
            <v>27946.82</v>
          </cell>
          <cell r="AK45">
            <v>35560.79</v>
          </cell>
          <cell r="AL45">
            <v>39981.670000000006</v>
          </cell>
          <cell r="AM45">
            <v>47467.76</v>
          </cell>
          <cell r="AN45">
            <v>54068.53</v>
          </cell>
          <cell r="AO45">
            <v>59573</v>
          </cell>
          <cell r="AP45">
            <v>61909</v>
          </cell>
          <cell r="AQ45">
            <v>65751</v>
          </cell>
          <cell r="AR45">
            <v>83669</v>
          </cell>
          <cell r="AS45">
            <v>87663</v>
          </cell>
          <cell r="AT45">
            <v>2389.7199999999998</v>
          </cell>
          <cell r="AU45">
            <v>8570.07</v>
          </cell>
          <cell r="AV45">
            <v>24222.239999999998</v>
          </cell>
          <cell r="AW45">
            <v>34334.71</v>
          </cell>
          <cell r="AX45">
            <v>36245.61</v>
          </cell>
          <cell r="AY45">
            <v>38392.240000000005</v>
          </cell>
          <cell r="AZ45">
            <v>40222.400000000001</v>
          </cell>
          <cell r="BA45">
            <v>0</v>
          </cell>
          <cell r="BB45">
            <v>0</v>
          </cell>
          <cell r="BC45">
            <v>0</v>
          </cell>
          <cell r="BD45">
            <v>0</v>
          </cell>
          <cell r="BE45">
            <v>0</v>
          </cell>
          <cell r="BF45">
            <v>8320.9</v>
          </cell>
          <cell r="BG45">
            <v>15285.57</v>
          </cell>
          <cell r="BH45">
            <v>40649.78</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row>
        <row r="46">
          <cell r="H46">
            <v>331</v>
          </cell>
          <cell r="I46" t="str">
            <v>YTD Empl_Benefits</v>
          </cell>
          <cell r="J46">
            <v>36802</v>
          </cell>
          <cell r="K46">
            <v>92095</v>
          </cell>
          <cell r="L46">
            <v>150256</v>
          </cell>
          <cell r="M46">
            <v>208811</v>
          </cell>
          <cell r="N46">
            <v>278734</v>
          </cell>
          <cell r="O46">
            <v>330296</v>
          </cell>
          <cell r="P46">
            <v>384241</v>
          </cell>
          <cell r="Q46">
            <v>437124</v>
          </cell>
          <cell r="R46">
            <v>490250</v>
          </cell>
          <cell r="S46">
            <v>543001</v>
          </cell>
          <cell r="T46">
            <v>614907</v>
          </cell>
          <cell r="U46">
            <v>684560</v>
          </cell>
          <cell r="V46">
            <v>36151</v>
          </cell>
          <cell r="W46">
            <v>88876</v>
          </cell>
          <cell r="X46">
            <v>143712</v>
          </cell>
          <cell r="Y46">
            <v>194827</v>
          </cell>
          <cell r="Z46">
            <v>261417</v>
          </cell>
          <cell r="AA46">
            <v>310552</v>
          </cell>
          <cell r="AB46">
            <v>361288</v>
          </cell>
          <cell r="AC46">
            <v>410628</v>
          </cell>
          <cell r="AD46">
            <v>460141</v>
          </cell>
          <cell r="AE46">
            <v>510912</v>
          </cell>
          <cell r="AF46">
            <v>577959</v>
          </cell>
          <cell r="AG46">
            <v>644152</v>
          </cell>
          <cell r="AH46">
            <v>32614.969999999998</v>
          </cell>
          <cell r="AI46">
            <v>82714.960000000006</v>
          </cell>
          <cell r="AJ46">
            <v>137634.37</v>
          </cell>
          <cell r="AK46">
            <v>207633.52000000002</v>
          </cell>
          <cell r="AL46">
            <v>260169.72</v>
          </cell>
          <cell r="AM46">
            <v>312975.57999999996</v>
          </cell>
          <cell r="AN46">
            <v>365170.28</v>
          </cell>
          <cell r="AO46">
            <v>415776</v>
          </cell>
          <cell r="AP46">
            <v>465498</v>
          </cell>
          <cell r="AQ46">
            <v>515653</v>
          </cell>
          <cell r="AR46">
            <v>583900</v>
          </cell>
          <cell r="AS46">
            <v>652166</v>
          </cell>
          <cell r="AT46">
            <v>30283.49</v>
          </cell>
          <cell r="AU46">
            <v>81718.19</v>
          </cell>
          <cell r="AV46">
            <v>136445.06</v>
          </cell>
          <cell r="AW46">
            <v>205875.12999999998</v>
          </cell>
          <cell r="AX46">
            <v>261825.91999999998</v>
          </cell>
          <cell r="AY46">
            <v>313677.56</v>
          </cell>
          <cell r="AZ46">
            <v>365592.92999999993</v>
          </cell>
          <cell r="BA46">
            <v>0</v>
          </cell>
          <cell r="BB46">
            <v>0</v>
          </cell>
          <cell r="BC46">
            <v>0</v>
          </cell>
          <cell r="BD46">
            <v>0</v>
          </cell>
          <cell r="BE46">
            <v>0</v>
          </cell>
          <cell r="BF46">
            <v>31344</v>
          </cell>
          <cell r="BG46">
            <v>83929.720000000016</v>
          </cell>
          <cell r="BH46">
            <v>155992.86000000002</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row>
        <row r="47">
          <cell r="H47">
            <v>332</v>
          </cell>
          <cell r="I47" t="str">
            <v>YTD Total Benefits</v>
          </cell>
          <cell r="J47">
            <v>148739</v>
          </cell>
          <cell r="K47">
            <v>376627</v>
          </cell>
          <cell r="L47">
            <v>613770</v>
          </cell>
          <cell r="M47">
            <v>848071</v>
          </cell>
          <cell r="N47">
            <v>1122305</v>
          </cell>
          <cell r="O47">
            <v>1322424</v>
          </cell>
          <cell r="P47">
            <v>1535233</v>
          </cell>
          <cell r="Q47">
            <v>1742485</v>
          </cell>
          <cell r="R47">
            <v>1948917</v>
          </cell>
          <cell r="S47">
            <v>2139491</v>
          </cell>
          <cell r="T47">
            <v>2419433</v>
          </cell>
          <cell r="U47">
            <v>2685844</v>
          </cell>
          <cell r="V47">
            <v>139119</v>
          </cell>
          <cell r="W47">
            <v>352331</v>
          </cell>
          <cell r="X47">
            <v>574271</v>
          </cell>
          <cell r="Y47">
            <v>775863</v>
          </cell>
          <cell r="Z47">
            <v>1038375</v>
          </cell>
          <cell r="AA47">
            <v>1234653</v>
          </cell>
          <cell r="AB47">
            <v>1431933</v>
          </cell>
          <cell r="AC47">
            <v>1619671</v>
          </cell>
          <cell r="AD47">
            <v>1808947</v>
          </cell>
          <cell r="AE47">
            <v>2005918</v>
          </cell>
          <cell r="AF47">
            <v>2266503</v>
          </cell>
          <cell r="AG47">
            <v>2517589</v>
          </cell>
          <cell r="AH47">
            <v>125291.72</v>
          </cell>
          <cell r="AI47">
            <v>318431.55000000005</v>
          </cell>
          <cell r="AJ47">
            <v>536145.94999999995</v>
          </cell>
          <cell r="AK47">
            <v>803146.59000000008</v>
          </cell>
          <cell r="AL47">
            <v>1003362.88</v>
          </cell>
          <cell r="AM47">
            <v>1212305.3999999999</v>
          </cell>
          <cell r="AN47">
            <v>1413740.98</v>
          </cell>
          <cell r="AO47">
            <v>1607743</v>
          </cell>
          <cell r="AP47">
            <v>1796066</v>
          </cell>
          <cell r="AQ47">
            <v>1986929</v>
          </cell>
          <cell r="AR47">
            <v>2254517</v>
          </cell>
          <cell r="AS47">
            <v>2519002</v>
          </cell>
          <cell r="AT47">
            <v>116109.19</v>
          </cell>
          <cell r="AU47">
            <v>316474.21000000002</v>
          </cell>
          <cell r="AV47">
            <v>532206.29</v>
          </cell>
          <cell r="AW47">
            <v>801445.05999999994</v>
          </cell>
          <cell r="AX47">
            <v>1014521.94</v>
          </cell>
          <cell r="AY47">
            <v>1209606.02</v>
          </cell>
          <cell r="AZ47">
            <v>1400009.33</v>
          </cell>
          <cell r="BA47">
            <v>0</v>
          </cell>
          <cell r="BB47">
            <v>0</v>
          </cell>
          <cell r="BC47">
            <v>0</v>
          </cell>
          <cell r="BD47">
            <v>0</v>
          </cell>
          <cell r="BE47">
            <v>0</v>
          </cell>
          <cell r="BF47">
            <v>120047.45999999999</v>
          </cell>
          <cell r="BG47">
            <v>319396.7</v>
          </cell>
          <cell r="BH47">
            <v>608629.30999999994</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row>
        <row r="48">
          <cell r="H48">
            <v>333</v>
          </cell>
          <cell r="I48" t="str">
            <v>YTD Target (Budget) Overtime$</v>
          </cell>
          <cell r="J48">
            <v>1980</v>
          </cell>
          <cell r="K48">
            <v>19215</v>
          </cell>
          <cell r="L48">
            <v>13860</v>
          </cell>
          <cell r="M48">
            <v>19140</v>
          </cell>
          <cell r="N48">
            <v>26400</v>
          </cell>
          <cell r="O48">
            <v>31680</v>
          </cell>
          <cell r="P48">
            <v>36300</v>
          </cell>
          <cell r="Q48">
            <v>41580</v>
          </cell>
          <cell r="R48">
            <v>46860</v>
          </cell>
          <cell r="S48">
            <v>51480</v>
          </cell>
          <cell r="T48">
            <v>58740</v>
          </cell>
          <cell r="U48">
            <v>66000</v>
          </cell>
          <cell r="V48">
            <v>3803</v>
          </cell>
          <cell r="W48">
            <v>13582</v>
          </cell>
          <cell r="X48">
            <v>22818</v>
          </cell>
          <cell r="Y48">
            <v>30424</v>
          </cell>
          <cell r="Z48">
            <v>35857</v>
          </cell>
          <cell r="AA48">
            <v>37487</v>
          </cell>
          <cell r="AB48">
            <v>41833</v>
          </cell>
          <cell r="AC48">
            <v>44549</v>
          </cell>
          <cell r="AD48">
            <v>45636</v>
          </cell>
          <cell r="AE48">
            <v>47809</v>
          </cell>
          <cell r="AF48">
            <v>53242</v>
          </cell>
          <cell r="AG48">
            <v>54329</v>
          </cell>
          <cell r="AH48">
            <v>6580</v>
          </cell>
          <cell r="AI48">
            <v>30080</v>
          </cell>
          <cell r="AJ48">
            <v>36660</v>
          </cell>
          <cell r="AK48">
            <v>43240</v>
          </cell>
          <cell r="AL48">
            <v>48880</v>
          </cell>
          <cell r="AM48">
            <v>54520</v>
          </cell>
          <cell r="AN48">
            <v>61100</v>
          </cell>
          <cell r="AO48">
            <v>67680</v>
          </cell>
          <cell r="AP48">
            <v>74260</v>
          </cell>
          <cell r="AQ48">
            <v>80840</v>
          </cell>
          <cell r="AR48">
            <v>87420</v>
          </cell>
          <cell r="AS48">
            <v>94000</v>
          </cell>
          <cell r="AT48">
            <v>1602</v>
          </cell>
          <cell r="AU48">
            <v>10738</v>
          </cell>
          <cell r="AV48">
            <v>27339</v>
          </cell>
          <cell r="AW48">
            <v>39611</v>
          </cell>
          <cell r="AX48">
            <v>49565</v>
          </cell>
          <cell r="AY48">
            <v>51849</v>
          </cell>
          <cell r="AZ48">
            <v>58666</v>
          </cell>
          <cell r="BA48">
            <v>0</v>
          </cell>
          <cell r="BB48">
            <v>0</v>
          </cell>
          <cell r="BC48">
            <v>0</v>
          </cell>
          <cell r="BD48">
            <v>0</v>
          </cell>
          <cell r="BE48">
            <v>0</v>
          </cell>
          <cell r="BF48">
            <v>1518</v>
          </cell>
          <cell r="BG48">
            <v>3786</v>
          </cell>
          <cell r="BH48">
            <v>22559</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row>
        <row r="49">
          <cell r="H49">
            <v>334</v>
          </cell>
          <cell r="I49" t="str">
            <v>YTD Target (Budget) Empl_Benefits</v>
          </cell>
          <cell r="J49">
            <v>21117</v>
          </cell>
          <cell r="K49">
            <v>91511</v>
          </cell>
          <cell r="L49">
            <v>147825</v>
          </cell>
          <cell r="M49">
            <v>204139</v>
          </cell>
          <cell r="N49">
            <v>281570</v>
          </cell>
          <cell r="O49">
            <v>337884</v>
          </cell>
          <cell r="P49">
            <v>387159</v>
          </cell>
          <cell r="Q49">
            <v>443473</v>
          </cell>
          <cell r="R49">
            <v>499787</v>
          </cell>
          <cell r="S49">
            <v>549062</v>
          </cell>
          <cell r="T49">
            <v>626493</v>
          </cell>
          <cell r="U49">
            <v>703921</v>
          </cell>
          <cell r="V49">
            <v>20389</v>
          </cell>
          <cell r="W49">
            <v>94466</v>
          </cell>
          <cell r="X49">
            <v>148688</v>
          </cell>
          <cell r="Y49">
            <v>202643</v>
          </cell>
          <cell r="Z49">
            <v>269421</v>
          </cell>
          <cell r="AA49">
            <v>322399</v>
          </cell>
          <cell r="AB49">
            <v>375821</v>
          </cell>
          <cell r="AC49">
            <v>428977</v>
          </cell>
          <cell r="AD49">
            <v>481866</v>
          </cell>
          <cell r="AE49">
            <v>534932</v>
          </cell>
          <cell r="AF49">
            <v>601710</v>
          </cell>
          <cell r="AG49">
            <v>667772</v>
          </cell>
          <cell r="AH49">
            <v>33535</v>
          </cell>
          <cell r="AI49">
            <v>89345</v>
          </cell>
          <cell r="AJ49">
            <v>142346</v>
          </cell>
          <cell r="AK49">
            <v>208325</v>
          </cell>
          <cell r="AL49">
            <v>261170</v>
          </cell>
          <cell r="AM49">
            <v>314015</v>
          </cell>
          <cell r="AN49">
            <v>367016</v>
          </cell>
          <cell r="AO49">
            <v>426506</v>
          </cell>
          <cell r="AP49">
            <v>479507</v>
          </cell>
          <cell r="AQ49">
            <v>532508</v>
          </cell>
          <cell r="AR49">
            <v>598487</v>
          </cell>
          <cell r="AS49">
            <v>664466</v>
          </cell>
          <cell r="AT49">
            <v>32371</v>
          </cell>
          <cell r="AU49">
            <v>86210</v>
          </cell>
          <cell r="AV49">
            <v>141305</v>
          </cell>
          <cell r="AW49">
            <v>209028</v>
          </cell>
          <cell r="AX49">
            <v>263000</v>
          </cell>
          <cell r="AY49">
            <v>315762</v>
          </cell>
          <cell r="AZ49">
            <v>369223</v>
          </cell>
          <cell r="BA49">
            <v>0</v>
          </cell>
          <cell r="BB49">
            <v>0</v>
          </cell>
          <cell r="BC49">
            <v>0</v>
          </cell>
          <cell r="BD49">
            <v>0</v>
          </cell>
          <cell r="BE49">
            <v>0</v>
          </cell>
          <cell r="BF49">
            <v>50986</v>
          </cell>
          <cell r="BG49">
            <v>102195</v>
          </cell>
          <cell r="BH49">
            <v>166943</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row>
        <row r="50">
          <cell r="H50">
            <v>335</v>
          </cell>
          <cell r="I50" t="str">
            <v>YTD Target (Budget) Total Benefits</v>
          </cell>
          <cell r="J50">
            <v>81586</v>
          </cell>
          <cell r="K50">
            <v>353546</v>
          </cell>
          <cell r="L50">
            <v>571113</v>
          </cell>
          <cell r="M50">
            <v>788680</v>
          </cell>
          <cell r="N50">
            <v>1087833</v>
          </cell>
          <cell r="O50">
            <v>1305400</v>
          </cell>
          <cell r="P50">
            <v>1495770</v>
          </cell>
          <cell r="Q50">
            <v>1713337</v>
          </cell>
          <cell r="R50">
            <v>1930904</v>
          </cell>
          <cell r="S50">
            <v>2121274</v>
          </cell>
          <cell r="T50">
            <v>626493</v>
          </cell>
          <cell r="U50">
            <v>2719576</v>
          </cell>
          <cell r="V50">
            <v>128722</v>
          </cell>
          <cell r="W50">
            <v>358652</v>
          </cell>
          <cell r="X50">
            <v>565407</v>
          </cell>
          <cell r="Y50">
            <v>770317</v>
          </cell>
          <cell r="Z50">
            <v>1021894</v>
          </cell>
          <cell r="AA50">
            <v>1219799</v>
          </cell>
          <cell r="AB50">
            <v>1420916</v>
          </cell>
          <cell r="AC50">
            <v>1620061</v>
          </cell>
          <cell r="AD50">
            <v>1817334</v>
          </cell>
          <cell r="AE50">
            <v>2015846</v>
          </cell>
          <cell r="AF50">
            <v>2267423</v>
          </cell>
          <cell r="AG50">
            <v>2513951</v>
          </cell>
          <cell r="AH50">
            <v>127755</v>
          </cell>
          <cell r="AI50">
            <v>347260</v>
          </cell>
          <cell r="AJ50">
            <v>547036</v>
          </cell>
          <cell r="AK50">
            <v>794827</v>
          </cell>
          <cell r="AL50">
            <v>993519</v>
          </cell>
          <cell r="AM50">
            <v>1192199</v>
          </cell>
          <cell r="AN50">
            <v>1391975</v>
          </cell>
          <cell r="AO50">
            <v>1615758</v>
          </cell>
          <cell r="AP50">
            <v>1815534</v>
          </cell>
          <cell r="AQ50">
            <v>2015310</v>
          </cell>
          <cell r="AR50">
            <v>2263113</v>
          </cell>
          <cell r="AS50">
            <v>2510899</v>
          </cell>
          <cell r="AT50">
            <v>121519</v>
          </cell>
          <cell r="AU50">
            <v>325645</v>
          </cell>
          <cell r="AV50">
            <v>538748</v>
          </cell>
          <cell r="AW50">
            <v>795390</v>
          </cell>
          <cell r="AX50">
            <v>1000467</v>
          </cell>
          <cell r="AY50">
            <v>1196920</v>
          </cell>
          <cell r="AZ50">
            <v>1398349</v>
          </cell>
          <cell r="BA50">
            <v>0</v>
          </cell>
          <cell r="BB50">
            <v>0</v>
          </cell>
          <cell r="BC50">
            <v>0</v>
          </cell>
          <cell r="BD50">
            <v>0</v>
          </cell>
          <cell r="BE50">
            <v>0</v>
          </cell>
          <cell r="BF50">
            <v>195071</v>
          </cell>
          <cell r="BG50">
            <v>338528</v>
          </cell>
          <cell r="BH50">
            <v>639034</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row>
        <row r="51">
          <cell r="H51">
            <v>336</v>
          </cell>
          <cell r="I51" t="str">
            <v>Actual</v>
          </cell>
          <cell r="J51">
            <v>86144</v>
          </cell>
          <cell r="K51">
            <v>298467</v>
          </cell>
          <cell r="L51">
            <v>1865</v>
          </cell>
          <cell r="M51">
            <v>209538</v>
          </cell>
          <cell r="N51">
            <v>-44468</v>
          </cell>
          <cell r="O51">
            <v>106917</v>
          </cell>
          <cell r="P51">
            <v>106214</v>
          </cell>
          <cell r="Q51">
            <v>30158</v>
          </cell>
          <cell r="R51">
            <v>25814</v>
          </cell>
          <cell r="S51">
            <v>68610</v>
          </cell>
          <cell r="T51">
            <v>26275</v>
          </cell>
          <cell r="U51">
            <v>-23130</v>
          </cell>
          <cell r="V51">
            <v>108003</v>
          </cell>
          <cell r="W51">
            <v>304869</v>
          </cell>
          <cell r="X51">
            <v>7030</v>
          </cell>
          <cell r="Y51">
            <v>111966</v>
          </cell>
          <cell r="Z51">
            <v>-23841</v>
          </cell>
          <cell r="AA51">
            <v>21972</v>
          </cell>
          <cell r="AB51">
            <v>115689</v>
          </cell>
          <cell r="AC51">
            <v>139823</v>
          </cell>
          <cell r="AD51">
            <v>55574</v>
          </cell>
          <cell r="AE51">
            <v>20431</v>
          </cell>
          <cell r="AF51">
            <v>30961</v>
          </cell>
          <cell r="AG51">
            <v>30661</v>
          </cell>
          <cell r="AH51">
            <v>94189.340000000026</v>
          </cell>
          <cell r="AI51">
            <v>181943.05999999994</v>
          </cell>
          <cell r="AJ51">
            <v>128123.13000000012</v>
          </cell>
          <cell r="AK51">
            <v>92802.84999999986</v>
          </cell>
          <cell r="AL51">
            <v>43438.010000000009</v>
          </cell>
          <cell r="AM51">
            <v>66980.790000000154</v>
          </cell>
          <cell r="AN51">
            <v>85263.520000000019</v>
          </cell>
          <cell r="AO51">
            <v>8383</v>
          </cell>
          <cell r="AP51">
            <v>91193</v>
          </cell>
          <cell r="AQ51">
            <v>72626</v>
          </cell>
          <cell r="AR51">
            <v>60726</v>
          </cell>
          <cell r="AS51">
            <v>-11815</v>
          </cell>
          <cell r="AT51">
            <v>87737.579999999958</v>
          </cell>
          <cell r="AU51">
            <v>247756.72000000003</v>
          </cell>
          <cell r="AV51">
            <v>80667.640000000014</v>
          </cell>
          <cell r="AW51">
            <v>69338.859999999986</v>
          </cell>
          <cell r="AX51">
            <v>-22935.209999999963</v>
          </cell>
          <cell r="AY51">
            <v>116429.54999999993</v>
          </cell>
          <cell r="AZ51">
            <v>145550.68999999994</v>
          </cell>
          <cell r="BA51">
            <v>0</v>
          </cell>
          <cell r="BB51">
            <v>0</v>
          </cell>
          <cell r="BC51">
            <v>0</v>
          </cell>
          <cell r="BD51">
            <v>0</v>
          </cell>
          <cell r="BE51">
            <v>0</v>
          </cell>
          <cell r="BF51">
            <v>151382.23000000004</v>
          </cell>
          <cell r="BG51">
            <v>176933.69999999995</v>
          </cell>
          <cell r="BH51">
            <v>68792.459999999963</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row>
        <row r="52">
          <cell r="H52">
            <v>337</v>
          </cell>
          <cell r="I52" t="str">
            <v>Target (Budget)</v>
          </cell>
          <cell r="J52">
            <v>175436</v>
          </cell>
          <cell r="K52">
            <v>313196</v>
          </cell>
          <cell r="L52">
            <v>122907</v>
          </cell>
          <cell r="M52">
            <v>130702</v>
          </cell>
          <cell r="N52">
            <v>3493</v>
          </cell>
          <cell r="O52">
            <v>31660</v>
          </cell>
          <cell r="P52">
            <v>340393</v>
          </cell>
          <cell r="Q52">
            <v>39455</v>
          </cell>
          <cell r="R52">
            <v>-13962</v>
          </cell>
          <cell r="S52">
            <v>66652</v>
          </cell>
          <cell r="T52">
            <v>-42131</v>
          </cell>
          <cell r="U52">
            <v>-49911</v>
          </cell>
          <cell r="V52">
            <v>106123</v>
          </cell>
          <cell r="W52">
            <v>278841</v>
          </cell>
          <cell r="X52">
            <v>104574</v>
          </cell>
          <cell r="Y52">
            <v>113721</v>
          </cell>
          <cell r="Z52">
            <v>25162</v>
          </cell>
          <cell r="AA52">
            <v>29638</v>
          </cell>
          <cell r="AB52">
            <v>285087</v>
          </cell>
          <cell r="AC52">
            <v>35700</v>
          </cell>
          <cell r="AD52">
            <v>-11623</v>
          </cell>
          <cell r="AE52">
            <v>36333</v>
          </cell>
          <cell r="AF52">
            <v>-16732</v>
          </cell>
          <cell r="AG52">
            <v>-18949</v>
          </cell>
          <cell r="AH52">
            <v>128544</v>
          </cell>
          <cell r="AI52">
            <v>224489</v>
          </cell>
          <cell r="AJ52">
            <v>115438</v>
          </cell>
          <cell r="AK52">
            <v>46373</v>
          </cell>
          <cell r="AL52">
            <v>65477</v>
          </cell>
          <cell r="AM52">
            <v>55500</v>
          </cell>
          <cell r="AN52">
            <v>63610</v>
          </cell>
          <cell r="AO52">
            <v>58485</v>
          </cell>
          <cell r="AP52">
            <v>77572</v>
          </cell>
          <cell r="AQ52">
            <v>68662</v>
          </cell>
          <cell r="AR52">
            <v>34465</v>
          </cell>
          <cell r="AS52">
            <v>13361</v>
          </cell>
          <cell r="AT52">
            <v>131243</v>
          </cell>
          <cell r="AU52">
            <v>260612</v>
          </cell>
          <cell r="AV52">
            <v>38182</v>
          </cell>
          <cell r="AW52">
            <v>121831</v>
          </cell>
          <cell r="AX52">
            <v>68612</v>
          </cell>
          <cell r="AY52">
            <v>53097</v>
          </cell>
          <cell r="AZ52">
            <v>62623</v>
          </cell>
          <cell r="BA52">
            <v>0</v>
          </cell>
          <cell r="BB52">
            <v>0</v>
          </cell>
          <cell r="BC52">
            <v>0</v>
          </cell>
          <cell r="BD52">
            <v>0</v>
          </cell>
          <cell r="BE52">
            <v>0</v>
          </cell>
          <cell r="BF52">
            <v>2702</v>
          </cell>
          <cell r="BG52">
            <v>258797</v>
          </cell>
          <cell r="BH52">
            <v>26641</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row>
        <row r="53">
          <cell r="H53">
            <v>340</v>
          </cell>
          <cell r="I53" t="str">
            <v>YTD Actual</v>
          </cell>
          <cell r="J53">
            <v>86144</v>
          </cell>
          <cell r="K53">
            <v>384612</v>
          </cell>
          <cell r="L53">
            <v>386476</v>
          </cell>
          <cell r="M53">
            <v>596014</v>
          </cell>
          <cell r="N53">
            <v>551546</v>
          </cell>
          <cell r="O53">
            <v>658463</v>
          </cell>
          <cell r="P53">
            <v>764677</v>
          </cell>
          <cell r="Q53">
            <v>794835</v>
          </cell>
          <cell r="R53">
            <v>820649</v>
          </cell>
          <cell r="S53">
            <v>889259</v>
          </cell>
          <cell r="T53">
            <v>915533</v>
          </cell>
          <cell r="U53">
            <v>892403</v>
          </cell>
          <cell r="V53">
            <v>108003</v>
          </cell>
          <cell r="W53">
            <v>412871</v>
          </cell>
          <cell r="X53">
            <v>419902</v>
          </cell>
          <cell r="Y53">
            <v>531867</v>
          </cell>
          <cell r="Z53">
            <v>508026</v>
          </cell>
          <cell r="AA53">
            <v>529925</v>
          </cell>
          <cell r="AB53">
            <v>645615</v>
          </cell>
          <cell r="AC53">
            <v>785438</v>
          </cell>
          <cell r="AD53">
            <v>841012</v>
          </cell>
          <cell r="AE53">
            <v>861443</v>
          </cell>
          <cell r="AF53">
            <v>897403</v>
          </cell>
          <cell r="AG53">
            <v>923065</v>
          </cell>
          <cell r="AH53">
            <v>94189.340000000026</v>
          </cell>
          <cell r="AI53">
            <v>276132.40000000002</v>
          </cell>
          <cell r="AJ53">
            <v>404255.53000000026</v>
          </cell>
          <cell r="AK53">
            <v>497058.37999999989</v>
          </cell>
          <cell r="AL53">
            <v>540496.3899999992</v>
          </cell>
          <cell r="AM53">
            <v>607477.18000000017</v>
          </cell>
          <cell r="AN53">
            <v>692740.69999999972</v>
          </cell>
          <cell r="AO53">
            <v>701123</v>
          </cell>
          <cell r="AP53">
            <v>792317</v>
          </cell>
          <cell r="AQ53">
            <v>846894</v>
          </cell>
          <cell r="AR53">
            <v>907619</v>
          </cell>
          <cell r="AS53">
            <v>895804</v>
          </cell>
          <cell r="AT53">
            <v>87737.579999999958</v>
          </cell>
          <cell r="AU53">
            <v>335494.30000000016</v>
          </cell>
          <cell r="AV53">
            <v>416161.93999999994</v>
          </cell>
          <cell r="AW53">
            <v>485500.80000000028</v>
          </cell>
          <cell r="AX53">
            <v>462565.59000000032</v>
          </cell>
          <cell r="AY53">
            <v>578995.14000000013</v>
          </cell>
          <cell r="AZ53">
            <v>724545.83000000007</v>
          </cell>
          <cell r="BA53">
            <v>0</v>
          </cell>
          <cell r="BB53">
            <v>0</v>
          </cell>
          <cell r="BC53">
            <v>0</v>
          </cell>
          <cell r="BD53">
            <v>0</v>
          </cell>
          <cell r="BE53">
            <v>0</v>
          </cell>
          <cell r="BF53">
            <v>151382.23000000004</v>
          </cell>
          <cell r="BG53">
            <v>328315.93000000005</v>
          </cell>
          <cell r="BH53">
            <v>397108.39000000036</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row>
        <row r="54">
          <cell r="H54">
            <v>341</v>
          </cell>
          <cell r="I54" t="str">
            <v>YTD Target (Budget)</v>
          </cell>
          <cell r="J54">
            <v>175436</v>
          </cell>
          <cell r="K54">
            <v>434239</v>
          </cell>
          <cell r="L54">
            <v>557146</v>
          </cell>
          <cell r="M54">
            <v>687848</v>
          </cell>
          <cell r="N54">
            <v>691341</v>
          </cell>
          <cell r="O54">
            <v>723001</v>
          </cell>
          <cell r="P54">
            <v>1063394</v>
          </cell>
          <cell r="Q54">
            <v>1102849</v>
          </cell>
          <cell r="R54">
            <v>1088887</v>
          </cell>
          <cell r="S54">
            <v>1155539</v>
          </cell>
          <cell r="T54">
            <v>1113408</v>
          </cell>
          <cell r="U54">
            <v>1063497</v>
          </cell>
          <cell r="V54">
            <v>106123</v>
          </cell>
          <cell r="W54">
            <v>362397</v>
          </cell>
          <cell r="X54">
            <v>466971</v>
          </cell>
          <cell r="Y54">
            <v>580692</v>
          </cell>
          <cell r="Z54">
            <v>605854</v>
          </cell>
          <cell r="AA54">
            <v>635492</v>
          </cell>
          <cell r="AB54">
            <v>920579</v>
          </cell>
          <cell r="AC54">
            <v>956279</v>
          </cell>
          <cell r="AD54">
            <v>944656</v>
          </cell>
          <cell r="AE54">
            <v>980989</v>
          </cell>
          <cell r="AF54">
            <v>964257</v>
          </cell>
          <cell r="AG54">
            <v>945308</v>
          </cell>
          <cell r="AH54">
            <v>128544</v>
          </cell>
          <cell r="AI54">
            <v>353033</v>
          </cell>
          <cell r="AJ54">
            <v>468471</v>
          </cell>
          <cell r="AK54">
            <v>514844</v>
          </cell>
          <cell r="AL54">
            <v>580321</v>
          </cell>
          <cell r="AM54">
            <v>635821</v>
          </cell>
          <cell r="AN54">
            <v>699431</v>
          </cell>
          <cell r="AO54">
            <v>757916</v>
          </cell>
          <cell r="AP54">
            <v>835488</v>
          </cell>
          <cell r="AQ54">
            <v>904150</v>
          </cell>
          <cell r="AR54">
            <v>938615</v>
          </cell>
          <cell r="AS54">
            <v>951976</v>
          </cell>
          <cell r="AT54">
            <v>131243</v>
          </cell>
          <cell r="AU54">
            <v>391855</v>
          </cell>
          <cell r="AV54">
            <v>430037</v>
          </cell>
          <cell r="AW54">
            <v>551868</v>
          </cell>
          <cell r="AX54">
            <v>620480</v>
          </cell>
          <cell r="AY54">
            <v>673577</v>
          </cell>
          <cell r="AZ54">
            <v>736200</v>
          </cell>
          <cell r="BA54">
            <v>0</v>
          </cell>
          <cell r="BB54">
            <v>0</v>
          </cell>
          <cell r="BC54">
            <v>0</v>
          </cell>
          <cell r="BD54">
            <v>0</v>
          </cell>
          <cell r="BE54">
            <v>0</v>
          </cell>
          <cell r="BF54">
            <v>2702</v>
          </cell>
          <cell r="BG54">
            <v>315913</v>
          </cell>
          <cell r="BH54">
            <v>342554</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row>
        <row r="55">
          <cell r="H55">
            <v>348</v>
          </cell>
          <cell r="I55" t="str">
            <v>Actual</v>
          </cell>
          <cell r="J55">
            <v>4502</v>
          </cell>
          <cell r="K55">
            <v>188682</v>
          </cell>
          <cell r="L55">
            <v>-113868</v>
          </cell>
          <cell r="M55">
            <v>121072</v>
          </cell>
          <cell r="N55">
            <v>-54712</v>
          </cell>
          <cell r="O55">
            <v>8236</v>
          </cell>
          <cell r="P55">
            <v>34741</v>
          </cell>
          <cell r="Q55">
            <v>-38001</v>
          </cell>
          <cell r="R55">
            <v>-67998</v>
          </cell>
          <cell r="S55">
            <v>-19060</v>
          </cell>
          <cell r="T55">
            <v>-50519</v>
          </cell>
          <cell r="U55">
            <v>-119399</v>
          </cell>
          <cell r="V55">
            <v>43106</v>
          </cell>
          <cell r="W55">
            <v>224893</v>
          </cell>
          <cell r="X55">
            <v>-75479</v>
          </cell>
          <cell r="Y55">
            <v>48114</v>
          </cell>
          <cell r="Z55">
            <v>-88988</v>
          </cell>
          <cell r="AA55">
            <v>-61042</v>
          </cell>
          <cell r="AB55">
            <v>50746</v>
          </cell>
          <cell r="AC55">
            <v>80816</v>
          </cell>
          <cell r="AD55">
            <v>-26098</v>
          </cell>
          <cell r="AE55">
            <v>-40670</v>
          </cell>
          <cell r="AF55">
            <v>-34481</v>
          </cell>
          <cell r="AG55">
            <v>-53100</v>
          </cell>
          <cell r="AH55">
            <v>53345.170000000027</v>
          </cell>
          <cell r="AI55">
            <v>110068.59999999993</v>
          </cell>
          <cell r="AJ55">
            <v>43625.060000000114</v>
          </cell>
          <cell r="AK55">
            <v>31464.999999999862</v>
          </cell>
          <cell r="AL55">
            <v>-7779.5999999999985</v>
          </cell>
          <cell r="AM55">
            <v>-15357.299999999848</v>
          </cell>
          <cell r="AN55">
            <v>31781.440000000024</v>
          </cell>
          <cell r="AO55">
            <v>-38731</v>
          </cell>
          <cell r="AP55">
            <v>15509</v>
          </cell>
          <cell r="AQ55">
            <v>20687</v>
          </cell>
          <cell r="AR55">
            <v>256</v>
          </cell>
          <cell r="AS55">
            <v>-87403</v>
          </cell>
          <cell r="AT55">
            <v>41074.739999999962</v>
          </cell>
          <cell r="AU55">
            <v>185266.28000000003</v>
          </cell>
          <cell r="AV55">
            <v>17178.290000000015</v>
          </cell>
          <cell r="AW55">
            <v>34.719999999979336</v>
          </cell>
          <cell r="AX55">
            <v>-66308.239999999962</v>
          </cell>
          <cell r="AY55">
            <v>47904.159999999916</v>
          </cell>
          <cell r="AZ55">
            <v>105346.19999999995</v>
          </cell>
          <cell r="BA55">
            <v>0</v>
          </cell>
          <cell r="BB55">
            <v>0</v>
          </cell>
          <cell r="BC55">
            <v>0</v>
          </cell>
          <cell r="BD55">
            <v>0</v>
          </cell>
          <cell r="BE55">
            <v>0</v>
          </cell>
          <cell r="BF55">
            <v>101065.95000000004</v>
          </cell>
          <cell r="BG55">
            <v>117020.64999999997</v>
          </cell>
          <cell r="BH55">
            <v>-1250.4500000000407</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row>
        <row r="56">
          <cell r="H56">
            <v>349</v>
          </cell>
          <cell r="I56" t="str">
            <v>Target (Budget)</v>
          </cell>
          <cell r="J56">
            <v>106983</v>
          </cell>
          <cell r="K56">
            <v>228078</v>
          </cell>
          <cell r="L56">
            <v>22807</v>
          </cell>
          <cell r="M56">
            <v>56510</v>
          </cell>
          <cell r="N56">
            <v>-68106</v>
          </cell>
          <cell r="O56">
            <v>-63255</v>
          </cell>
          <cell r="P56">
            <v>255830</v>
          </cell>
          <cell r="Q56">
            <v>-28998</v>
          </cell>
          <cell r="R56">
            <v>-105730</v>
          </cell>
          <cell r="S56">
            <v>-1247</v>
          </cell>
          <cell r="T56">
            <v>-109475</v>
          </cell>
          <cell r="U56">
            <v>-143164</v>
          </cell>
          <cell r="V56">
            <v>42496</v>
          </cell>
          <cell r="W56">
            <v>201470</v>
          </cell>
          <cell r="X56">
            <v>10241</v>
          </cell>
          <cell r="Y56">
            <v>45512</v>
          </cell>
          <cell r="Z56">
            <v>-40756</v>
          </cell>
          <cell r="AA56">
            <v>-60113</v>
          </cell>
          <cell r="AB56">
            <v>207716</v>
          </cell>
          <cell r="AC56">
            <v>-27927</v>
          </cell>
          <cell r="AD56">
            <v>-99084</v>
          </cell>
          <cell r="AE56">
            <v>-27294</v>
          </cell>
          <cell r="AF56">
            <v>-80359</v>
          </cell>
          <cell r="AG56">
            <v>-108711</v>
          </cell>
          <cell r="AH56">
            <v>79754</v>
          </cell>
          <cell r="AI56">
            <v>151143</v>
          </cell>
          <cell r="AJ56">
            <v>32350</v>
          </cell>
          <cell r="AK56">
            <v>-7328</v>
          </cell>
          <cell r="AL56">
            <v>11776</v>
          </cell>
          <cell r="AM56">
            <v>-30176</v>
          </cell>
          <cell r="AN56">
            <v>9909</v>
          </cell>
          <cell r="AO56">
            <v>4784</v>
          </cell>
          <cell r="AP56">
            <v>1896</v>
          </cell>
          <cell r="AQ56">
            <v>14961</v>
          </cell>
          <cell r="AR56">
            <v>-19236</v>
          </cell>
          <cell r="AS56">
            <v>-62312</v>
          </cell>
          <cell r="AT56">
            <v>75100</v>
          </cell>
          <cell r="AU56">
            <v>189988</v>
          </cell>
          <cell r="AV56">
            <v>-41643</v>
          </cell>
          <cell r="AW56">
            <v>56252</v>
          </cell>
          <cell r="AX56">
            <v>14468</v>
          </cell>
          <cell r="AY56">
            <v>-21901</v>
          </cell>
          <cell r="AZ56">
            <v>6480</v>
          </cell>
          <cell r="BA56">
            <v>0</v>
          </cell>
          <cell r="BB56">
            <v>0</v>
          </cell>
          <cell r="BC56">
            <v>0</v>
          </cell>
          <cell r="BD56">
            <v>0</v>
          </cell>
          <cell r="BE56">
            <v>0</v>
          </cell>
          <cell r="BF56">
            <v>-57648</v>
          </cell>
          <cell r="BG56">
            <v>198190</v>
          </cell>
          <cell r="BH56">
            <v>-39208</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row>
        <row r="57">
          <cell r="H57">
            <v>352</v>
          </cell>
          <cell r="I57" t="str">
            <v>YTD Actual</v>
          </cell>
          <cell r="J57">
            <v>4502</v>
          </cell>
          <cell r="K57">
            <v>193184</v>
          </cell>
          <cell r="L57">
            <v>79316</v>
          </cell>
          <cell r="M57">
            <v>200388</v>
          </cell>
          <cell r="N57">
            <v>145676</v>
          </cell>
          <cell r="O57">
            <v>153912</v>
          </cell>
          <cell r="P57">
            <v>188653</v>
          </cell>
          <cell r="Q57">
            <v>150651</v>
          </cell>
          <cell r="R57">
            <v>82654</v>
          </cell>
          <cell r="S57">
            <v>63594</v>
          </cell>
          <cell r="T57">
            <v>13075</v>
          </cell>
          <cell r="U57">
            <v>-106324</v>
          </cell>
          <cell r="V57">
            <v>43106</v>
          </cell>
          <cell r="W57">
            <v>267999</v>
          </cell>
          <cell r="X57">
            <v>192520</v>
          </cell>
          <cell r="Y57">
            <v>260742</v>
          </cell>
          <cell r="Z57">
            <v>171755</v>
          </cell>
          <cell r="AA57">
            <v>90571</v>
          </cell>
          <cell r="AB57">
            <v>141318</v>
          </cell>
          <cell r="AC57">
            <v>222133</v>
          </cell>
          <cell r="AD57">
            <v>196036</v>
          </cell>
          <cell r="AE57">
            <v>155366</v>
          </cell>
          <cell r="AF57">
            <v>120884</v>
          </cell>
          <cell r="AG57">
            <v>67784</v>
          </cell>
          <cell r="AH57">
            <v>53345.170000000027</v>
          </cell>
          <cell r="AI57">
            <v>163413.77000000002</v>
          </cell>
          <cell r="AJ57">
            <v>207038.83000000028</v>
          </cell>
          <cell r="AK57">
            <v>238503.8299999999</v>
          </cell>
          <cell r="AL57">
            <v>230724.22999999922</v>
          </cell>
          <cell r="AM57">
            <v>215366.93000000014</v>
          </cell>
          <cell r="AN57">
            <v>247148.36999999973</v>
          </cell>
          <cell r="AO57">
            <v>208417</v>
          </cell>
          <cell r="AP57">
            <v>223927</v>
          </cell>
          <cell r="AQ57">
            <v>226565</v>
          </cell>
          <cell r="AR57">
            <v>226821</v>
          </cell>
          <cell r="AS57">
            <v>139418</v>
          </cell>
          <cell r="AT57">
            <v>41074.739999999962</v>
          </cell>
          <cell r="AU57">
            <v>226341.02000000016</v>
          </cell>
          <cell r="AV57">
            <v>243519.30999999994</v>
          </cell>
          <cell r="AW57">
            <v>243554.03000000026</v>
          </cell>
          <cell r="AX57">
            <v>177245.79000000033</v>
          </cell>
          <cell r="AY57">
            <v>225149.95000000013</v>
          </cell>
          <cell r="AZ57">
            <v>330496.15000000008</v>
          </cell>
          <cell r="BA57">
            <v>0</v>
          </cell>
          <cell r="BB57">
            <v>0</v>
          </cell>
          <cell r="BC57">
            <v>0</v>
          </cell>
          <cell r="BD57">
            <v>0</v>
          </cell>
          <cell r="BE57">
            <v>0</v>
          </cell>
          <cell r="BF57">
            <v>101065.95000000004</v>
          </cell>
          <cell r="BG57">
            <v>218086.60000000003</v>
          </cell>
          <cell r="BH57">
            <v>216836.15000000037</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row>
        <row r="58">
          <cell r="H58">
            <v>353</v>
          </cell>
          <cell r="I58" t="str">
            <v>YTD Target (Budget)</v>
          </cell>
          <cell r="J58">
            <v>106983</v>
          </cell>
          <cell r="K58">
            <v>279559</v>
          </cell>
          <cell r="L58">
            <v>302366</v>
          </cell>
          <cell r="M58">
            <v>358876</v>
          </cell>
          <cell r="N58">
            <v>290770</v>
          </cell>
          <cell r="O58">
            <v>227515</v>
          </cell>
          <cell r="P58">
            <v>483345</v>
          </cell>
          <cell r="Q58">
            <v>454347</v>
          </cell>
          <cell r="R58">
            <v>348617</v>
          </cell>
          <cell r="S58">
            <v>347370</v>
          </cell>
          <cell r="T58">
            <v>237895</v>
          </cell>
          <cell r="U58">
            <v>94731</v>
          </cell>
          <cell r="V58">
            <v>42496</v>
          </cell>
          <cell r="W58">
            <v>221399</v>
          </cell>
          <cell r="X58">
            <v>231640</v>
          </cell>
          <cell r="Y58">
            <v>277152</v>
          </cell>
          <cell r="Z58">
            <v>236396</v>
          </cell>
          <cell r="AA58">
            <v>176283</v>
          </cell>
          <cell r="AB58">
            <v>383999</v>
          </cell>
          <cell r="AC58">
            <v>356072</v>
          </cell>
          <cell r="AD58">
            <v>256988</v>
          </cell>
          <cell r="AE58">
            <v>229694</v>
          </cell>
          <cell r="AF58">
            <v>149335</v>
          </cell>
          <cell r="AG58">
            <v>40624</v>
          </cell>
          <cell r="AH58">
            <v>79754</v>
          </cell>
          <cell r="AI58">
            <v>230897</v>
          </cell>
          <cell r="AJ58">
            <v>263247</v>
          </cell>
          <cell r="AK58">
            <v>255919</v>
          </cell>
          <cell r="AL58">
            <v>267695</v>
          </cell>
          <cell r="AM58">
            <v>240019</v>
          </cell>
          <cell r="AN58">
            <v>249928</v>
          </cell>
          <cell r="AO58">
            <v>254712</v>
          </cell>
          <cell r="AP58">
            <v>256608</v>
          </cell>
          <cell r="AQ58">
            <v>271569</v>
          </cell>
          <cell r="AR58">
            <v>252333</v>
          </cell>
          <cell r="AS58">
            <v>190021</v>
          </cell>
          <cell r="AT58">
            <v>75100</v>
          </cell>
          <cell r="AU58">
            <v>265088</v>
          </cell>
          <cell r="AV58">
            <v>223445</v>
          </cell>
          <cell r="AW58">
            <v>279697</v>
          </cell>
          <cell r="AX58">
            <v>294165</v>
          </cell>
          <cell r="AY58">
            <v>272264</v>
          </cell>
          <cell r="AZ58">
            <v>278744</v>
          </cell>
          <cell r="BA58">
            <v>0</v>
          </cell>
          <cell r="BB58">
            <v>0</v>
          </cell>
          <cell r="BC58">
            <v>0</v>
          </cell>
          <cell r="BD58">
            <v>0</v>
          </cell>
          <cell r="BE58">
            <v>0</v>
          </cell>
          <cell r="BF58">
            <v>-57648</v>
          </cell>
          <cell r="BG58">
            <v>194956</v>
          </cell>
          <cell r="BH58">
            <v>155748</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row>
        <row r="59">
          <cell r="H59">
            <v>384</v>
          </cell>
          <cell r="I59" t="str">
            <v>Actual</v>
          </cell>
          <cell r="J59">
            <v>192388</v>
          </cell>
          <cell r="K59">
            <v>368098</v>
          </cell>
          <cell r="L59">
            <v>324154</v>
          </cell>
          <cell r="M59">
            <v>187435</v>
          </cell>
          <cell r="N59">
            <v>199453</v>
          </cell>
          <cell r="O59">
            <v>164926</v>
          </cell>
          <cell r="P59">
            <v>279925</v>
          </cell>
          <cell r="Q59">
            <v>216762</v>
          </cell>
          <cell r="R59">
            <v>194758</v>
          </cell>
          <cell r="S59">
            <v>225052</v>
          </cell>
          <cell r="T59">
            <v>284498</v>
          </cell>
          <cell r="U59">
            <v>231447</v>
          </cell>
          <cell r="V59">
            <v>195322</v>
          </cell>
          <cell r="W59">
            <v>351943</v>
          </cell>
          <cell r="X59">
            <v>205578</v>
          </cell>
          <cell r="Y59">
            <v>315886</v>
          </cell>
          <cell r="Z59">
            <v>258681</v>
          </cell>
          <cell r="AA59">
            <v>223971</v>
          </cell>
          <cell r="AB59">
            <v>195246</v>
          </cell>
          <cell r="AC59">
            <v>144012</v>
          </cell>
          <cell r="AD59">
            <v>198877</v>
          </cell>
          <cell r="AE59">
            <v>227002</v>
          </cell>
          <cell r="AF59">
            <v>252396</v>
          </cell>
          <cell r="AG59">
            <v>179184</v>
          </cell>
          <cell r="AH59">
            <v>240399.02</v>
          </cell>
          <cell r="AI59">
            <v>215220.77000000002</v>
          </cell>
          <cell r="AJ59">
            <v>230225.58000000002</v>
          </cell>
          <cell r="AK59">
            <v>255210.41999999998</v>
          </cell>
          <cell r="AL59">
            <v>227629.23</v>
          </cell>
          <cell r="AM59">
            <v>175893.15</v>
          </cell>
          <cell r="AN59">
            <v>199724.09</v>
          </cell>
          <cell r="AO59">
            <v>286801</v>
          </cell>
          <cell r="AP59">
            <v>203149</v>
          </cell>
          <cell r="AQ59">
            <v>215049</v>
          </cell>
          <cell r="AR59">
            <v>201975</v>
          </cell>
          <cell r="AS59">
            <v>277179</v>
          </cell>
          <cell r="AT59">
            <v>166266.60999999999</v>
          </cell>
          <cell r="AU59">
            <v>176931.22</v>
          </cell>
          <cell r="AV59">
            <v>262798.11</v>
          </cell>
          <cell r="AW59">
            <v>203913.69</v>
          </cell>
          <cell r="AX59">
            <v>257290.75</v>
          </cell>
          <cell r="AY59">
            <v>139990.57</v>
          </cell>
          <cell r="AZ59">
            <v>200660.3</v>
          </cell>
          <cell r="BA59">
            <v>0</v>
          </cell>
          <cell r="BB59">
            <v>0</v>
          </cell>
          <cell r="BC59">
            <v>0</v>
          </cell>
          <cell r="BD59">
            <v>0</v>
          </cell>
          <cell r="BE59">
            <v>0</v>
          </cell>
          <cell r="BF59">
            <v>195618.85</v>
          </cell>
          <cell r="BG59">
            <v>171276.84999999998</v>
          </cell>
          <cell r="BH59">
            <v>211791.05</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row>
        <row r="60">
          <cell r="H60">
            <v>385</v>
          </cell>
          <cell r="I60" t="str">
            <v>Target (Budget)</v>
          </cell>
          <cell r="J60">
            <v>202233</v>
          </cell>
          <cell r="K60">
            <v>364055</v>
          </cell>
          <cell r="L60">
            <v>257854</v>
          </cell>
          <cell r="M60">
            <v>256174</v>
          </cell>
          <cell r="N60">
            <v>229203</v>
          </cell>
          <cell r="O60">
            <v>203913</v>
          </cell>
          <cell r="P60">
            <v>364055</v>
          </cell>
          <cell r="Q60">
            <v>202233</v>
          </cell>
          <cell r="R60">
            <v>176942</v>
          </cell>
          <cell r="S60">
            <v>202233</v>
          </cell>
          <cell r="T60">
            <v>202233</v>
          </cell>
          <cell r="U60">
            <v>203912</v>
          </cell>
          <cell r="V60">
            <v>187407</v>
          </cell>
          <cell r="W60">
            <v>336811</v>
          </cell>
          <cell r="X60">
            <v>238845</v>
          </cell>
          <cell r="Y60">
            <v>237208</v>
          </cell>
          <cell r="Z60">
            <v>212307</v>
          </cell>
          <cell r="AA60">
            <v>189044</v>
          </cell>
          <cell r="AB60">
            <v>336811</v>
          </cell>
          <cell r="AC60">
            <v>187407</v>
          </cell>
          <cell r="AD60">
            <v>164143</v>
          </cell>
          <cell r="AE60">
            <v>187407</v>
          </cell>
          <cell r="AF60">
            <v>187407</v>
          </cell>
          <cell r="AG60">
            <v>189034</v>
          </cell>
          <cell r="AH60">
            <v>185409</v>
          </cell>
          <cell r="AI60">
            <v>341060</v>
          </cell>
          <cell r="AJ60">
            <v>236246</v>
          </cell>
          <cell r="AK60">
            <v>207517</v>
          </cell>
          <cell r="AL60">
            <v>207517</v>
          </cell>
          <cell r="AM60">
            <v>208869</v>
          </cell>
          <cell r="AN60">
            <v>240230</v>
          </cell>
          <cell r="AO60">
            <v>207517</v>
          </cell>
          <cell r="AP60">
            <v>208869</v>
          </cell>
          <cell r="AQ60">
            <v>207517</v>
          </cell>
          <cell r="AR60">
            <v>207517</v>
          </cell>
          <cell r="AS60">
            <v>208870</v>
          </cell>
          <cell r="AT60">
            <v>210979</v>
          </cell>
          <cell r="AU60">
            <v>378508</v>
          </cell>
          <cell r="AV60">
            <v>219342</v>
          </cell>
          <cell r="AW60">
            <v>291983</v>
          </cell>
          <cell r="AX60">
            <v>210979</v>
          </cell>
          <cell r="AY60">
            <v>174954</v>
          </cell>
          <cell r="AZ60">
            <v>186408</v>
          </cell>
          <cell r="BA60">
            <v>0</v>
          </cell>
          <cell r="BB60">
            <v>0</v>
          </cell>
          <cell r="BC60">
            <v>0</v>
          </cell>
          <cell r="BD60">
            <v>0</v>
          </cell>
          <cell r="BE60">
            <v>0</v>
          </cell>
          <cell r="BF60">
            <v>180763</v>
          </cell>
          <cell r="BG60">
            <v>185208</v>
          </cell>
          <cell r="BH60">
            <v>263660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row>
        <row r="61">
          <cell r="H61">
            <v>388</v>
          </cell>
          <cell r="I61" t="str">
            <v>YTD Actual</v>
          </cell>
          <cell r="J61">
            <v>4502</v>
          </cell>
          <cell r="K61">
            <v>197686</v>
          </cell>
          <cell r="L61">
            <v>277002</v>
          </cell>
          <cell r="M61">
            <v>477390</v>
          </cell>
          <cell r="N61">
            <v>1271528</v>
          </cell>
          <cell r="O61">
            <v>776978</v>
          </cell>
          <cell r="P61">
            <v>1716379</v>
          </cell>
          <cell r="Q61">
            <v>1933141</v>
          </cell>
          <cell r="R61">
            <v>2127898</v>
          </cell>
          <cell r="S61">
            <v>2352950</v>
          </cell>
          <cell r="T61">
            <v>2637448</v>
          </cell>
          <cell r="U61">
            <v>2868895</v>
          </cell>
          <cell r="V61">
            <v>195322</v>
          </cell>
          <cell r="W61">
            <v>547265</v>
          </cell>
          <cell r="X61">
            <v>752844</v>
          </cell>
          <cell r="Y61">
            <v>1068729</v>
          </cell>
          <cell r="Z61">
            <v>1327410</v>
          </cell>
          <cell r="AA61">
            <v>1551381</v>
          </cell>
          <cell r="AB61">
            <v>1746627</v>
          </cell>
          <cell r="AC61">
            <v>1890639</v>
          </cell>
          <cell r="AD61">
            <v>2089516</v>
          </cell>
          <cell r="AE61">
            <v>2316519</v>
          </cell>
          <cell r="AF61">
            <v>2568914</v>
          </cell>
          <cell r="AG61">
            <v>2748098</v>
          </cell>
          <cell r="AH61">
            <v>240399.02</v>
          </cell>
          <cell r="AI61">
            <v>455619.79</v>
          </cell>
          <cell r="AJ61">
            <v>685845.37</v>
          </cell>
          <cell r="AK61">
            <v>941055.79</v>
          </cell>
          <cell r="AL61">
            <v>1168685.02</v>
          </cell>
          <cell r="AM61">
            <v>1344578.17</v>
          </cell>
          <cell r="AN61">
            <v>1544302.26</v>
          </cell>
          <cell r="AO61">
            <v>1831103</v>
          </cell>
          <cell r="AP61">
            <v>2034253</v>
          </cell>
          <cell r="AQ61">
            <v>2249302</v>
          </cell>
          <cell r="AR61">
            <v>2451276</v>
          </cell>
          <cell r="AS61">
            <v>2728455</v>
          </cell>
          <cell r="AT61">
            <v>166266.60999999999</v>
          </cell>
          <cell r="AU61">
            <v>343197.82999999996</v>
          </cell>
          <cell r="AV61">
            <v>605995.94000000006</v>
          </cell>
          <cell r="AW61">
            <v>809909.63</v>
          </cell>
          <cell r="AX61">
            <v>1067200.3799999999</v>
          </cell>
          <cell r="AY61">
            <v>1207190.95</v>
          </cell>
          <cell r="AZ61">
            <v>1407851.25</v>
          </cell>
          <cell r="BA61">
            <v>0</v>
          </cell>
          <cell r="BB61">
            <v>0</v>
          </cell>
          <cell r="BC61">
            <v>0</v>
          </cell>
          <cell r="BD61">
            <v>0</v>
          </cell>
          <cell r="BE61">
            <v>0</v>
          </cell>
          <cell r="BF61">
            <v>195618.85</v>
          </cell>
          <cell r="BG61">
            <v>366895.7</v>
          </cell>
          <cell r="BH61">
            <v>578686.75</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row>
        <row r="62">
          <cell r="H62">
            <v>389</v>
          </cell>
          <cell r="I62" t="str">
            <v>YTD Target (Budget)</v>
          </cell>
          <cell r="J62">
            <v>106983</v>
          </cell>
          <cell r="K62">
            <v>386542</v>
          </cell>
          <cell r="L62">
            <v>688908</v>
          </cell>
          <cell r="M62">
            <v>1047784</v>
          </cell>
          <cell r="N62">
            <v>1309519</v>
          </cell>
          <cell r="O62">
            <v>1566069</v>
          </cell>
          <cell r="P62">
            <v>1877487</v>
          </cell>
          <cell r="Q62">
            <v>2079720</v>
          </cell>
          <cell r="R62">
            <v>2256662</v>
          </cell>
          <cell r="S62">
            <v>2458895</v>
          </cell>
          <cell r="T62">
            <v>2661128</v>
          </cell>
          <cell r="U62">
            <v>2865040</v>
          </cell>
          <cell r="V62">
            <v>187407</v>
          </cell>
          <cell r="W62">
            <v>524218</v>
          </cell>
          <cell r="X62">
            <v>763063</v>
          </cell>
          <cell r="Y62">
            <v>1000271</v>
          </cell>
          <cell r="Z62">
            <v>1212578</v>
          </cell>
          <cell r="AA62">
            <v>1401622</v>
          </cell>
          <cell r="AB62">
            <v>1738433</v>
          </cell>
          <cell r="AC62">
            <v>1925840</v>
          </cell>
          <cell r="AD62">
            <v>2089983</v>
          </cell>
          <cell r="AE62">
            <v>2277390</v>
          </cell>
          <cell r="AF62">
            <v>2464797</v>
          </cell>
          <cell r="AG62">
            <v>2653831</v>
          </cell>
          <cell r="AH62">
            <v>185409</v>
          </cell>
          <cell r="AI62">
            <v>526469</v>
          </cell>
          <cell r="AJ62">
            <v>762715</v>
          </cell>
          <cell r="AK62">
            <v>962482</v>
          </cell>
          <cell r="AL62">
            <v>1169999</v>
          </cell>
          <cell r="AM62">
            <v>1378868</v>
          </cell>
          <cell r="AN62">
            <v>1619098</v>
          </cell>
          <cell r="AO62">
            <v>1826615</v>
          </cell>
          <cell r="AP62">
            <v>2035484</v>
          </cell>
          <cell r="AQ62">
            <v>2243001</v>
          </cell>
          <cell r="AR62">
            <v>2450518</v>
          </cell>
          <cell r="AS62">
            <v>2659388</v>
          </cell>
          <cell r="AT62">
            <v>210979</v>
          </cell>
          <cell r="AU62">
            <v>589487</v>
          </cell>
          <cell r="AV62">
            <v>808829</v>
          </cell>
          <cell r="AW62">
            <v>1100812</v>
          </cell>
          <cell r="AX62">
            <v>1311791</v>
          </cell>
          <cell r="AY62">
            <v>1486745</v>
          </cell>
          <cell r="AZ62">
            <v>1673153</v>
          </cell>
          <cell r="BA62">
            <v>0</v>
          </cell>
          <cell r="BB62">
            <v>0</v>
          </cell>
          <cell r="BC62">
            <v>0</v>
          </cell>
          <cell r="BD62">
            <v>0</v>
          </cell>
          <cell r="BE62">
            <v>0</v>
          </cell>
          <cell r="BF62">
            <v>180763</v>
          </cell>
          <cell r="BG62">
            <v>365971</v>
          </cell>
          <cell r="BH62">
            <v>629631</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row>
        <row r="63">
          <cell r="H63">
            <v>541</v>
          </cell>
          <cell r="I63" t="str">
            <v>Actual</v>
          </cell>
          <cell r="J63">
            <v>27171</v>
          </cell>
          <cell r="K63">
            <v>83507</v>
          </cell>
          <cell r="L63">
            <v>48971</v>
          </cell>
          <cell r="M63">
            <v>38171</v>
          </cell>
          <cell r="N63">
            <v>31471</v>
          </cell>
          <cell r="O63">
            <v>27471</v>
          </cell>
          <cell r="P63">
            <v>47671</v>
          </cell>
          <cell r="Q63">
            <v>27471</v>
          </cell>
          <cell r="R63">
            <v>53011</v>
          </cell>
          <cell r="S63">
            <v>29931</v>
          </cell>
          <cell r="T63">
            <v>29931</v>
          </cell>
          <cell r="U63">
            <v>99733</v>
          </cell>
          <cell r="V63">
            <v>31731</v>
          </cell>
          <cell r="W63">
            <v>30251</v>
          </cell>
          <cell r="X63">
            <v>29931</v>
          </cell>
          <cell r="Y63">
            <v>29931</v>
          </cell>
          <cell r="Z63">
            <v>29931</v>
          </cell>
          <cell r="AA63">
            <v>29931</v>
          </cell>
          <cell r="AB63">
            <v>31562</v>
          </cell>
          <cell r="AC63">
            <v>29931</v>
          </cell>
          <cell r="AD63">
            <v>29931</v>
          </cell>
          <cell r="AE63">
            <v>32821</v>
          </cell>
          <cell r="AF63">
            <v>29931</v>
          </cell>
          <cell r="AG63">
            <v>31617</v>
          </cell>
          <cell r="AH63">
            <v>29931.17</v>
          </cell>
          <cell r="AI63">
            <v>29931.17</v>
          </cell>
          <cell r="AJ63">
            <v>29931.17</v>
          </cell>
          <cell r="AK63">
            <v>29931.17</v>
          </cell>
          <cell r="AL63">
            <v>29731.17</v>
          </cell>
          <cell r="AM63">
            <v>29731.17</v>
          </cell>
          <cell r="AN63">
            <v>29731.17</v>
          </cell>
          <cell r="AO63">
            <v>29731</v>
          </cell>
          <cell r="AP63">
            <v>29731</v>
          </cell>
          <cell r="AQ63">
            <v>29731</v>
          </cell>
          <cell r="AR63">
            <v>29731</v>
          </cell>
          <cell r="AS63">
            <v>33528</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row>
        <row r="64">
          <cell r="H64">
            <v>542</v>
          </cell>
          <cell r="I64" t="str">
            <v>Target (Budget)</v>
          </cell>
          <cell r="J64">
            <v>35406</v>
          </cell>
          <cell r="K64">
            <v>35406</v>
          </cell>
          <cell r="L64">
            <v>126817</v>
          </cell>
          <cell r="M64">
            <v>35406</v>
          </cell>
          <cell r="N64">
            <v>35406</v>
          </cell>
          <cell r="O64">
            <v>39832</v>
          </cell>
          <cell r="P64">
            <v>35406</v>
          </cell>
          <cell r="Q64">
            <v>35406</v>
          </cell>
          <cell r="R64">
            <v>39832</v>
          </cell>
          <cell r="S64">
            <v>35406</v>
          </cell>
          <cell r="T64">
            <v>35406</v>
          </cell>
          <cell r="U64">
            <v>39837</v>
          </cell>
          <cell r="V64">
            <v>28596</v>
          </cell>
          <cell r="W64">
            <v>28596</v>
          </cell>
          <cell r="X64">
            <v>35171</v>
          </cell>
          <cell r="Y64">
            <v>28596</v>
          </cell>
          <cell r="Z64">
            <v>28596</v>
          </cell>
          <cell r="AA64">
            <v>35171</v>
          </cell>
          <cell r="AB64">
            <v>28596</v>
          </cell>
          <cell r="AC64">
            <v>28596</v>
          </cell>
          <cell r="AD64">
            <v>35171</v>
          </cell>
          <cell r="AE64">
            <v>28596</v>
          </cell>
          <cell r="AF64">
            <v>28596</v>
          </cell>
          <cell r="AG64">
            <v>35173</v>
          </cell>
          <cell r="AH64">
            <v>29718</v>
          </cell>
          <cell r="AI64">
            <v>29718</v>
          </cell>
          <cell r="AJ64">
            <v>33433</v>
          </cell>
          <cell r="AK64">
            <v>29718</v>
          </cell>
          <cell r="AL64">
            <v>29718</v>
          </cell>
          <cell r="AM64">
            <v>33433</v>
          </cell>
          <cell r="AN64">
            <v>29718</v>
          </cell>
          <cell r="AO64">
            <v>29718</v>
          </cell>
          <cell r="AP64">
            <v>33433</v>
          </cell>
          <cell r="AQ64">
            <v>29718</v>
          </cell>
          <cell r="AR64">
            <v>29718</v>
          </cell>
          <cell r="AS64">
            <v>33432</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row>
        <row r="65">
          <cell r="H65">
            <v>545</v>
          </cell>
          <cell r="I65" t="str">
            <v>YTD Actual</v>
          </cell>
          <cell r="J65">
            <v>27171</v>
          </cell>
          <cell r="K65">
            <v>110679</v>
          </cell>
          <cell r="L65">
            <v>159650</v>
          </cell>
          <cell r="M65">
            <v>197821</v>
          </cell>
          <cell r="N65">
            <v>229292</v>
          </cell>
          <cell r="O65">
            <v>256764</v>
          </cell>
          <cell r="P65">
            <v>304435</v>
          </cell>
          <cell r="Q65">
            <v>331906</v>
          </cell>
          <cell r="R65">
            <v>384917</v>
          </cell>
          <cell r="S65">
            <v>414848</v>
          </cell>
          <cell r="T65">
            <v>444779</v>
          </cell>
          <cell r="U65">
            <v>544512</v>
          </cell>
          <cell r="V65">
            <v>34731</v>
          </cell>
          <cell r="W65">
            <v>64982</v>
          </cell>
          <cell r="X65">
            <v>94914</v>
          </cell>
          <cell r="Y65">
            <v>124845</v>
          </cell>
          <cell r="Z65">
            <v>154776</v>
          </cell>
          <cell r="AA65">
            <v>184707</v>
          </cell>
          <cell r="AB65">
            <v>216269</v>
          </cell>
          <cell r="AC65">
            <v>246200</v>
          </cell>
          <cell r="AD65">
            <v>276131</v>
          </cell>
          <cell r="AE65">
            <v>308952</v>
          </cell>
          <cell r="AF65">
            <v>338883</v>
          </cell>
          <cell r="AG65">
            <v>370500</v>
          </cell>
          <cell r="AH65">
            <v>29931.17</v>
          </cell>
          <cell r="AI65">
            <v>59862.34</v>
          </cell>
          <cell r="AJ65">
            <v>89793.51</v>
          </cell>
          <cell r="AK65">
            <v>119724.68</v>
          </cell>
          <cell r="AL65">
            <v>149455.85</v>
          </cell>
          <cell r="AM65">
            <v>179187.02</v>
          </cell>
          <cell r="AN65">
            <v>208918.19</v>
          </cell>
          <cell r="AO65">
            <v>238649</v>
          </cell>
          <cell r="AP65">
            <v>268381</v>
          </cell>
          <cell r="AQ65">
            <v>298112</v>
          </cell>
          <cell r="AR65">
            <v>327843</v>
          </cell>
          <cell r="AS65">
            <v>361371</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row>
        <row r="66">
          <cell r="H66">
            <v>546</v>
          </cell>
          <cell r="I66" t="str">
            <v>YTD Target (Budget)</v>
          </cell>
          <cell r="J66">
            <v>35406</v>
          </cell>
          <cell r="K66">
            <v>70812</v>
          </cell>
          <cell r="L66">
            <v>197629</v>
          </cell>
          <cell r="M66">
            <v>233035</v>
          </cell>
          <cell r="N66">
            <v>268441</v>
          </cell>
          <cell r="O66">
            <v>308273</v>
          </cell>
          <cell r="P66">
            <v>343679</v>
          </cell>
          <cell r="Q66">
            <v>379085</v>
          </cell>
          <cell r="R66">
            <v>418917</v>
          </cell>
          <cell r="S66">
            <v>454323</v>
          </cell>
          <cell r="T66">
            <v>489729</v>
          </cell>
          <cell r="U66">
            <v>529566</v>
          </cell>
          <cell r="V66">
            <v>28596</v>
          </cell>
          <cell r="W66">
            <v>57192</v>
          </cell>
          <cell r="X66">
            <v>92363</v>
          </cell>
          <cell r="Y66">
            <v>120959</v>
          </cell>
          <cell r="Z66">
            <v>149555</v>
          </cell>
          <cell r="AA66">
            <v>184726</v>
          </cell>
          <cell r="AB66">
            <v>213322</v>
          </cell>
          <cell r="AC66">
            <v>241918</v>
          </cell>
          <cell r="AD66">
            <v>277089</v>
          </cell>
          <cell r="AE66">
            <v>305685</v>
          </cell>
          <cell r="AF66">
            <v>334281</v>
          </cell>
          <cell r="AG66">
            <v>369454</v>
          </cell>
          <cell r="AH66">
            <v>29718</v>
          </cell>
          <cell r="AI66">
            <v>59436</v>
          </cell>
          <cell r="AJ66">
            <v>92869</v>
          </cell>
          <cell r="AK66">
            <v>122587</v>
          </cell>
          <cell r="AL66">
            <v>152305</v>
          </cell>
          <cell r="AM66">
            <v>185738</v>
          </cell>
          <cell r="AN66">
            <v>215456</v>
          </cell>
          <cell r="AO66">
            <v>245174</v>
          </cell>
          <cell r="AP66">
            <v>278607</v>
          </cell>
          <cell r="AQ66">
            <v>308325</v>
          </cell>
          <cell r="AR66">
            <v>338043</v>
          </cell>
          <cell r="AS66">
            <v>371475</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row>
        <row r="67">
          <cell r="H67">
            <v>553</v>
          </cell>
          <cell r="I67" t="str">
            <v>Actual</v>
          </cell>
          <cell r="J67">
            <v>36636</v>
          </cell>
          <cell r="K67">
            <v>45987</v>
          </cell>
          <cell r="L67">
            <v>33825</v>
          </cell>
          <cell r="M67">
            <v>46766</v>
          </cell>
          <cell r="N67">
            <v>14986</v>
          </cell>
          <cell r="O67">
            <v>44723</v>
          </cell>
          <cell r="P67">
            <v>9814</v>
          </cell>
          <cell r="Q67">
            <v>-16055</v>
          </cell>
          <cell r="R67">
            <v>54048</v>
          </cell>
          <cell r="S67">
            <v>20009</v>
          </cell>
          <cell r="T67">
            <v>30323</v>
          </cell>
          <cell r="U67">
            <v>19591</v>
          </cell>
          <cell r="V67">
            <v>10615</v>
          </cell>
          <cell r="W67">
            <v>10842</v>
          </cell>
          <cell r="X67">
            <v>11020</v>
          </cell>
          <cell r="Y67">
            <v>11773</v>
          </cell>
          <cell r="Z67">
            <v>11021</v>
          </cell>
          <cell r="AA67">
            <v>23322</v>
          </cell>
          <cell r="AB67">
            <v>8570</v>
          </cell>
          <cell r="AC67">
            <v>8568</v>
          </cell>
          <cell r="AD67">
            <v>15926</v>
          </cell>
          <cell r="AE67">
            <v>11021</v>
          </cell>
          <cell r="AF67">
            <v>3241</v>
          </cell>
          <cell r="AG67">
            <v>18800</v>
          </cell>
          <cell r="AH67">
            <v>11021.43</v>
          </cell>
          <cell r="AI67">
            <v>11020.369999999999</v>
          </cell>
          <cell r="AJ67">
            <v>10023.09</v>
          </cell>
          <cell r="AK67">
            <v>11433.140000000001</v>
          </cell>
          <cell r="AL67">
            <v>12614.75</v>
          </cell>
          <cell r="AM67">
            <v>11399.720000000001</v>
          </cell>
          <cell r="AN67">
            <v>11318.150000000001</v>
          </cell>
          <cell r="AO67">
            <v>11318</v>
          </cell>
          <cell r="AP67">
            <v>11338</v>
          </cell>
          <cell r="AQ67">
            <v>11318</v>
          </cell>
          <cell r="AR67">
            <v>13028</v>
          </cell>
          <cell r="AS67">
            <v>26038</v>
          </cell>
          <cell r="AT67">
            <v>8866.6200000000008</v>
          </cell>
          <cell r="AU67">
            <v>8867.7000000000007</v>
          </cell>
          <cell r="AV67">
            <v>9341.2199999999993</v>
          </cell>
          <cell r="AW67">
            <v>7532.66</v>
          </cell>
          <cell r="AX67">
            <v>-34732.97</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row>
        <row r="68">
          <cell r="H68">
            <v>554</v>
          </cell>
          <cell r="I68" t="str">
            <v>Target (Budget)</v>
          </cell>
          <cell r="J68">
            <v>37190</v>
          </cell>
          <cell r="K68">
            <v>37190</v>
          </cell>
          <cell r="L68">
            <v>38585</v>
          </cell>
          <cell r="M68">
            <v>18010</v>
          </cell>
          <cell r="N68">
            <v>18010</v>
          </cell>
          <cell r="O68">
            <v>19405</v>
          </cell>
          <cell r="P68">
            <v>18010</v>
          </cell>
          <cell r="Q68">
            <v>18010</v>
          </cell>
          <cell r="R68">
            <v>18035</v>
          </cell>
          <cell r="S68">
            <v>18010</v>
          </cell>
          <cell r="T68">
            <v>18010</v>
          </cell>
          <cell r="U68">
            <v>18036</v>
          </cell>
          <cell r="V68">
            <v>10422</v>
          </cell>
          <cell r="W68">
            <v>10422</v>
          </cell>
          <cell r="X68">
            <v>11724</v>
          </cell>
          <cell r="Y68">
            <v>10422</v>
          </cell>
          <cell r="Z68">
            <v>10422</v>
          </cell>
          <cell r="AA68">
            <v>11724</v>
          </cell>
          <cell r="AB68">
            <v>10422</v>
          </cell>
          <cell r="AC68">
            <v>10422</v>
          </cell>
          <cell r="AD68">
            <v>11724</v>
          </cell>
          <cell r="AE68">
            <v>10422</v>
          </cell>
          <cell r="AF68">
            <v>10422</v>
          </cell>
          <cell r="AG68">
            <v>11724</v>
          </cell>
          <cell r="AH68">
            <v>11739</v>
          </cell>
          <cell r="AI68">
            <v>11739</v>
          </cell>
          <cell r="AJ68">
            <v>13206</v>
          </cell>
          <cell r="AK68">
            <v>11739</v>
          </cell>
          <cell r="AL68">
            <v>11739</v>
          </cell>
          <cell r="AM68">
            <v>13206</v>
          </cell>
          <cell r="AN68">
            <v>11739</v>
          </cell>
          <cell r="AO68">
            <v>11739</v>
          </cell>
          <cell r="AP68">
            <v>13206</v>
          </cell>
          <cell r="AQ68">
            <v>11739</v>
          </cell>
          <cell r="AR68">
            <v>11739</v>
          </cell>
          <cell r="AS68">
            <v>13196</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row>
        <row r="69">
          <cell r="H69">
            <v>557</v>
          </cell>
          <cell r="I69" t="str">
            <v>YTD Actual</v>
          </cell>
          <cell r="J69">
            <v>36636</v>
          </cell>
          <cell r="K69">
            <v>82623</v>
          </cell>
          <cell r="L69">
            <v>116449</v>
          </cell>
          <cell r="M69">
            <v>163214</v>
          </cell>
          <cell r="N69">
            <v>178200</v>
          </cell>
          <cell r="O69">
            <v>222923</v>
          </cell>
          <cell r="P69">
            <v>232737</v>
          </cell>
          <cell r="Q69">
            <v>216682</v>
          </cell>
          <cell r="R69">
            <v>270730</v>
          </cell>
          <cell r="S69">
            <v>290739</v>
          </cell>
          <cell r="T69">
            <v>321062</v>
          </cell>
          <cell r="U69">
            <v>340653</v>
          </cell>
          <cell r="V69">
            <v>10615</v>
          </cell>
          <cell r="W69">
            <v>21457</v>
          </cell>
          <cell r="X69">
            <v>32477</v>
          </cell>
          <cell r="Y69">
            <v>44251</v>
          </cell>
          <cell r="Z69">
            <v>55272</v>
          </cell>
          <cell r="AA69">
            <v>78594</v>
          </cell>
          <cell r="AB69">
            <v>87163</v>
          </cell>
          <cell r="AC69">
            <v>95731</v>
          </cell>
          <cell r="AD69">
            <v>111657</v>
          </cell>
          <cell r="AE69">
            <v>122678</v>
          </cell>
          <cell r="AF69">
            <v>125919</v>
          </cell>
          <cell r="AG69">
            <v>144719</v>
          </cell>
          <cell r="AH69">
            <v>11021.43</v>
          </cell>
          <cell r="AI69">
            <v>22041.8</v>
          </cell>
          <cell r="AJ69">
            <v>32064.89</v>
          </cell>
          <cell r="AK69">
            <v>43498.03</v>
          </cell>
          <cell r="AL69">
            <v>56112.78</v>
          </cell>
          <cell r="AM69">
            <v>67512.5</v>
          </cell>
          <cell r="AN69">
            <v>78830.650000000009</v>
          </cell>
          <cell r="AO69">
            <v>90148</v>
          </cell>
          <cell r="AP69">
            <v>101486</v>
          </cell>
          <cell r="AQ69">
            <v>112804</v>
          </cell>
          <cell r="AR69">
            <v>125832</v>
          </cell>
          <cell r="AS69">
            <v>151870</v>
          </cell>
          <cell r="AT69">
            <v>8866.6200000000008</v>
          </cell>
          <cell r="AU69">
            <v>17734.32</v>
          </cell>
          <cell r="AV69">
            <v>27075.54</v>
          </cell>
          <cell r="AW69">
            <v>34608.199999999997</v>
          </cell>
          <cell r="AX69">
            <v>-124.77</v>
          </cell>
          <cell r="AY69">
            <v>-124.77</v>
          </cell>
          <cell r="AZ69">
            <v>-124.77</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row>
        <row r="70">
          <cell r="H70">
            <v>558</v>
          </cell>
          <cell r="I70" t="str">
            <v>YTD Target (Budget)</v>
          </cell>
          <cell r="J70">
            <v>37190</v>
          </cell>
          <cell r="K70">
            <v>74380</v>
          </cell>
          <cell r="L70">
            <v>112965</v>
          </cell>
          <cell r="M70">
            <v>130957</v>
          </cell>
          <cell r="N70">
            <v>148985</v>
          </cell>
          <cell r="O70">
            <v>168390</v>
          </cell>
          <cell r="P70">
            <v>186400</v>
          </cell>
          <cell r="Q70">
            <v>204410</v>
          </cell>
          <cell r="R70">
            <v>22445</v>
          </cell>
          <cell r="S70">
            <v>240455</v>
          </cell>
          <cell r="T70">
            <v>258465</v>
          </cell>
          <cell r="U70">
            <v>276501</v>
          </cell>
          <cell r="V70">
            <v>10422</v>
          </cell>
          <cell r="W70">
            <v>20844</v>
          </cell>
          <cell r="X70">
            <v>32568</v>
          </cell>
          <cell r="Y70">
            <v>42990</v>
          </cell>
          <cell r="Z70">
            <v>53412</v>
          </cell>
          <cell r="AA70">
            <v>65136</v>
          </cell>
          <cell r="AB70">
            <v>75558</v>
          </cell>
          <cell r="AC70">
            <v>85980</v>
          </cell>
          <cell r="AD70">
            <v>97704</v>
          </cell>
          <cell r="AE70">
            <v>108126</v>
          </cell>
          <cell r="AF70">
            <v>118548</v>
          </cell>
          <cell r="AG70">
            <v>130272</v>
          </cell>
          <cell r="AH70">
            <v>11739</v>
          </cell>
          <cell r="AI70">
            <v>23478</v>
          </cell>
          <cell r="AJ70">
            <v>36684</v>
          </cell>
          <cell r="AK70">
            <v>48423</v>
          </cell>
          <cell r="AL70">
            <v>60162</v>
          </cell>
          <cell r="AM70">
            <v>73368</v>
          </cell>
          <cell r="AN70">
            <v>85107</v>
          </cell>
          <cell r="AO70">
            <v>96846</v>
          </cell>
          <cell r="AP70">
            <v>110052</v>
          </cell>
          <cell r="AQ70">
            <v>121791</v>
          </cell>
          <cell r="AR70">
            <v>133530</v>
          </cell>
          <cell r="AS70">
            <v>146726</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row>
        <row r="71">
          <cell r="H71">
            <v>577</v>
          </cell>
          <cell r="I71" t="str">
            <v>Empl_Benefits</v>
          </cell>
          <cell r="J71">
            <v>1975</v>
          </cell>
          <cell r="K71">
            <v>1975</v>
          </cell>
          <cell r="L71">
            <v>2093</v>
          </cell>
          <cell r="M71">
            <v>2093</v>
          </cell>
          <cell r="N71">
            <v>2093</v>
          </cell>
          <cell r="O71">
            <v>2093</v>
          </cell>
          <cell r="P71">
            <v>2093</v>
          </cell>
          <cell r="Q71">
            <v>2093</v>
          </cell>
          <cell r="R71">
            <v>2093</v>
          </cell>
          <cell r="S71">
            <v>2093</v>
          </cell>
          <cell r="T71">
            <v>2093</v>
          </cell>
          <cell r="U71">
            <v>2093</v>
          </cell>
          <cell r="V71">
            <v>2093</v>
          </cell>
          <cell r="W71">
            <v>2093</v>
          </cell>
          <cell r="X71">
            <v>2153</v>
          </cell>
          <cell r="Y71">
            <v>2153</v>
          </cell>
          <cell r="Z71">
            <v>2153</v>
          </cell>
          <cell r="AA71">
            <v>2153</v>
          </cell>
          <cell r="AB71">
            <v>2153</v>
          </cell>
          <cell r="AC71">
            <v>2153</v>
          </cell>
          <cell r="AD71">
            <v>2153</v>
          </cell>
          <cell r="AE71">
            <v>2153</v>
          </cell>
          <cell r="AF71">
            <v>2153</v>
          </cell>
          <cell r="AG71">
            <v>2153</v>
          </cell>
          <cell r="AH71">
            <v>2153.33</v>
          </cell>
          <cell r="AI71">
            <v>2153.33</v>
          </cell>
          <cell r="AJ71">
            <v>2246.42</v>
          </cell>
          <cell r="AK71">
            <v>2246.42</v>
          </cell>
          <cell r="AL71">
            <v>2246.42</v>
          </cell>
          <cell r="AM71">
            <v>2246.42</v>
          </cell>
          <cell r="AN71">
            <v>2246.42</v>
          </cell>
          <cell r="AO71">
            <v>2246</v>
          </cell>
          <cell r="AP71">
            <v>2246</v>
          </cell>
          <cell r="AQ71">
            <v>2246</v>
          </cell>
          <cell r="AR71">
            <v>2246</v>
          </cell>
          <cell r="AS71">
            <v>2246</v>
          </cell>
          <cell r="AT71">
            <v>2246.42</v>
          </cell>
          <cell r="AU71">
            <v>2246.42</v>
          </cell>
          <cell r="AV71">
            <v>2354.9900000000002</v>
          </cell>
          <cell r="AW71">
            <v>2354.9900000000002</v>
          </cell>
          <cell r="AX71">
            <v>-9327.59</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row>
        <row r="72">
          <cell r="H72">
            <v>578</v>
          </cell>
          <cell r="I72" t="str">
            <v>Total Personnel</v>
          </cell>
          <cell r="J72">
            <v>7865</v>
          </cell>
          <cell r="K72">
            <v>7865</v>
          </cell>
          <cell r="L72">
            <v>8139</v>
          </cell>
          <cell r="M72">
            <v>8139</v>
          </cell>
          <cell r="N72">
            <v>8139</v>
          </cell>
          <cell r="O72">
            <v>8139</v>
          </cell>
          <cell r="P72">
            <v>8139</v>
          </cell>
          <cell r="Q72">
            <v>8139</v>
          </cell>
          <cell r="R72">
            <v>8139</v>
          </cell>
          <cell r="S72">
            <v>8139</v>
          </cell>
          <cell r="T72">
            <v>8139</v>
          </cell>
          <cell r="U72">
            <v>8139</v>
          </cell>
          <cell r="V72">
            <v>8139</v>
          </cell>
          <cell r="W72">
            <v>8139</v>
          </cell>
          <cell r="X72">
            <v>8320</v>
          </cell>
          <cell r="Y72">
            <v>8320</v>
          </cell>
          <cell r="Z72">
            <v>8320</v>
          </cell>
          <cell r="AA72">
            <v>8320</v>
          </cell>
          <cell r="AB72">
            <v>8320</v>
          </cell>
          <cell r="AC72">
            <v>8320</v>
          </cell>
          <cell r="AD72">
            <v>8320</v>
          </cell>
          <cell r="AE72">
            <v>8320</v>
          </cell>
          <cell r="AF72">
            <v>8320</v>
          </cell>
          <cell r="AG72">
            <v>8320</v>
          </cell>
          <cell r="AH72">
            <v>8319.75</v>
          </cell>
          <cell r="AI72">
            <v>8319.75</v>
          </cell>
          <cell r="AJ72">
            <v>8535.36</v>
          </cell>
          <cell r="AK72">
            <v>8535.36</v>
          </cell>
          <cell r="AL72">
            <v>8535.369999999999</v>
          </cell>
          <cell r="AM72">
            <v>8535.36</v>
          </cell>
          <cell r="AN72">
            <v>8535.36</v>
          </cell>
          <cell r="AO72">
            <v>8535</v>
          </cell>
          <cell r="AP72">
            <v>8535</v>
          </cell>
          <cell r="AQ72">
            <v>8535</v>
          </cell>
          <cell r="AR72">
            <v>8535</v>
          </cell>
          <cell r="AS72">
            <v>8535</v>
          </cell>
          <cell r="AT72">
            <v>8535.36</v>
          </cell>
          <cell r="AU72">
            <v>8535.36</v>
          </cell>
          <cell r="AV72">
            <v>8768.74</v>
          </cell>
          <cell r="AW72">
            <v>8768.74</v>
          </cell>
          <cell r="AX72">
            <v>-34732.97</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row>
        <row r="73">
          <cell r="H73">
            <v>579</v>
          </cell>
          <cell r="I73" t="str">
            <v>Target (Budget) Empl_Benefits</v>
          </cell>
          <cell r="J73">
            <v>2006</v>
          </cell>
          <cell r="K73">
            <v>2006</v>
          </cell>
          <cell r="L73">
            <v>2257</v>
          </cell>
          <cell r="M73">
            <v>2006</v>
          </cell>
          <cell r="N73">
            <v>2006</v>
          </cell>
          <cell r="O73">
            <v>2257</v>
          </cell>
          <cell r="P73">
            <v>2006</v>
          </cell>
          <cell r="Q73">
            <v>2006</v>
          </cell>
          <cell r="R73">
            <v>2257</v>
          </cell>
          <cell r="S73">
            <v>2006</v>
          </cell>
          <cell r="T73">
            <v>2006</v>
          </cell>
          <cell r="U73">
            <v>2259</v>
          </cell>
          <cell r="V73">
            <v>2064</v>
          </cell>
          <cell r="W73">
            <v>2064</v>
          </cell>
          <cell r="X73">
            <v>2322</v>
          </cell>
          <cell r="Y73">
            <v>2064</v>
          </cell>
          <cell r="Z73">
            <v>2064</v>
          </cell>
          <cell r="AA73">
            <v>2322</v>
          </cell>
          <cell r="AB73">
            <v>2064</v>
          </cell>
          <cell r="AC73">
            <v>2064</v>
          </cell>
          <cell r="AD73">
            <v>2322</v>
          </cell>
          <cell r="AE73">
            <v>2064</v>
          </cell>
          <cell r="AF73">
            <v>2064</v>
          </cell>
          <cell r="AG73">
            <v>2324</v>
          </cell>
          <cell r="AH73">
            <v>2171</v>
          </cell>
          <cell r="AI73">
            <v>2171</v>
          </cell>
          <cell r="AJ73">
            <v>2443</v>
          </cell>
          <cell r="AK73">
            <v>2171</v>
          </cell>
          <cell r="AL73">
            <v>2171</v>
          </cell>
          <cell r="AM73">
            <v>2443</v>
          </cell>
          <cell r="AN73">
            <v>2171</v>
          </cell>
          <cell r="AO73">
            <v>2171</v>
          </cell>
          <cell r="AP73">
            <v>2443</v>
          </cell>
          <cell r="AQ73">
            <v>2171</v>
          </cell>
          <cell r="AR73">
            <v>2171</v>
          </cell>
          <cell r="AS73">
            <v>2443</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row>
        <row r="74">
          <cell r="H74">
            <v>580</v>
          </cell>
          <cell r="I74" t="str">
            <v>Target (Budget) Total Personnel</v>
          </cell>
          <cell r="J74">
            <v>7756</v>
          </cell>
          <cell r="K74">
            <v>7756</v>
          </cell>
          <cell r="L74">
            <v>8726</v>
          </cell>
          <cell r="M74">
            <v>7756</v>
          </cell>
          <cell r="N74">
            <v>7756</v>
          </cell>
          <cell r="O74">
            <v>8726</v>
          </cell>
          <cell r="P74">
            <v>7756</v>
          </cell>
          <cell r="Q74">
            <v>7756</v>
          </cell>
          <cell r="R74">
            <v>8726</v>
          </cell>
          <cell r="S74">
            <v>7756</v>
          </cell>
          <cell r="T74">
            <v>7756</v>
          </cell>
          <cell r="U74">
            <v>8731</v>
          </cell>
          <cell r="V74">
            <v>7964</v>
          </cell>
          <cell r="W74">
            <v>7964</v>
          </cell>
          <cell r="X74">
            <v>8960</v>
          </cell>
          <cell r="Y74">
            <v>7964</v>
          </cell>
          <cell r="Z74">
            <v>7964</v>
          </cell>
          <cell r="AA74">
            <v>8960</v>
          </cell>
          <cell r="AB74">
            <v>7964</v>
          </cell>
          <cell r="AC74">
            <v>7964</v>
          </cell>
          <cell r="AD74">
            <v>8960</v>
          </cell>
          <cell r="AE74">
            <v>7964</v>
          </cell>
          <cell r="AF74">
            <v>7964</v>
          </cell>
          <cell r="AG74">
            <v>8963</v>
          </cell>
          <cell r="AH74">
            <v>8141</v>
          </cell>
          <cell r="AI74">
            <v>8141</v>
          </cell>
          <cell r="AJ74">
            <v>9159</v>
          </cell>
          <cell r="AK74">
            <v>8141</v>
          </cell>
          <cell r="AL74">
            <v>8141</v>
          </cell>
          <cell r="AM74">
            <v>9159</v>
          </cell>
          <cell r="AN74">
            <v>8141</v>
          </cell>
          <cell r="AO74">
            <v>8141</v>
          </cell>
          <cell r="AP74">
            <v>9159</v>
          </cell>
          <cell r="AQ74">
            <v>8141</v>
          </cell>
          <cell r="AR74">
            <v>8141</v>
          </cell>
          <cell r="AS74">
            <v>9155</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row>
        <row r="75">
          <cell r="H75">
            <v>581</v>
          </cell>
          <cell r="I75" t="str">
            <v>YTD Empl_Benefits</v>
          </cell>
          <cell r="J75">
            <v>1975</v>
          </cell>
          <cell r="K75">
            <v>3949</v>
          </cell>
          <cell r="L75">
            <v>6042</v>
          </cell>
          <cell r="M75">
            <v>8135</v>
          </cell>
          <cell r="N75">
            <v>10228</v>
          </cell>
          <cell r="O75">
            <v>12321</v>
          </cell>
          <cell r="P75">
            <v>14414</v>
          </cell>
          <cell r="Q75">
            <v>16507</v>
          </cell>
          <cell r="R75">
            <v>18600</v>
          </cell>
          <cell r="S75">
            <v>20693</v>
          </cell>
          <cell r="T75">
            <v>22786</v>
          </cell>
          <cell r="U75">
            <v>24879</v>
          </cell>
          <cell r="V75">
            <v>2093</v>
          </cell>
          <cell r="W75">
            <v>4186</v>
          </cell>
          <cell r="X75">
            <v>6339</v>
          </cell>
          <cell r="Y75">
            <v>8493</v>
          </cell>
          <cell r="Z75">
            <v>10646</v>
          </cell>
          <cell r="AA75">
            <v>12799</v>
          </cell>
          <cell r="AB75">
            <v>14953</v>
          </cell>
          <cell r="AC75">
            <v>17106</v>
          </cell>
          <cell r="AD75">
            <v>19259</v>
          </cell>
          <cell r="AE75">
            <v>21413</v>
          </cell>
          <cell r="AF75">
            <v>23566</v>
          </cell>
          <cell r="AG75">
            <v>25719</v>
          </cell>
          <cell r="AH75">
            <v>2153.33</v>
          </cell>
          <cell r="AI75">
            <v>4306.66</v>
          </cell>
          <cell r="AJ75">
            <v>6553.08</v>
          </cell>
          <cell r="AK75">
            <v>8799.5</v>
          </cell>
          <cell r="AL75">
            <v>11045.92</v>
          </cell>
          <cell r="AM75">
            <v>13292.34</v>
          </cell>
          <cell r="AN75">
            <v>15538.76</v>
          </cell>
          <cell r="AO75">
            <v>17785</v>
          </cell>
          <cell r="AP75">
            <v>20032</v>
          </cell>
          <cell r="AQ75">
            <v>22278</v>
          </cell>
          <cell r="AR75">
            <v>24514</v>
          </cell>
          <cell r="AS75">
            <v>26771</v>
          </cell>
          <cell r="AT75">
            <v>2246.42</v>
          </cell>
          <cell r="AU75">
            <v>4492.84</v>
          </cell>
          <cell r="AV75">
            <v>6847.83</v>
          </cell>
          <cell r="AW75">
            <v>9202.82</v>
          </cell>
          <cell r="AX75">
            <v>-124.77</v>
          </cell>
          <cell r="AY75">
            <v>-124.77</v>
          </cell>
          <cell r="AZ75">
            <v>-124.77</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row>
        <row r="76">
          <cell r="H76">
            <v>582</v>
          </cell>
          <cell r="I76" t="str">
            <v>YTD Total Benefits</v>
          </cell>
          <cell r="J76">
            <v>7865</v>
          </cell>
          <cell r="K76">
            <v>15730</v>
          </cell>
          <cell r="L76">
            <v>23870</v>
          </cell>
          <cell r="M76">
            <v>32009</v>
          </cell>
          <cell r="N76">
            <v>4148</v>
          </cell>
          <cell r="O76">
            <v>48287</v>
          </cell>
          <cell r="P76">
            <v>56426</v>
          </cell>
          <cell r="Q76">
            <v>54656</v>
          </cell>
          <cell r="R76">
            <v>72704</v>
          </cell>
          <cell r="S76">
            <v>80843</v>
          </cell>
          <cell r="T76">
            <v>88982</v>
          </cell>
          <cell r="U76">
            <v>97122</v>
          </cell>
          <cell r="V76">
            <v>8139</v>
          </cell>
          <cell r="W76">
            <v>16278</v>
          </cell>
          <cell r="X76">
            <v>24598</v>
          </cell>
          <cell r="Y76">
            <v>32918</v>
          </cell>
          <cell r="Z76">
            <v>41237</v>
          </cell>
          <cell r="AA76">
            <v>49557</v>
          </cell>
          <cell r="AB76">
            <v>57877</v>
          </cell>
          <cell r="AC76">
            <v>66197</v>
          </cell>
          <cell r="AD76">
            <v>74516</v>
          </cell>
          <cell r="AE76">
            <v>82836</v>
          </cell>
          <cell r="AF76">
            <v>91156</v>
          </cell>
          <cell r="AG76">
            <v>99476</v>
          </cell>
          <cell r="AH76">
            <v>8319.75</v>
          </cell>
          <cell r="AI76">
            <v>16639.5</v>
          </cell>
          <cell r="AJ76">
            <v>25174.86</v>
          </cell>
          <cell r="AK76">
            <v>33710.22</v>
          </cell>
          <cell r="AL76">
            <v>42245.59</v>
          </cell>
          <cell r="AM76">
            <v>50780.95</v>
          </cell>
          <cell r="AN76">
            <v>59316.310000000005</v>
          </cell>
          <cell r="AO76">
            <v>67852</v>
          </cell>
          <cell r="AP76">
            <v>76387</v>
          </cell>
          <cell r="AQ76">
            <v>84922</v>
          </cell>
          <cell r="AR76">
            <v>93458</v>
          </cell>
          <cell r="AS76">
            <v>101993</v>
          </cell>
          <cell r="AT76">
            <v>8535.36</v>
          </cell>
          <cell r="AU76">
            <v>17070.72</v>
          </cell>
          <cell r="AV76">
            <v>25839.46</v>
          </cell>
          <cell r="AW76">
            <v>34608.199999999997</v>
          </cell>
          <cell r="AX76">
            <v>-124.77</v>
          </cell>
          <cell r="AY76">
            <v>-124.77</v>
          </cell>
          <cell r="AZ76">
            <v>-124.77</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row>
        <row r="77">
          <cell r="H77">
            <v>583</v>
          </cell>
          <cell r="I77" t="str">
            <v>YTD Target (Budget) Empl_Benefits</v>
          </cell>
          <cell r="J77">
            <v>2006</v>
          </cell>
          <cell r="K77">
            <v>4012</v>
          </cell>
          <cell r="L77">
            <v>6269</v>
          </cell>
          <cell r="M77">
            <v>8275</v>
          </cell>
          <cell r="N77">
            <v>10281</v>
          </cell>
          <cell r="O77">
            <v>12538</v>
          </cell>
          <cell r="P77">
            <v>14544</v>
          </cell>
          <cell r="Q77">
            <v>16550</v>
          </cell>
          <cell r="R77">
            <v>18807</v>
          </cell>
          <cell r="S77">
            <v>20813</v>
          </cell>
          <cell r="T77">
            <v>22819</v>
          </cell>
          <cell r="U77">
            <v>25078</v>
          </cell>
          <cell r="V77">
            <v>2064</v>
          </cell>
          <cell r="W77">
            <v>4128</v>
          </cell>
          <cell r="X77">
            <v>6450</v>
          </cell>
          <cell r="Y77">
            <v>8514</v>
          </cell>
          <cell r="Z77">
            <v>10578</v>
          </cell>
          <cell r="AA77">
            <v>12900</v>
          </cell>
          <cell r="AB77">
            <v>14964</v>
          </cell>
          <cell r="AC77">
            <v>17028</v>
          </cell>
          <cell r="AD77">
            <v>19350</v>
          </cell>
          <cell r="AE77">
            <v>21414</v>
          </cell>
          <cell r="AF77">
            <v>23478</v>
          </cell>
          <cell r="AG77">
            <v>25802</v>
          </cell>
          <cell r="AH77">
            <v>2171</v>
          </cell>
          <cell r="AI77">
            <v>4342</v>
          </cell>
          <cell r="AJ77">
            <v>6785</v>
          </cell>
          <cell r="AK77">
            <v>8956</v>
          </cell>
          <cell r="AL77">
            <v>11127</v>
          </cell>
          <cell r="AM77">
            <v>13570</v>
          </cell>
          <cell r="AN77">
            <v>15741</v>
          </cell>
          <cell r="AO77">
            <v>17912</v>
          </cell>
          <cell r="AP77">
            <v>20355</v>
          </cell>
          <cell r="AQ77">
            <v>22526</v>
          </cell>
          <cell r="AR77">
            <v>24697</v>
          </cell>
          <cell r="AS77">
            <v>27140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row>
        <row r="78">
          <cell r="H78">
            <v>584</v>
          </cell>
          <cell r="I78" t="str">
            <v>YTD Target (Budget) Total Benefits</v>
          </cell>
          <cell r="J78">
            <v>7756</v>
          </cell>
          <cell r="K78">
            <v>15512</v>
          </cell>
          <cell r="L78">
            <v>24238</v>
          </cell>
          <cell r="M78">
            <v>31994</v>
          </cell>
          <cell r="N78">
            <v>39750</v>
          </cell>
          <cell r="O78">
            <v>48476</v>
          </cell>
          <cell r="P78">
            <v>56232</v>
          </cell>
          <cell r="Q78">
            <v>63998</v>
          </cell>
          <cell r="R78">
            <v>72714</v>
          </cell>
          <cell r="S78">
            <v>80470</v>
          </cell>
          <cell r="T78">
            <v>88226</v>
          </cell>
          <cell r="U78">
            <v>96957</v>
          </cell>
          <cell r="V78">
            <v>7964</v>
          </cell>
          <cell r="W78">
            <v>15928</v>
          </cell>
          <cell r="X78">
            <v>24888</v>
          </cell>
          <cell r="Y78">
            <v>32852</v>
          </cell>
          <cell r="Z78">
            <v>40816</v>
          </cell>
          <cell r="AA78">
            <v>49776</v>
          </cell>
          <cell r="AB78">
            <v>57740</v>
          </cell>
          <cell r="AC78">
            <v>65704</v>
          </cell>
          <cell r="AD78">
            <v>74664</v>
          </cell>
          <cell r="AE78">
            <v>82628</v>
          </cell>
          <cell r="AF78">
            <v>90592</v>
          </cell>
          <cell r="AG78">
            <v>99555</v>
          </cell>
          <cell r="AH78">
            <v>8141</v>
          </cell>
          <cell r="AI78">
            <v>16282</v>
          </cell>
          <cell r="AJ78">
            <v>25441</v>
          </cell>
          <cell r="AK78">
            <v>33582</v>
          </cell>
          <cell r="AL78">
            <v>41723</v>
          </cell>
          <cell r="AM78">
            <v>50882</v>
          </cell>
          <cell r="AN78">
            <v>59023</v>
          </cell>
          <cell r="AO78">
            <v>67164</v>
          </cell>
          <cell r="AP78">
            <v>76323</v>
          </cell>
          <cell r="AQ78">
            <v>54464</v>
          </cell>
          <cell r="AR78">
            <v>92605</v>
          </cell>
          <cell r="AS78">
            <v>101760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row>
        <row r="79">
          <cell r="H79">
            <v>585</v>
          </cell>
          <cell r="I79" t="str">
            <v>Actual</v>
          </cell>
          <cell r="J79">
            <v>-9465</v>
          </cell>
          <cell r="K79">
            <v>37520</v>
          </cell>
          <cell r="L79">
            <v>15146</v>
          </cell>
          <cell r="M79">
            <v>-8594</v>
          </cell>
          <cell r="N79">
            <v>16486</v>
          </cell>
          <cell r="O79">
            <v>-17252</v>
          </cell>
          <cell r="P79">
            <v>37857</v>
          </cell>
          <cell r="Q79">
            <v>43526</v>
          </cell>
          <cell r="R79">
            <v>-1038</v>
          </cell>
          <cell r="S79">
            <v>9922</v>
          </cell>
          <cell r="T79">
            <v>-392</v>
          </cell>
          <cell r="U79">
            <v>80143</v>
          </cell>
          <cell r="V79">
            <v>24116</v>
          </cell>
          <cell r="W79">
            <v>19409</v>
          </cell>
          <cell r="X79">
            <v>18911</v>
          </cell>
          <cell r="Y79">
            <v>18158</v>
          </cell>
          <cell r="Z79">
            <v>18910</v>
          </cell>
          <cell r="AA79">
            <v>6610</v>
          </cell>
          <cell r="AB79">
            <v>22992</v>
          </cell>
          <cell r="AC79">
            <v>21363</v>
          </cell>
          <cell r="AD79">
            <v>14006</v>
          </cell>
          <cell r="AE79">
            <v>21800</v>
          </cell>
          <cell r="AF79">
            <v>26690</v>
          </cell>
          <cell r="AG79">
            <v>12817</v>
          </cell>
          <cell r="AH79">
            <v>18909.739999999998</v>
          </cell>
          <cell r="AI79">
            <v>18910.8</v>
          </cell>
          <cell r="AJ79">
            <v>19908.079999999998</v>
          </cell>
          <cell r="AK79">
            <v>18498.03</v>
          </cell>
          <cell r="AL79">
            <v>17116.419999999998</v>
          </cell>
          <cell r="AM79">
            <v>18331.449999999997</v>
          </cell>
          <cell r="AN79">
            <v>18413.019999999997</v>
          </cell>
          <cell r="AO79">
            <v>18414</v>
          </cell>
          <cell r="AP79">
            <v>18393</v>
          </cell>
          <cell r="AQ79">
            <v>18414</v>
          </cell>
          <cell r="AR79">
            <v>16703</v>
          </cell>
          <cell r="AS79">
            <v>7490</v>
          </cell>
          <cell r="AT79">
            <v>-8866.6200000000008</v>
          </cell>
          <cell r="AU79">
            <v>-8867.7000000000007</v>
          </cell>
          <cell r="AV79">
            <v>-9341.2199999999993</v>
          </cell>
          <cell r="AW79">
            <v>-7532.66</v>
          </cell>
          <cell r="AX79">
            <v>34732.97</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row>
        <row r="80">
          <cell r="H80">
            <v>586</v>
          </cell>
          <cell r="I80" t="str">
            <v>Target (Budget)</v>
          </cell>
          <cell r="J80">
            <v>-1784</v>
          </cell>
          <cell r="K80">
            <v>-1784</v>
          </cell>
          <cell r="L80">
            <v>88232</v>
          </cell>
          <cell r="M80">
            <v>17396</v>
          </cell>
          <cell r="N80">
            <v>17396</v>
          </cell>
          <cell r="O80">
            <v>20427</v>
          </cell>
          <cell r="P80">
            <v>17396</v>
          </cell>
          <cell r="Q80">
            <v>17396</v>
          </cell>
          <cell r="R80">
            <v>21797</v>
          </cell>
          <cell r="S80">
            <v>17396</v>
          </cell>
          <cell r="T80">
            <v>17396</v>
          </cell>
          <cell r="U80">
            <v>21801</v>
          </cell>
          <cell r="V80">
            <v>18174</v>
          </cell>
          <cell r="W80">
            <v>18174</v>
          </cell>
          <cell r="X80">
            <v>23447</v>
          </cell>
          <cell r="Y80">
            <v>18174</v>
          </cell>
          <cell r="Z80">
            <v>18174</v>
          </cell>
          <cell r="AA80">
            <v>23447</v>
          </cell>
          <cell r="AB80">
            <v>18174</v>
          </cell>
          <cell r="AC80">
            <v>18174</v>
          </cell>
          <cell r="AD80">
            <v>23447</v>
          </cell>
          <cell r="AE80">
            <v>18174</v>
          </cell>
          <cell r="AF80">
            <v>18174</v>
          </cell>
          <cell r="AG80">
            <v>23449</v>
          </cell>
          <cell r="AH80">
            <v>17979</v>
          </cell>
          <cell r="AI80">
            <v>17979</v>
          </cell>
          <cell r="AJ80">
            <v>20227</v>
          </cell>
          <cell r="AK80">
            <v>17979</v>
          </cell>
          <cell r="AL80">
            <v>17979</v>
          </cell>
          <cell r="AM80">
            <v>20227</v>
          </cell>
          <cell r="AN80">
            <v>17979</v>
          </cell>
          <cell r="AO80">
            <v>17979</v>
          </cell>
          <cell r="AP80">
            <v>20227</v>
          </cell>
          <cell r="AQ80">
            <v>17979</v>
          </cell>
          <cell r="AR80">
            <v>17979</v>
          </cell>
          <cell r="AS80">
            <v>20236</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row>
        <row r="81">
          <cell r="H81">
            <v>589</v>
          </cell>
          <cell r="I81" t="str">
            <v>YTD Actual</v>
          </cell>
          <cell r="J81">
            <v>-9465</v>
          </cell>
          <cell r="K81">
            <v>28055</v>
          </cell>
          <cell r="L81">
            <v>43201</v>
          </cell>
          <cell r="M81">
            <v>34607</v>
          </cell>
          <cell r="N81">
            <v>51092</v>
          </cell>
          <cell r="O81">
            <v>33841</v>
          </cell>
          <cell r="P81">
            <v>71698</v>
          </cell>
          <cell r="Q81">
            <v>115224</v>
          </cell>
          <cell r="R81">
            <v>114186</v>
          </cell>
          <cell r="S81">
            <v>124108</v>
          </cell>
          <cell r="T81">
            <v>123716</v>
          </cell>
          <cell r="U81">
            <v>203859</v>
          </cell>
          <cell r="V81">
            <v>24116</v>
          </cell>
          <cell r="W81">
            <v>43525</v>
          </cell>
          <cell r="X81">
            <v>62436</v>
          </cell>
          <cell r="Y81">
            <v>80594</v>
          </cell>
          <cell r="Z81">
            <v>99504</v>
          </cell>
          <cell r="AA81">
            <v>106113</v>
          </cell>
          <cell r="AB81">
            <v>129106</v>
          </cell>
          <cell r="AC81">
            <v>150469</v>
          </cell>
          <cell r="AD81">
            <v>164474</v>
          </cell>
          <cell r="AE81">
            <v>186274</v>
          </cell>
          <cell r="AF81">
            <v>212965</v>
          </cell>
          <cell r="AG81">
            <v>225791</v>
          </cell>
          <cell r="AH81">
            <v>18909.739999999998</v>
          </cell>
          <cell r="AI81">
            <v>37820.539999999994</v>
          </cell>
          <cell r="AJ81">
            <v>57728.619999999995</v>
          </cell>
          <cell r="AK81">
            <v>76226.649999999994</v>
          </cell>
          <cell r="AL81">
            <v>93343.07</v>
          </cell>
          <cell r="AM81">
            <v>111674.51999999999</v>
          </cell>
          <cell r="AN81">
            <v>130087.54</v>
          </cell>
          <cell r="AO81">
            <v>148501</v>
          </cell>
          <cell r="AP81">
            <v>166894</v>
          </cell>
          <cell r="AQ81">
            <v>185308</v>
          </cell>
          <cell r="AR81">
            <v>202011</v>
          </cell>
          <cell r="AS81">
            <v>209501</v>
          </cell>
          <cell r="AT81">
            <v>-8866.6200000000008</v>
          </cell>
          <cell r="AU81">
            <v>-17734.32</v>
          </cell>
          <cell r="AV81">
            <v>-27075.54</v>
          </cell>
          <cell r="AW81">
            <v>-34608.199999999997</v>
          </cell>
          <cell r="AX81">
            <v>124.77</v>
          </cell>
          <cell r="AY81">
            <v>124.77</v>
          </cell>
          <cell r="AZ81">
            <v>124.77</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row>
        <row r="82">
          <cell r="H82">
            <v>590</v>
          </cell>
          <cell r="I82" t="str">
            <v>YTD Target (Budget)</v>
          </cell>
          <cell r="J82">
            <v>-1784</v>
          </cell>
          <cell r="K82">
            <v>-3568</v>
          </cell>
          <cell r="L82">
            <v>84664</v>
          </cell>
          <cell r="M82">
            <v>102060</v>
          </cell>
          <cell r="N82">
            <v>119456</v>
          </cell>
          <cell r="O82">
            <v>139883</v>
          </cell>
          <cell r="P82">
            <v>157279</v>
          </cell>
          <cell r="Q82">
            <v>174675</v>
          </cell>
          <cell r="R82">
            <v>196472</v>
          </cell>
          <cell r="S82">
            <v>123868</v>
          </cell>
          <cell r="T82">
            <v>231264</v>
          </cell>
          <cell r="U82">
            <v>253065</v>
          </cell>
          <cell r="V82">
            <v>18174</v>
          </cell>
          <cell r="W82">
            <v>36348</v>
          </cell>
          <cell r="X82">
            <v>59795</v>
          </cell>
          <cell r="Y82">
            <v>77969</v>
          </cell>
          <cell r="Z82">
            <v>96143</v>
          </cell>
          <cell r="AA82">
            <v>119590</v>
          </cell>
          <cell r="AB82">
            <v>137764</v>
          </cell>
          <cell r="AC82">
            <v>155938</v>
          </cell>
          <cell r="AD82">
            <v>179385</v>
          </cell>
          <cell r="AE82">
            <v>197559</v>
          </cell>
          <cell r="AF82">
            <v>215733</v>
          </cell>
          <cell r="AG82">
            <v>239182</v>
          </cell>
          <cell r="AH82">
            <v>17979</v>
          </cell>
          <cell r="AI82">
            <v>35958</v>
          </cell>
          <cell r="AJ82">
            <v>56185</v>
          </cell>
          <cell r="AK82">
            <v>74164</v>
          </cell>
          <cell r="AL82">
            <v>92143</v>
          </cell>
          <cell r="AM82">
            <v>112370</v>
          </cell>
          <cell r="AN82">
            <v>130349</v>
          </cell>
          <cell r="AO82">
            <v>148328</v>
          </cell>
          <cell r="AP82">
            <v>168555</v>
          </cell>
          <cell r="AQ82">
            <v>186534</v>
          </cell>
          <cell r="AR82">
            <v>204513</v>
          </cell>
          <cell r="AS82">
            <v>224749</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row>
        <row r="83">
          <cell r="H83">
            <v>597</v>
          </cell>
          <cell r="I83" t="str">
            <v>Actual</v>
          </cell>
          <cell r="J83">
            <v>-22430</v>
          </cell>
          <cell r="K83">
            <v>20522</v>
          </cell>
          <cell r="L83">
            <v>-3467</v>
          </cell>
          <cell r="M83">
            <v>-22807</v>
          </cell>
          <cell r="N83">
            <v>604</v>
          </cell>
          <cell r="O83">
            <v>-33159</v>
          </cell>
          <cell r="P83">
            <v>20952</v>
          </cell>
          <cell r="Q83">
            <v>26650</v>
          </cell>
          <cell r="R83">
            <v>-17642</v>
          </cell>
          <cell r="S83">
            <v>-7015</v>
          </cell>
          <cell r="T83">
            <v>-15708</v>
          </cell>
          <cell r="U83">
            <v>58638</v>
          </cell>
          <cell r="V83">
            <v>5718</v>
          </cell>
          <cell r="W83">
            <v>1312</v>
          </cell>
          <cell r="X83">
            <v>754</v>
          </cell>
          <cell r="Y83">
            <v>201</v>
          </cell>
          <cell r="Z83">
            <v>492</v>
          </cell>
          <cell r="AA83">
            <v>-11001</v>
          </cell>
          <cell r="AB83">
            <v>4716</v>
          </cell>
          <cell r="AC83">
            <v>3573</v>
          </cell>
          <cell r="AD83">
            <v>-4046</v>
          </cell>
          <cell r="AE83">
            <v>3404</v>
          </cell>
          <cell r="AF83">
            <v>8451</v>
          </cell>
          <cell r="AG83">
            <v>-5317</v>
          </cell>
          <cell r="AH83">
            <v>15467.249999999998</v>
          </cell>
          <cell r="AI83">
            <v>-12798.170000000002</v>
          </cell>
          <cell r="AJ83">
            <v>1705.369999999999</v>
          </cell>
          <cell r="AK83">
            <v>791.64999999999782</v>
          </cell>
          <cell r="AL83">
            <v>-297.89000000000306</v>
          </cell>
          <cell r="AM83">
            <v>812.16999999999825</v>
          </cell>
          <cell r="AN83">
            <v>970.18999999999505</v>
          </cell>
          <cell r="AO83">
            <v>1099</v>
          </cell>
          <cell r="AP83">
            <v>1498</v>
          </cell>
          <cell r="AQ83">
            <v>1457</v>
          </cell>
          <cell r="AR83">
            <v>-347</v>
          </cell>
          <cell r="AS83">
            <v>-8961</v>
          </cell>
          <cell r="AT83">
            <v>-8866.6200000000008</v>
          </cell>
          <cell r="AU83">
            <v>-8867.7000000000007</v>
          </cell>
          <cell r="AV83">
            <v>-9339.6999999999989</v>
          </cell>
          <cell r="AW83">
            <v>-7534.18</v>
          </cell>
          <cell r="AX83">
            <v>34732.97</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row>
        <row r="84">
          <cell r="H84">
            <v>598</v>
          </cell>
          <cell r="I84" t="str">
            <v>Target (Budget)</v>
          </cell>
          <cell r="J84">
            <v>-17549</v>
          </cell>
          <cell r="K84">
            <v>-17549</v>
          </cell>
          <cell r="L84">
            <v>70496</v>
          </cell>
          <cell r="M84">
            <v>1631</v>
          </cell>
          <cell r="N84">
            <v>1631</v>
          </cell>
          <cell r="O84">
            <v>2691</v>
          </cell>
          <cell r="P84">
            <v>1631</v>
          </cell>
          <cell r="Q84">
            <v>1631</v>
          </cell>
          <cell r="R84">
            <v>4061</v>
          </cell>
          <cell r="S84">
            <v>1631</v>
          </cell>
          <cell r="T84">
            <v>1631</v>
          </cell>
          <cell r="U84">
            <v>4069</v>
          </cell>
          <cell r="V84">
            <v>2147</v>
          </cell>
          <cell r="W84">
            <v>2148</v>
          </cell>
          <cell r="X84">
            <v>5417</v>
          </cell>
          <cell r="Y84">
            <v>2148</v>
          </cell>
          <cell r="Z84">
            <v>2148</v>
          </cell>
          <cell r="AA84">
            <v>5417</v>
          </cell>
          <cell r="AB84">
            <v>2148</v>
          </cell>
          <cell r="AC84">
            <v>2148</v>
          </cell>
          <cell r="AD84">
            <v>5417</v>
          </cell>
          <cell r="AE84">
            <v>2148</v>
          </cell>
          <cell r="AF84">
            <v>2148</v>
          </cell>
          <cell r="AG84">
            <v>5410</v>
          </cell>
          <cell r="AH84">
            <v>593</v>
          </cell>
          <cell r="AI84">
            <v>593</v>
          </cell>
          <cell r="AJ84">
            <v>667</v>
          </cell>
          <cell r="AK84">
            <v>593</v>
          </cell>
          <cell r="AL84">
            <v>593</v>
          </cell>
          <cell r="AM84">
            <v>667</v>
          </cell>
          <cell r="AN84">
            <v>593</v>
          </cell>
          <cell r="AO84">
            <v>593</v>
          </cell>
          <cell r="AP84">
            <v>667</v>
          </cell>
          <cell r="AQ84">
            <v>593</v>
          </cell>
          <cell r="AR84">
            <v>593</v>
          </cell>
          <cell r="AS84">
            <v>671</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row>
        <row r="85">
          <cell r="H85">
            <v>601</v>
          </cell>
          <cell r="I85" t="str">
            <v>YTD Actual</v>
          </cell>
          <cell r="J85">
            <v>-22430</v>
          </cell>
          <cell r="K85">
            <v>-1908</v>
          </cell>
          <cell r="L85">
            <v>-5375</v>
          </cell>
          <cell r="M85">
            <v>-28182</v>
          </cell>
          <cell r="N85">
            <v>-27577</v>
          </cell>
          <cell r="O85">
            <v>-60736</v>
          </cell>
          <cell r="P85">
            <v>-39784</v>
          </cell>
          <cell r="Q85">
            <v>-13134</v>
          </cell>
          <cell r="R85">
            <v>-30776</v>
          </cell>
          <cell r="S85">
            <v>-37791</v>
          </cell>
          <cell r="T85">
            <v>-53499</v>
          </cell>
          <cell r="U85">
            <v>5139</v>
          </cell>
          <cell r="V85">
            <v>5718</v>
          </cell>
          <cell r="W85">
            <v>7030</v>
          </cell>
          <cell r="X85">
            <v>7785</v>
          </cell>
          <cell r="Y85">
            <v>7986</v>
          </cell>
          <cell r="Z85">
            <v>8478</v>
          </cell>
          <cell r="AA85">
            <v>-2523</v>
          </cell>
          <cell r="AB85">
            <v>2193</v>
          </cell>
          <cell r="AC85">
            <v>5766</v>
          </cell>
          <cell r="AD85">
            <v>1721</v>
          </cell>
          <cell r="AE85">
            <v>5124</v>
          </cell>
          <cell r="AF85">
            <v>13575</v>
          </cell>
          <cell r="AG85">
            <v>8258</v>
          </cell>
          <cell r="AH85">
            <v>15467.249999999998</v>
          </cell>
          <cell r="AI85">
            <v>2669.0799999999945</v>
          </cell>
          <cell r="AJ85">
            <v>4374.4499999999971</v>
          </cell>
          <cell r="AK85">
            <v>5166.0999999999913</v>
          </cell>
          <cell r="AL85">
            <v>4868.210000000021</v>
          </cell>
          <cell r="AM85">
            <v>5680.3799999999901</v>
          </cell>
          <cell r="AN85">
            <v>6650.5699999999924</v>
          </cell>
          <cell r="AO85">
            <v>7749</v>
          </cell>
          <cell r="AP85">
            <v>9247</v>
          </cell>
          <cell r="AQ85">
            <v>10704</v>
          </cell>
          <cell r="AR85">
            <v>10357</v>
          </cell>
          <cell r="AS85">
            <v>1396</v>
          </cell>
          <cell r="AT85">
            <v>-8866.6200000000008</v>
          </cell>
          <cell r="AU85">
            <v>-17734.32</v>
          </cell>
          <cell r="AV85">
            <v>-27074.02</v>
          </cell>
          <cell r="AW85">
            <v>-34608.199999999997</v>
          </cell>
          <cell r="AX85">
            <v>124.77</v>
          </cell>
          <cell r="AY85">
            <v>124.77</v>
          </cell>
          <cell r="AZ85">
            <v>124.77</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row>
        <row r="86">
          <cell r="H86">
            <v>602</v>
          </cell>
          <cell r="I86" t="str">
            <v>YTD Target (Budget)</v>
          </cell>
          <cell r="J86">
            <v>-17549</v>
          </cell>
          <cell r="K86">
            <v>-35098</v>
          </cell>
          <cell r="L86">
            <v>35398</v>
          </cell>
          <cell r="M86">
            <v>37029</v>
          </cell>
          <cell r="N86">
            <v>38660</v>
          </cell>
          <cell r="O86">
            <v>41351</v>
          </cell>
          <cell r="P86">
            <v>42982</v>
          </cell>
          <cell r="Q86">
            <v>44613</v>
          </cell>
          <cell r="R86">
            <v>48674</v>
          </cell>
          <cell r="S86">
            <v>50305</v>
          </cell>
          <cell r="T86">
            <v>51936</v>
          </cell>
          <cell r="U86">
            <v>56005</v>
          </cell>
          <cell r="V86">
            <v>2148</v>
          </cell>
          <cell r="W86">
            <v>4296</v>
          </cell>
          <cell r="X86">
            <v>9713</v>
          </cell>
          <cell r="Y86">
            <v>11861</v>
          </cell>
          <cell r="Z86">
            <v>14009</v>
          </cell>
          <cell r="AA86">
            <v>19426</v>
          </cell>
          <cell r="AB86">
            <v>21574</v>
          </cell>
          <cell r="AC86">
            <v>23722</v>
          </cell>
          <cell r="AD86">
            <v>29139</v>
          </cell>
          <cell r="AE86">
            <v>31287</v>
          </cell>
          <cell r="AF86">
            <v>33435</v>
          </cell>
          <cell r="AG86">
            <v>38845</v>
          </cell>
          <cell r="AH86">
            <v>593</v>
          </cell>
          <cell r="AI86">
            <v>1186</v>
          </cell>
          <cell r="AJ86">
            <v>1853</v>
          </cell>
          <cell r="AK86">
            <v>2446</v>
          </cell>
          <cell r="AL86">
            <v>3039</v>
          </cell>
          <cell r="AM86">
            <v>3706</v>
          </cell>
          <cell r="AN86">
            <v>4299</v>
          </cell>
          <cell r="AO86">
            <v>4892</v>
          </cell>
          <cell r="AP86">
            <v>5559</v>
          </cell>
          <cell r="AQ86">
            <v>6152</v>
          </cell>
          <cell r="AR86">
            <v>6745</v>
          </cell>
          <cell r="AS86">
            <v>7416</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row>
        <row r="87">
          <cell r="H87">
            <v>609</v>
          </cell>
          <cell r="I87" t="str">
            <v>Actual</v>
          </cell>
          <cell r="J87">
            <v>18023</v>
          </cell>
          <cell r="K87">
            <v>46513</v>
          </cell>
          <cell r="L87">
            <v>10688</v>
          </cell>
          <cell r="M87">
            <v>37703</v>
          </cell>
          <cell r="N87">
            <v>10988</v>
          </cell>
          <cell r="O87">
            <v>32611</v>
          </cell>
          <cell r="P87">
            <v>600</v>
          </cell>
          <cell r="Q87">
            <v>-15744</v>
          </cell>
          <cell r="R87">
            <v>45785</v>
          </cell>
          <cell r="S87">
            <v>11119</v>
          </cell>
          <cell r="T87">
            <v>22260</v>
          </cell>
          <cell r="U87">
            <v>11427</v>
          </cell>
          <cell r="V87">
            <v>2452</v>
          </cell>
          <cell r="W87">
            <v>2452</v>
          </cell>
          <cell r="X87">
            <v>2452</v>
          </cell>
          <cell r="Y87">
            <v>2452</v>
          </cell>
          <cell r="Z87">
            <v>2452</v>
          </cell>
          <cell r="AA87">
            <v>14752</v>
          </cell>
          <cell r="AB87">
            <v>0</v>
          </cell>
          <cell r="AC87">
            <v>0</v>
          </cell>
          <cell r="AD87">
            <v>7356</v>
          </cell>
          <cell r="AE87">
            <v>2452</v>
          </cell>
          <cell r="AF87">
            <v>2452</v>
          </cell>
          <cell r="AG87">
            <v>2452</v>
          </cell>
          <cell r="AH87">
            <v>2451.88</v>
          </cell>
          <cell r="AI87">
            <v>2451.88</v>
          </cell>
          <cell r="AJ87">
            <v>2451.88</v>
          </cell>
          <cell r="AK87">
            <v>2567.38</v>
          </cell>
          <cell r="AL87">
            <v>2451.88</v>
          </cell>
          <cell r="AM87">
            <v>2533.23</v>
          </cell>
          <cell r="AN87">
            <v>2451.88</v>
          </cell>
          <cell r="AO87">
            <v>2452</v>
          </cell>
          <cell r="AP87">
            <v>2472</v>
          </cell>
          <cell r="AQ87">
            <v>2452</v>
          </cell>
          <cell r="AR87">
            <v>3188</v>
          </cell>
          <cell r="AS87">
            <v>17173</v>
          </cell>
          <cell r="AT87">
            <v>0</v>
          </cell>
          <cell r="AU87">
            <v>0</v>
          </cell>
          <cell r="AV87">
            <v>26.72</v>
          </cell>
          <cell r="AW87">
            <v>-26.72</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row>
        <row r="88">
          <cell r="H88">
            <v>610</v>
          </cell>
          <cell r="I88" t="str">
            <v>Target (Budget)</v>
          </cell>
          <cell r="J88">
            <v>27651</v>
          </cell>
          <cell r="K88">
            <v>27651</v>
          </cell>
          <cell r="L88">
            <v>27853</v>
          </cell>
          <cell r="M88">
            <v>8471</v>
          </cell>
          <cell r="N88">
            <v>8471</v>
          </cell>
          <cell r="O88">
            <v>8673</v>
          </cell>
          <cell r="P88">
            <v>8471</v>
          </cell>
          <cell r="Q88">
            <v>8471</v>
          </cell>
          <cell r="R88">
            <v>7303</v>
          </cell>
          <cell r="S88">
            <v>8471</v>
          </cell>
          <cell r="T88">
            <v>8471</v>
          </cell>
          <cell r="U88">
            <v>7301</v>
          </cell>
          <cell r="V88">
            <v>2354</v>
          </cell>
          <cell r="W88">
            <v>2354</v>
          </cell>
          <cell r="X88">
            <v>2648</v>
          </cell>
          <cell r="Y88">
            <v>2354</v>
          </cell>
          <cell r="Z88">
            <v>2354</v>
          </cell>
          <cell r="AA88">
            <v>2648</v>
          </cell>
          <cell r="AB88">
            <v>2354</v>
          </cell>
          <cell r="AC88">
            <v>2354</v>
          </cell>
          <cell r="AD88">
            <v>2648</v>
          </cell>
          <cell r="AE88">
            <v>2354</v>
          </cell>
          <cell r="AF88">
            <v>2354</v>
          </cell>
          <cell r="AG88">
            <v>2646</v>
          </cell>
          <cell r="AH88">
            <v>3388</v>
          </cell>
          <cell r="AI88">
            <v>3388</v>
          </cell>
          <cell r="AJ88">
            <v>3811</v>
          </cell>
          <cell r="AK88">
            <v>3388</v>
          </cell>
          <cell r="AL88">
            <v>3388</v>
          </cell>
          <cell r="AM88">
            <v>3811</v>
          </cell>
          <cell r="AN88">
            <v>3388</v>
          </cell>
          <cell r="AO88">
            <v>3388</v>
          </cell>
          <cell r="AP88">
            <v>3811</v>
          </cell>
          <cell r="AQ88">
            <v>338</v>
          </cell>
          <cell r="AR88">
            <v>3388</v>
          </cell>
          <cell r="AS88">
            <v>3811</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row>
        <row r="89">
          <cell r="H89">
            <v>613</v>
          </cell>
          <cell r="I89" t="str">
            <v>YTD Actual</v>
          </cell>
          <cell r="J89">
            <v>-22430</v>
          </cell>
          <cell r="K89">
            <v>-24338</v>
          </cell>
          <cell r="L89">
            <v>-29713</v>
          </cell>
          <cell r="M89">
            <v>-57895</v>
          </cell>
          <cell r="N89">
            <v>123916</v>
          </cell>
          <cell r="O89">
            <v>-146208</v>
          </cell>
          <cell r="P89">
            <v>157126</v>
          </cell>
          <cell r="Q89">
            <v>141383</v>
          </cell>
          <cell r="R89">
            <v>187168</v>
          </cell>
          <cell r="S89">
            <v>198286</v>
          </cell>
          <cell r="T89">
            <v>220547</v>
          </cell>
          <cell r="U89">
            <v>231974</v>
          </cell>
          <cell r="V89">
            <v>2452</v>
          </cell>
          <cell r="W89">
            <v>4904</v>
          </cell>
          <cell r="X89">
            <v>7356</v>
          </cell>
          <cell r="Y89">
            <v>9808</v>
          </cell>
          <cell r="Z89">
            <v>12259</v>
          </cell>
          <cell r="AA89">
            <v>27011</v>
          </cell>
          <cell r="AB89">
            <v>27011</v>
          </cell>
          <cell r="AC89">
            <v>27011</v>
          </cell>
          <cell r="AD89">
            <v>34367</v>
          </cell>
          <cell r="AE89">
            <v>36819</v>
          </cell>
          <cell r="AF89">
            <v>39271</v>
          </cell>
          <cell r="AG89">
            <v>41723</v>
          </cell>
          <cell r="AH89">
            <v>2451.88</v>
          </cell>
          <cell r="AI89">
            <v>4903.76</v>
          </cell>
          <cell r="AJ89">
            <v>7355.64</v>
          </cell>
          <cell r="AK89">
            <v>9923.02</v>
          </cell>
          <cell r="AL89">
            <v>12374.9</v>
          </cell>
          <cell r="AM89">
            <v>14908.130000000001</v>
          </cell>
          <cell r="AN89">
            <v>17360.009999999998</v>
          </cell>
          <cell r="AO89">
            <v>19812</v>
          </cell>
          <cell r="AP89">
            <v>22283</v>
          </cell>
          <cell r="AQ89">
            <v>24735</v>
          </cell>
          <cell r="AR89">
            <v>27923</v>
          </cell>
          <cell r="AS89">
            <v>45096</v>
          </cell>
          <cell r="AT89">
            <v>0</v>
          </cell>
          <cell r="AU89">
            <v>0</v>
          </cell>
          <cell r="AV89">
            <v>26.72</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row>
        <row r="90">
          <cell r="H90">
            <v>614</v>
          </cell>
          <cell r="I90" t="str">
            <v>YTD Target (Budget)</v>
          </cell>
          <cell r="J90">
            <v>-17549</v>
          </cell>
          <cell r="K90">
            <v>-52647</v>
          </cell>
          <cell r="L90">
            <v>-17249</v>
          </cell>
          <cell r="M90">
            <v>19780</v>
          </cell>
          <cell r="N90">
            <v>58440</v>
          </cell>
          <cell r="O90">
            <v>99791</v>
          </cell>
          <cell r="P90">
            <v>117241</v>
          </cell>
          <cell r="Q90">
            <v>125712</v>
          </cell>
          <cell r="R90">
            <v>33015</v>
          </cell>
          <cell r="S90">
            <v>141486</v>
          </cell>
          <cell r="T90">
            <v>149957</v>
          </cell>
          <cell r="U90">
            <v>157258</v>
          </cell>
          <cell r="V90">
            <v>2354</v>
          </cell>
          <cell r="W90">
            <v>4708</v>
          </cell>
          <cell r="X90">
            <v>7356</v>
          </cell>
          <cell r="Y90">
            <v>9710</v>
          </cell>
          <cell r="Z90">
            <v>12064</v>
          </cell>
          <cell r="AA90">
            <v>14712</v>
          </cell>
          <cell r="AB90">
            <v>17066</v>
          </cell>
          <cell r="AC90">
            <v>19420</v>
          </cell>
          <cell r="AD90">
            <v>22068</v>
          </cell>
          <cell r="AE90">
            <v>24422</v>
          </cell>
          <cell r="AF90">
            <v>26776</v>
          </cell>
          <cell r="AG90">
            <v>29422</v>
          </cell>
          <cell r="AH90">
            <v>3388</v>
          </cell>
          <cell r="AI90">
            <v>6776</v>
          </cell>
          <cell r="AJ90">
            <v>10587</v>
          </cell>
          <cell r="AK90">
            <v>13975</v>
          </cell>
          <cell r="AL90">
            <v>17363</v>
          </cell>
          <cell r="AM90">
            <v>21174</v>
          </cell>
          <cell r="AN90">
            <v>24562</v>
          </cell>
          <cell r="AO90">
            <v>27950</v>
          </cell>
          <cell r="AP90">
            <v>31761</v>
          </cell>
          <cell r="AQ90">
            <v>35149</v>
          </cell>
          <cell r="AR90">
            <v>38537</v>
          </cell>
          <cell r="AS90">
            <v>42348</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row>
        <row r="91">
          <cell r="H91">
            <v>718</v>
          </cell>
          <cell r="I91" t="str">
            <v>Actual</v>
          </cell>
          <cell r="J91">
            <v>10736</v>
          </cell>
          <cell r="K91">
            <v>20498</v>
          </cell>
          <cell r="L91">
            <v>11478</v>
          </cell>
          <cell r="M91">
            <v>14722</v>
          </cell>
          <cell r="N91">
            <v>16553</v>
          </cell>
          <cell r="O91">
            <v>10590</v>
          </cell>
          <cell r="P91">
            <v>25390</v>
          </cell>
          <cell r="Q91">
            <v>16327</v>
          </cell>
          <cell r="R91">
            <v>14848</v>
          </cell>
          <cell r="S91">
            <v>15271</v>
          </cell>
          <cell r="T91">
            <v>14388</v>
          </cell>
          <cell r="U91">
            <v>17739</v>
          </cell>
          <cell r="V91">
            <v>12069</v>
          </cell>
          <cell r="W91">
            <v>14718</v>
          </cell>
          <cell r="X91">
            <v>14640</v>
          </cell>
          <cell r="Y91">
            <v>18298</v>
          </cell>
          <cell r="Z91">
            <v>12980</v>
          </cell>
          <cell r="AA91">
            <v>12523</v>
          </cell>
          <cell r="AB91">
            <v>10550</v>
          </cell>
          <cell r="AC91">
            <v>16228</v>
          </cell>
          <cell r="AD91">
            <v>15357</v>
          </cell>
          <cell r="AE91">
            <v>12298</v>
          </cell>
          <cell r="AF91">
            <v>21708</v>
          </cell>
          <cell r="AG91">
            <v>15838</v>
          </cell>
          <cell r="AH91">
            <v>6148.67</v>
          </cell>
          <cell r="AI91">
            <v>5839.14</v>
          </cell>
          <cell r="AJ91">
            <v>10070.98</v>
          </cell>
          <cell r="AK91">
            <v>10975.9</v>
          </cell>
          <cell r="AL91">
            <v>9687.69</v>
          </cell>
          <cell r="AM91">
            <v>8304.07</v>
          </cell>
          <cell r="AN91">
            <v>9811.9500000000007</v>
          </cell>
          <cell r="AO91">
            <v>9521</v>
          </cell>
          <cell r="AP91">
            <v>9047</v>
          </cell>
          <cell r="AQ91">
            <v>7754</v>
          </cell>
          <cell r="AR91">
            <v>7049</v>
          </cell>
          <cell r="AS91">
            <v>11864</v>
          </cell>
          <cell r="AT91">
            <v>9165.86</v>
          </cell>
          <cell r="AU91">
            <v>3198.16</v>
          </cell>
          <cell r="AV91">
            <v>7197.38</v>
          </cell>
          <cell r="AW91">
            <v>11621.67</v>
          </cell>
          <cell r="AX91">
            <v>6194.72</v>
          </cell>
          <cell r="AY91">
            <v>11151.26</v>
          </cell>
          <cell r="AZ91">
            <v>6742.87</v>
          </cell>
          <cell r="BA91">
            <v>0</v>
          </cell>
          <cell r="BB91">
            <v>0</v>
          </cell>
          <cell r="BC91">
            <v>0</v>
          </cell>
          <cell r="BD91">
            <v>0</v>
          </cell>
          <cell r="BE91">
            <v>0</v>
          </cell>
          <cell r="BF91">
            <v>7222.33</v>
          </cell>
          <cell r="BG91">
            <v>10185.06</v>
          </cell>
          <cell r="BH91">
            <v>9064.81</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row>
        <row r="92">
          <cell r="H92">
            <v>719</v>
          </cell>
          <cell r="I92" t="str">
            <v>Target (Budget)</v>
          </cell>
          <cell r="J92">
            <v>16352</v>
          </cell>
          <cell r="K92">
            <v>16352</v>
          </cell>
          <cell r="L92">
            <v>18396</v>
          </cell>
          <cell r="M92">
            <v>16352</v>
          </cell>
          <cell r="N92">
            <v>16352</v>
          </cell>
          <cell r="O92">
            <v>18396</v>
          </cell>
          <cell r="P92">
            <v>16352</v>
          </cell>
          <cell r="Q92">
            <v>16352</v>
          </cell>
          <cell r="R92">
            <v>18396</v>
          </cell>
          <cell r="S92">
            <v>16352</v>
          </cell>
          <cell r="T92">
            <v>16352</v>
          </cell>
          <cell r="U92">
            <v>18396</v>
          </cell>
          <cell r="V92">
            <v>16352</v>
          </cell>
          <cell r="W92">
            <v>16352</v>
          </cell>
          <cell r="X92">
            <v>18396</v>
          </cell>
          <cell r="Y92">
            <v>16352</v>
          </cell>
          <cell r="Z92">
            <v>16352</v>
          </cell>
          <cell r="AA92">
            <v>18396</v>
          </cell>
          <cell r="AB92">
            <v>16352</v>
          </cell>
          <cell r="AC92">
            <v>16352</v>
          </cell>
          <cell r="AD92">
            <v>18396</v>
          </cell>
          <cell r="AE92">
            <v>16352</v>
          </cell>
          <cell r="AF92">
            <v>16352</v>
          </cell>
          <cell r="AG92">
            <v>18396</v>
          </cell>
          <cell r="AH92">
            <v>9281</v>
          </cell>
          <cell r="AI92">
            <v>9281</v>
          </cell>
          <cell r="AJ92">
            <v>10442</v>
          </cell>
          <cell r="AK92">
            <v>9281</v>
          </cell>
          <cell r="AL92">
            <v>9281</v>
          </cell>
          <cell r="AM92">
            <v>10442</v>
          </cell>
          <cell r="AN92">
            <v>9281</v>
          </cell>
          <cell r="AO92">
            <v>9281</v>
          </cell>
          <cell r="AP92">
            <v>10442</v>
          </cell>
          <cell r="AQ92">
            <v>9281</v>
          </cell>
          <cell r="AR92">
            <v>9281</v>
          </cell>
          <cell r="AS92">
            <v>10442</v>
          </cell>
          <cell r="AT92">
            <v>8882</v>
          </cell>
          <cell r="AU92">
            <v>9957</v>
          </cell>
          <cell r="AV92">
            <v>9585</v>
          </cell>
          <cell r="AW92">
            <v>13219</v>
          </cell>
          <cell r="AX92">
            <v>8759</v>
          </cell>
          <cell r="AY92">
            <v>7891</v>
          </cell>
          <cell r="AZ92">
            <v>7560</v>
          </cell>
          <cell r="BA92">
            <v>0</v>
          </cell>
          <cell r="BB92">
            <v>0</v>
          </cell>
          <cell r="BC92">
            <v>0</v>
          </cell>
          <cell r="BD92">
            <v>0</v>
          </cell>
          <cell r="BE92">
            <v>0</v>
          </cell>
          <cell r="BF92">
            <v>7870</v>
          </cell>
          <cell r="BG92">
            <v>8017</v>
          </cell>
          <cell r="BH92">
            <v>9848</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row>
        <row r="93">
          <cell r="H93">
            <v>722</v>
          </cell>
          <cell r="I93" t="str">
            <v>YTD Actual</v>
          </cell>
          <cell r="J93">
            <v>10736</v>
          </cell>
          <cell r="K93">
            <v>31234</v>
          </cell>
          <cell r="L93">
            <v>42712</v>
          </cell>
          <cell r="M93">
            <v>57434</v>
          </cell>
          <cell r="N93">
            <v>73987</v>
          </cell>
          <cell r="O93">
            <v>84577</v>
          </cell>
          <cell r="P93">
            <v>109967</v>
          </cell>
          <cell r="Q93">
            <v>126293</v>
          </cell>
          <cell r="R93">
            <v>141414</v>
          </cell>
          <cell r="S93">
            <v>156412</v>
          </cell>
          <cell r="T93">
            <v>170800</v>
          </cell>
          <cell r="U93">
            <v>188539</v>
          </cell>
          <cell r="V93">
            <v>12069</v>
          </cell>
          <cell r="W93">
            <v>26787</v>
          </cell>
          <cell r="X93">
            <v>41427</v>
          </cell>
          <cell r="Y93">
            <v>59725</v>
          </cell>
          <cell r="Z93">
            <v>72706</v>
          </cell>
          <cell r="AA93">
            <v>85229</v>
          </cell>
          <cell r="AB93">
            <v>95779</v>
          </cell>
          <cell r="AC93">
            <v>112007</v>
          </cell>
          <cell r="AD93">
            <v>127364</v>
          </cell>
          <cell r="AE93">
            <v>139662</v>
          </cell>
          <cell r="AF93">
            <v>161370</v>
          </cell>
          <cell r="AG93">
            <v>177208</v>
          </cell>
          <cell r="AH93">
            <v>6148.67</v>
          </cell>
          <cell r="AI93">
            <v>11987.81</v>
          </cell>
          <cell r="AJ93">
            <v>22058.79</v>
          </cell>
          <cell r="AK93">
            <v>33034.69</v>
          </cell>
          <cell r="AL93">
            <v>42722.38</v>
          </cell>
          <cell r="AM93">
            <v>51026.45</v>
          </cell>
          <cell r="AN93">
            <v>60838.399999999994</v>
          </cell>
          <cell r="AO93">
            <v>70359</v>
          </cell>
          <cell r="AP93">
            <v>79406</v>
          </cell>
          <cell r="AQ93">
            <v>87160</v>
          </cell>
          <cell r="AR93">
            <v>94209</v>
          </cell>
          <cell r="AS93">
            <v>106073</v>
          </cell>
          <cell r="AT93">
            <v>9165.86</v>
          </cell>
          <cell r="AU93">
            <v>12364.02</v>
          </cell>
          <cell r="AV93">
            <v>19561.400000000001</v>
          </cell>
          <cell r="AW93">
            <v>31183.07</v>
          </cell>
          <cell r="AX93">
            <v>37377.79</v>
          </cell>
          <cell r="AY93">
            <v>48529.05</v>
          </cell>
          <cell r="AZ93">
            <v>55271.92</v>
          </cell>
          <cell r="BA93">
            <v>0</v>
          </cell>
          <cell r="BB93">
            <v>0</v>
          </cell>
          <cell r="BC93">
            <v>0</v>
          </cell>
          <cell r="BD93">
            <v>0</v>
          </cell>
          <cell r="BE93">
            <v>0</v>
          </cell>
          <cell r="BF93">
            <v>7222.33</v>
          </cell>
          <cell r="BG93">
            <v>17407.39</v>
          </cell>
          <cell r="BH93">
            <v>26472.2</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row>
        <row r="94">
          <cell r="H94">
            <v>723</v>
          </cell>
          <cell r="I94" t="str">
            <v>YTD Target (Budget)</v>
          </cell>
          <cell r="J94">
            <v>16352</v>
          </cell>
          <cell r="K94">
            <v>32704</v>
          </cell>
          <cell r="L94">
            <v>51100</v>
          </cell>
          <cell r="M94">
            <v>67452</v>
          </cell>
          <cell r="N94">
            <v>83804</v>
          </cell>
          <cell r="O94">
            <v>102200</v>
          </cell>
          <cell r="P94">
            <v>118552</v>
          </cell>
          <cell r="Q94">
            <v>134904</v>
          </cell>
          <cell r="R94">
            <v>153300</v>
          </cell>
          <cell r="S94">
            <v>169652</v>
          </cell>
          <cell r="T94">
            <v>186004</v>
          </cell>
          <cell r="U94">
            <v>204400</v>
          </cell>
          <cell r="V94">
            <v>16352</v>
          </cell>
          <cell r="W94">
            <v>32704</v>
          </cell>
          <cell r="X94">
            <v>51100</v>
          </cell>
          <cell r="Y94">
            <v>67452</v>
          </cell>
          <cell r="Z94">
            <v>83804</v>
          </cell>
          <cell r="AA94">
            <v>102200</v>
          </cell>
          <cell r="AB94">
            <v>118552</v>
          </cell>
          <cell r="AC94">
            <v>134904</v>
          </cell>
          <cell r="AD94">
            <v>153300</v>
          </cell>
          <cell r="AE94">
            <v>169652</v>
          </cell>
          <cell r="AF94">
            <v>186004</v>
          </cell>
          <cell r="AG94">
            <v>204400</v>
          </cell>
          <cell r="AH94">
            <v>9281</v>
          </cell>
          <cell r="AI94">
            <v>18562</v>
          </cell>
          <cell r="AJ94">
            <v>29004</v>
          </cell>
          <cell r="AK94">
            <v>38285</v>
          </cell>
          <cell r="AL94">
            <v>47566</v>
          </cell>
          <cell r="AM94">
            <v>58008</v>
          </cell>
          <cell r="AN94">
            <v>67289</v>
          </cell>
          <cell r="AO94">
            <v>76570</v>
          </cell>
          <cell r="AP94">
            <v>87012</v>
          </cell>
          <cell r="AQ94">
            <v>96293</v>
          </cell>
          <cell r="AR94">
            <v>105574</v>
          </cell>
          <cell r="AS94">
            <v>116016</v>
          </cell>
          <cell r="AT94">
            <v>8882</v>
          </cell>
          <cell r="AU94">
            <v>18839</v>
          </cell>
          <cell r="AV94">
            <v>28424</v>
          </cell>
          <cell r="AW94">
            <v>41643</v>
          </cell>
          <cell r="AX94">
            <v>50402</v>
          </cell>
          <cell r="AY94">
            <v>58293</v>
          </cell>
          <cell r="AZ94">
            <v>65853</v>
          </cell>
          <cell r="BA94">
            <v>0</v>
          </cell>
          <cell r="BB94">
            <v>0</v>
          </cell>
          <cell r="BC94">
            <v>0</v>
          </cell>
          <cell r="BD94">
            <v>0</v>
          </cell>
          <cell r="BE94">
            <v>0</v>
          </cell>
          <cell r="BF94">
            <v>7870</v>
          </cell>
          <cell r="BG94">
            <v>15887</v>
          </cell>
          <cell r="BH94">
            <v>25735</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row>
        <row r="95">
          <cell r="H95">
            <v>730</v>
          </cell>
          <cell r="I95" t="str">
            <v>Actual</v>
          </cell>
          <cell r="J95">
            <v>14538</v>
          </cell>
          <cell r="K95">
            <v>12294</v>
          </cell>
          <cell r="L95">
            <v>11328</v>
          </cell>
          <cell r="M95">
            <v>13005</v>
          </cell>
          <cell r="N95">
            <v>15466</v>
          </cell>
          <cell r="O95">
            <v>10760</v>
          </cell>
          <cell r="P95">
            <v>6454</v>
          </cell>
          <cell r="Q95">
            <v>12379</v>
          </cell>
          <cell r="R95">
            <v>12124</v>
          </cell>
          <cell r="S95">
            <v>13348</v>
          </cell>
          <cell r="T95">
            <v>13491</v>
          </cell>
          <cell r="U95">
            <v>12637</v>
          </cell>
          <cell r="V95">
            <v>11992</v>
          </cell>
          <cell r="W95">
            <v>12365</v>
          </cell>
          <cell r="X95">
            <v>11698</v>
          </cell>
          <cell r="Y95">
            <v>15640</v>
          </cell>
          <cell r="Z95">
            <v>12541</v>
          </cell>
          <cell r="AA95">
            <v>12568</v>
          </cell>
          <cell r="AB95">
            <v>12227</v>
          </cell>
          <cell r="AC95">
            <v>13103</v>
          </cell>
          <cell r="AD95">
            <v>12839</v>
          </cell>
          <cell r="AE95">
            <v>13925</v>
          </cell>
          <cell r="AF95">
            <v>7360</v>
          </cell>
          <cell r="AG95">
            <v>7067</v>
          </cell>
          <cell r="AH95">
            <v>6568.4</v>
          </cell>
          <cell r="AI95">
            <v>6036.57</v>
          </cell>
          <cell r="AJ95">
            <v>6774.25</v>
          </cell>
          <cell r="AK95">
            <v>8884.2000000000007</v>
          </cell>
          <cell r="AL95">
            <v>7060</v>
          </cell>
          <cell r="AM95">
            <v>6298.88</v>
          </cell>
          <cell r="AN95">
            <v>6185.46</v>
          </cell>
          <cell r="AO95">
            <v>6513</v>
          </cell>
          <cell r="AP95">
            <v>7098</v>
          </cell>
          <cell r="AQ95">
            <v>6780</v>
          </cell>
          <cell r="AR95">
            <v>6924</v>
          </cell>
          <cell r="AS95">
            <v>6690</v>
          </cell>
          <cell r="AT95">
            <v>6689.9800000000005</v>
          </cell>
          <cell r="AU95">
            <v>6148.67</v>
          </cell>
          <cell r="AV95">
            <v>6815.72</v>
          </cell>
          <cell r="AW95">
            <v>6337.56</v>
          </cell>
          <cell r="AX95">
            <v>6564.4000000000005</v>
          </cell>
          <cell r="AY95">
            <v>7841.4000000000005</v>
          </cell>
          <cell r="AZ95">
            <v>7643.6200000000008</v>
          </cell>
          <cell r="BA95">
            <v>0</v>
          </cell>
          <cell r="BB95">
            <v>0</v>
          </cell>
          <cell r="BC95">
            <v>0</v>
          </cell>
          <cell r="BD95">
            <v>0</v>
          </cell>
          <cell r="BE95">
            <v>0</v>
          </cell>
          <cell r="BF95">
            <v>6000.6</v>
          </cell>
          <cell r="BG95">
            <v>8420.08</v>
          </cell>
          <cell r="BH95">
            <v>7566.42</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row>
        <row r="96">
          <cell r="H96">
            <v>731</v>
          </cell>
          <cell r="I96" t="str">
            <v>Target (Budget)</v>
          </cell>
          <cell r="J96">
            <v>12974</v>
          </cell>
          <cell r="K96">
            <v>12974</v>
          </cell>
          <cell r="L96">
            <v>14596</v>
          </cell>
          <cell r="M96">
            <v>12974</v>
          </cell>
          <cell r="N96">
            <v>12974</v>
          </cell>
          <cell r="O96">
            <v>14596</v>
          </cell>
          <cell r="P96">
            <v>12974</v>
          </cell>
          <cell r="Q96">
            <v>12974</v>
          </cell>
          <cell r="R96">
            <v>14596</v>
          </cell>
          <cell r="S96">
            <v>12974</v>
          </cell>
          <cell r="T96">
            <v>12974</v>
          </cell>
          <cell r="U96">
            <v>14595</v>
          </cell>
          <cell r="V96">
            <v>12184</v>
          </cell>
          <cell r="W96">
            <v>12184</v>
          </cell>
          <cell r="X96">
            <v>13707</v>
          </cell>
          <cell r="Y96">
            <v>12184</v>
          </cell>
          <cell r="Z96">
            <v>12184</v>
          </cell>
          <cell r="AA96">
            <v>13707</v>
          </cell>
          <cell r="AB96">
            <v>12184</v>
          </cell>
          <cell r="AC96">
            <v>12184</v>
          </cell>
          <cell r="AD96">
            <v>13707</v>
          </cell>
          <cell r="AE96">
            <v>12184</v>
          </cell>
          <cell r="AF96">
            <v>12184</v>
          </cell>
          <cell r="AG96">
            <v>13707</v>
          </cell>
          <cell r="AH96">
            <v>6858</v>
          </cell>
          <cell r="AI96">
            <v>6858</v>
          </cell>
          <cell r="AJ96">
            <v>7715</v>
          </cell>
          <cell r="AK96">
            <v>6858</v>
          </cell>
          <cell r="AL96">
            <v>6858</v>
          </cell>
          <cell r="AM96">
            <v>7715</v>
          </cell>
          <cell r="AN96">
            <v>6858</v>
          </cell>
          <cell r="AO96">
            <v>6858</v>
          </cell>
          <cell r="AP96">
            <v>7715</v>
          </cell>
          <cell r="AQ96">
            <v>6858</v>
          </cell>
          <cell r="AR96">
            <v>6858</v>
          </cell>
          <cell r="AS96">
            <v>7712</v>
          </cell>
          <cell r="AT96">
            <v>7128</v>
          </cell>
          <cell r="AU96">
            <v>6324</v>
          </cell>
          <cell r="AV96">
            <v>7581</v>
          </cell>
          <cell r="AW96">
            <v>9803</v>
          </cell>
          <cell r="AX96">
            <v>6190</v>
          </cell>
          <cell r="AY96">
            <v>7046</v>
          </cell>
          <cell r="AZ96">
            <v>6057</v>
          </cell>
          <cell r="BA96">
            <v>0</v>
          </cell>
          <cell r="BB96">
            <v>0</v>
          </cell>
          <cell r="BC96">
            <v>0</v>
          </cell>
          <cell r="BD96">
            <v>0</v>
          </cell>
          <cell r="BE96">
            <v>0</v>
          </cell>
          <cell r="BF96">
            <v>6729</v>
          </cell>
          <cell r="BG96">
            <v>6140</v>
          </cell>
          <cell r="BH96">
            <v>7469</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row>
        <row r="97">
          <cell r="H97">
            <v>734</v>
          </cell>
          <cell r="I97" t="str">
            <v>YTD Actual</v>
          </cell>
          <cell r="J97">
            <v>14538</v>
          </cell>
          <cell r="K97">
            <v>26831</v>
          </cell>
          <cell r="L97">
            <v>38159</v>
          </cell>
          <cell r="M97">
            <v>51164</v>
          </cell>
          <cell r="N97">
            <v>66630</v>
          </cell>
          <cell r="O97">
            <v>77390</v>
          </cell>
          <cell r="P97">
            <v>83843</v>
          </cell>
          <cell r="Q97">
            <v>96222</v>
          </cell>
          <cell r="R97">
            <v>108347</v>
          </cell>
          <cell r="S97">
            <v>121695</v>
          </cell>
          <cell r="T97">
            <v>135185</v>
          </cell>
          <cell r="U97">
            <v>147822</v>
          </cell>
          <cell r="V97">
            <v>11992</v>
          </cell>
          <cell r="W97">
            <v>24357</v>
          </cell>
          <cell r="X97">
            <v>36055</v>
          </cell>
          <cell r="Y97">
            <v>51694</v>
          </cell>
          <cell r="Z97">
            <v>64235</v>
          </cell>
          <cell r="AA97">
            <v>76803</v>
          </cell>
          <cell r="AB97">
            <v>89030</v>
          </cell>
          <cell r="AC97">
            <v>102134</v>
          </cell>
          <cell r="AD97">
            <v>114973</v>
          </cell>
          <cell r="AE97">
            <v>128898</v>
          </cell>
          <cell r="AF97">
            <v>136258</v>
          </cell>
          <cell r="AG97">
            <v>143325</v>
          </cell>
          <cell r="AH97">
            <v>6568.4</v>
          </cell>
          <cell r="AI97">
            <v>12604.970000000001</v>
          </cell>
          <cell r="AJ97">
            <v>19379.22</v>
          </cell>
          <cell r="AK97">
            <v>28263.42</v>
          </cell>
          <cell r="AL97">
            <v>35323.42</v>
          </cell>
          <cell r="AM97">
            <v>41622.299999999996</v>
          </cell>
          <cell r="AN97">
            <v>47807.76</v>
          </cell>
          <cell r="AO97">
            <v>54320</v>
          </cell>
          <cell r="AP97">
            <v>61419</v>
          </cell>
          <cell r="AQ97">
            <v>68199</v>
          </cell>
          <cell r="AR97">
            <v>75123</v>
          </cell>
          <cell r="AS97">
            <v>81813</v>
          </cell>
          <cell r="AT97">
            <v>6689.9800000000005</v>
          </cell>
          <cell r="AU97">
            <v>12838.650000000001</v>
          </cell>
          <cell r="AV97">
            <v>19654.370000000003</v>
          </cell>
          <cell r="AW97">
            <v>25991.93</v>
          </cell>
          <cell r="AX97">
            <v>32556.33</v>
          </cell>
          <cell r="AY97">
            <v>40397.729999999996</v>
          </cell>
          <cell r="AZ97">
            <v>48041.350000000006</v>
          </cell>
          <cell r="BA97">
            <v>0</v>
          </cell>
          <cell r="BB97">
            <v>0</v>
          </cell>
          <cell r="BC97">
            <v>0</v>
          </cell>
          <cell r="BD97">
            <v>0</v>
          </cell>
          <cell r="BE97">
            <v>0</v>
          </cell>
          <cell r="BF97">
            <v>6000.6</v>
          </cell>
          <cell r="BG97">
            <v>14420.68</v>
          </cell>
          <cell r="BH97">
            <v>21987.1</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row>
        <row r="98">
          <cell r="H98">
            <v>735</v>
          </cell>
          <cell r="I98" t="str">
            <v>YTD Target (Budget)</v>
          </cell>
          <cell r="J98">
            <v>12974</v>
          </cell>
          <cell r="K98">
            <v>25948</v>
          </cell>
          <cell r="L98">
            <v>40544</v>
          </cell>
          <cell r="M98">
            <v>53518</v>
          </cell>
          <cell r="N98">
            <v>66492</v>
          </cell>
          <cell r="O98">
            <v>81088</v>
          </cell>
          <cell r="P98">
            <v>94062</v>
          </cell>
          <cell r="Q98">
            <v>107036</v>
          </cell>
          <cell r="R98">
            <v>121632</v>
          </cell>
          <cell r="S98">
            <v>134606</v>
          </cell>
          <cell r="T98">
            <v>147580</v>
          </cell>
          <cell r="U98">
            <v>162175</v>
          </cell>
          <cell r="V98">
            <v>12184</v>
          </cell>
          <cell r="W98">
            <v>24368</v>
          </cell>
          <cell r="X98">
            <v>38075</v>
          </cell>
          <cell r="Y98">
            <v>50259</v>
          </cell>
          <cell r="Z98">
            <v>62443</v>
          </cell>
          <cell r="AA98">
            <v>76150</v>
          </cell>
          <cell r="AB98">
            <v>88334</v>
          </cell>
          <cell r="AC98">
            <v>100518</v>
          </cell>
          <cell r="AD98">
            <v>114225</v>
          </cell>
          <cell r="AE98">
            <v>126409</v>
          </cell>
          <cell r="AF98">
            <v>138593</v>
          </cell>
          <cell r="AG98">
            <v>152300</v>
          </cell>
          <cell r="AH98">
            <v>6858</v>
          </cell>
          <cell r="AI98">
            <v>13716</v>
          </cell>
          <cell r="AJ98">
            <v>21431</v>
          </cell>
          <cell r="AK98">
            <v>28289</v>
          </cell>
          <cell r="AL98">
            <v>35147</v>
          </cell>
          <cell r="AM98">
            <v>42862</v>
          </cell>
          <cell r="AN98">
            <v>49720</v>
          </cell>
          <cell r="AO98">
            <v>56578</v>
          </cell>
          <cell r="AP98">
            <v>64293</v>
          </cell>
          <cell r="AQ98">
            <v>71151</v>
          </cell>
          <cell r="AR98">
            <v>78009</v>
          </cell>
          <cell r="AS98">
            <v>85721</v>
          </cell>
          <cell r="AT98">
            <v>7128</v>
          </cell>
          <cell r="AU98">
            <v>13452</v>
          </cell>
          <cell r="AV98">
            <v>21033</v>
          </cell>
          <cell r="AW98">
            <v>30836</v>
          </cell>
          <cell r="AX98">
            <v>37026</v>
          </cell>
          <cell r="AY98">
            <v>44072</v>
          </cell>
          <cell r="AZ98">
            <v>50129</v>
          </cell>
          <cell r="BA98">
            <v>0</v>
          </cell>
          <cell r="BB98">
            <v>0</v>
          </cell>
          <cell r="BC98">
            <v>0</v>
          </cell>
          <cell r="BD98">
            <v>0</v>
          </cell>
          <cell r="BE98">
            <v>0</v>
          </cell>
          <cell r="BF98">
            <v>6729</v>
          </cell>
          <cell r="BG98">
            <v>12869</v>
          </cell>
          <cell r="BH98">
            <v>20338</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row>
        <row r="99">
          <cell r="H99">
            <v>754</v>
          </cell>
          <cell r="I99" t="str">
            <v>Empl_Benefits</v>
          </cell>
          <cell r="J99">
            <v>2911</v>
          </cell>
          <cell r="K99">
            <v>2911</v>
          </cell>
          <cell r="L99">
            <v>3088</v>
          </cell>
          <cell r="M99">
            <v>3088</v>
          </cell>
          <cell r="N99">
            <v>3088</v>
          </cell>
          <cell r="O99">
            <v>3088</v>
          </cell>
          <cell r="P99">
            <v>3088</v>
          </cell>
          <cell r="Q99">
            <v>3088</v>
          </cell>
          <cell r="R99">
            <v>3088</v>
          </cell>
          <cell r="S99">
            <v>3088</v>
          </cell>
          <cell r="T99">
            <v>3088</v>
          </cell>
          <cell r="U99">
            <v>3088</v>
          </cell>
          <cell r="V99">
            <v>2707</v>
          </cell>
          <cell r="W99">
            <v>3088</v>
          </cell>
          <cell r="X99">
            <v>2785</v>
          </cell>
          <cell r="Y99">
            <v>3079</v>
          </cell>
          <cell r="Z99">
            <v>3176</v>
          </cell>
          <cell r="AA99">
            <v>3176</v>
          </cell>
          <cell r="AB99">
            <v>2951</v>
          </cell>
          <cell r="AC99">
            <v>3176</v>
          </cell>
          <cell r="AD99">
            <v>3176</v>
          </cell>
          <cell r="AE99">
            <v>3259</v>
          </cell>
          <cell r="AF99">
            <v>1481</v>
          </cell>
          <cell r="AG99">
            <v>1481</v>
          </cell>
          <cell r="AH99">
            <v>1481.41</v>
          </cell>
          <cell r="AI99">
            <v>1481.41</v>
          </cell>
          <cell r="AJ99">
            <v>1545.54</v>
          </cell>
          <cell r="AK99">
            <v>1545.54</v>
          </cell>
          <cell r="AL99">
            <v>1545.54</v>
          </cell>
          <cell r="AM99">
            <v>1545.54</v>
          </cell>
          <cell r="AN99">
            <v>1545.54</v>
          </cell>
          <cell r="AO99">
            <v>1546</v>
          </cell>
          <cell r="AP99">
            <v>1546</v>
          </cell>
          <cell r="AQ99">
            <v>1546</v>
          </cell>
          <cell r="AR99">
            <v>1546</v>
          </cell>
          <cell r="AS99">
            <v>1546</v>
          </cell>
          <cell r="AT99">
            <v>1545.54</v>
          </cell>
          <cell r="AU99">
            <v>1545.54</v>
          </cell>
          <cell r="AV99">
            <v>1620.6</v>
          </cell>
          <cell r="AW99">
            <v>1620.6</v>
          </cell>
          <cell r="AX99">
            <v>1620.6</v>
          </cell>
          <cell r="AY99">
            <v>1620.6</v>
          </cell>
          <cell r="AZ99">
            <v>1620.6</v>
          </cell>
          <cell r="BA99">
            <v>0</v>
          </cell>
          <cell r="BB99">
            <v>0</v>
          </cell>
          <cell r="BC99">
            <v>0</v>
          </cell>
          <cell r="BD99">
            <v>0</v>
          </cell>
          <cell r="BE99">
            <v>0</v>
          </cell>
          <cell r="BF99">
            <v>1620.6</v>
          </cell>
          <cell r="BG99">
            <v>1620.6</v>
          </cell>
          <cell r="BH99">
            <v>1590.63</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row>
        <row r="100">
          <cell r="H100">
            <v>755</v>
          </cell>
          <cell r="I100" t="str">
            <v>Total Personnel</v>
          </cell>
          <cell r="J100">
            <v>11523</v>
          </cell>
          <cell r="K100">
            <v>11523</v>
          </cell>
          <cell r="L100">
            <v>11935</v>
          </cell>
          <cell r="M100">
            <v>11935</v>
          </cell>
          <cell r="N100">
            <v>11935</v>
          </cell>
          <cell r="O100">
            <v>11935</v>
          </cell>
          <cell r="P100">
            <v>11935</v>
          </cell>
          <cell r="Q100">
            <v>11935</v>
          </cell>
          <cell r="R100">
            <v>11935</v>
          </cell>
          <cell r="S100">
            <v>11935</v>
          </cell>
          <cell r="T100">
            <v>11935</v>
          </cell>
          <cell r="U100">
            <v>11935</v>
          </cell>
          <cell r="V100">
            <v>10465</v>
          </cell>
          <cell r="W100">
            <v>11935</v>
          </cell>
          <cell r="X100">
            <v>10698</v>
          </cell>
          <cell r="Y100">
            <v>2774</v>
          </cell>
          <cell r="Z100">
            <v>12200</v>
          </cell>
          <cell r="AA100">
            <v>12200</v>
          </cell>
          <cell r="AB100">
            <v>11336</v>
          </cell>
          <cell r="AC100">
            <v>12200</v>
          </cell>
          <cell r="AD100">
            <v>12200</v>
          </cell>
          <cell r="AE100">
            <v>13147</v>
          </cell>
          <cell r="AF100">
            <v>5690</v>
          </cell>
          <cell r="AG100">
            <v>5690</v>
          </cell>
          <cell r="AH100">
            <v>5689.96</v>
          </cell>
          <cell r="AI100">
            <v>5689.96</v>
          </cell>
          <cell r="AJ100">
            <v>5838.72</v>
          </cell>
          <cell r="AK100">
            <v>5838.72</v>
          </cell>
          <cell r="AL100">
            <v>5838.7</v>
          </cell>
          <cell r="AM100">
            <v>5838.72</v>
          </cell>
          <cell r="AN100">
            <v>5838.72</v>
          </cell>
          <cell r="AO100">
            <v>5839</v>
          </cell>
          <cell r="AP100">
            <v>5839</v>
          </cell>
          <cell r="AQ100">
            <v>5839</v>
          </cell>
          <cell r="AR100">
            <v>5839</v>
          </cell>
          <cell r="AS100">
            <v>5839</v>
          </cell>
          <cell r="AT100">
            <v>5838.72</v>
          </cell>
          <cell r="AU100">
            <v>5838.72</v>
          </cell>
          <cell r="AV100">
            <v>6000.6</v>
          </cell>
          <cell r="AW100">
            <v>6000.6</v>
          </cell>
          <cell r="AX100">
            <v>6000.6</v>
          </cell>
          <cell r="AY100">
            <v>6000.6</v>
          </cell>
          <cell r="AZ100">
            <v>6000.6</v>
          </cell>
          <cell r="BA100">
            <v>0</v>
          </cell>
          <cell r="BB100">
            <v>0</v>
          </cell>
          <cell r="BC100">
            <v>0</v>
          </cell>
          <cell r="BD100">
            <v>0</v>
          </cell>
          <cell r="BE100">
            <v>0</v>
          </cell>
          <cell r="BF100">
            <v>6000.6</v>
          </cell>
          <cell r="BG100">
            <v>6000.6</v>
          </cell>
          <cell r="BH100">
            <v>6058.68</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row>
        <row r="101">
          <cell r="H101">
            <v>756</v>
          </cell>
          <cell r="I101" t="str">
            <v>Target (Budget) Empl_Benefits</v>
          </cell>
          <cell r="J101">
            <v>2956</v>
          </cell>
          <cell r="K101">
            <v>2956</v>
          </cell>
          <cell r="L101">
            <v>3326</v>
          </cell>
          <cell r="M101">
            <v>2956</v>
          </cell>
          <cell r="N101">
            <v>2956</v>
          </cell>
          <cell r="O101">
            <v>3326</v>
          </cell>
          <cell r="P101">
            <v>2956</v>
          </cell>
          <cell r="Q101">
            <v>2956</v>
          </cell>
          <cell r="R101">
            <v>3326</v>
          </cell>
          <cell r="S101">
            <v>2956</v>
          </cell>
          <cell r="T101">
            <v>2956</v>
          </cell>
          <cell r="U101">
            <v>3330</v>
          </cell>
          <cell r="V101">
            <v>2774</v>
          </cell>
          <cell r="W101">
            <v>2774</v>
          </cell>
          <cell r="X101">
            <v>3121</v>
          </cell>
          <cell r="Y101">
            <v>11659</v>
          </cell>
          <cell r="Z101">
            <v>2774</v>
          </cell>
          <cell r="AA101">
            <v>3121</v>
          </cell>
          <cell r="AB101">
            <v>2774</v>
          </cell>
          <cell r="AC101">
            <v>2774</v>
          </cell>
          <cell r="AD101">
            <v>3121</v>
          </cell>
          <cell r="AE101">
            <v>2774</v>
          </cell>
          <cell r="AF101">
            <v>2774</v>
          </cell>
          <cell r="AG101">
            <v>3118</v>
          </cell>
          <cell r="AH101">
            <v>1494</v>
          </cell>
          <cell r="AI101">
            <v>1494</v>
          </cell>
          <cell r="AJ101">
            <v>1681</v>
          </cell>
          <cell r="AK101">
            <v>1494</v>
          </cell>
          <cell r="AL101">
            <v>1494</v>
          </cell>
          <cell r="AM101">
            <v>1681</v>
          </cell>
          <cell r="AN101">
            <v>1494</v>
          </cell>
          <cell r="AO101">
            <v>1494</v>
          </cell>
          <cell r="AP101">
            <v>1681</v>
          </cell>
          <cell r="AQ101">
            <v>1494</v>
          </cell>
          <cell r="AR101">
            <v>1494</v>
          </cell>
          <cell r="AS101">
            <v>1679</v>
          </cell>
          <cell r="AT101">
            <v>1544</v>
          </cell>
          <cell r="AU101">
            <v>1544</v>
          </cell>
          <cell r="AV101">
            <v>1736</v>
          </cell>
          <cell r="AW101">
            <v>1544</v>
          </cell>
          <cell r="AX101">
            <v>1544</v>
          </cell>
          <cell r="AY101">
            <v>1736</v>
          </cell>
          <cell r="AZ101">
            <v>1544</v>
          </cell>
          <cell r="BA101">
            <v>0</v>
          </cell>
          <cell r="BB101">
            <v>0</v>
          </cell>
          <cell r="BC101">
            <v>0</v>
          </cell>
          <cell r="BD101">
            <v>0</v>
          </cell>
          <cell r="BE101">
            <v>0</v>
          </cell>
          <cell r="BF101">
            <v>1532</v>
          </cell>
          <cell r="BG101">
            <v>1532</v>
          </cell>
          <cell r="BH101">
            <v>1723</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row>
        <row r="102">
          <cell r="H102">
            <v>757</v>
          </cell>
          <cell r="I102" t="str">
            <v>Target (Budget) Total Personnel</v>
          </cell>
          <cell r="J102">
            <v>11431</v>
          </cell>
          <cell r="K102">
            <v>11431</v>
          </cell>
          <cell r="L102">
            <v>12861</v>
          </cell>
          <cell r="M102">
            <v>11431</v>
          </cell>
          <cell r="N102">
            <v>11431</v>
          </cell>
          <cell r="O102">
            <v>12861</v>
          </cell>
          <cell r="P102">
            <v>11431</v>
          </cell>
          <cell r="Q102">
            <v>11431</v>
          </cell>
          <cell r="R102">
            <v>12861</v>
          </cell>
          <cell r="S102">
            <v>11431</v>
          </cell>
          <cell r="T102">
            <v>11431</v>
          </cell>
          <cell r="U102">
            <v>12867</v>
          </cell>
          <cell r="V102">
            <v>10638</v>
          </cell>
          <cell r="W102">
            <v>10638</v>
          </cell>
          <cell r="X102">
            <v>11968</v>
          </cell>
          <cell r="Y102">
            <v>11443</v>
          </cell>
          <cell r="Z102">
            <v>10638</v>
          </cell>
          <cell r="AA102">
            <v>11968</v>
          </cell>
          <cell r="AB102">
            <v>10638</v>
          </cell>
          <cell r="AC102">
            <v>10638</v>
          </cell>
          <cell r="AD102">
            <v>11968</v>
          </cell>
          <cell r="AE102">
            <v>10638</v>
          </cell>
          <cell r="AF102">
            <v>10638</v>
          </cell>
          <cell r="AG102">
            <v>11969</v>
          </cell>
          <cell r="AH102">
            <v>5302</v>
          </cell>
          <cell r="AI102">
            <v>5602</v>
          </cell>
          <cell r="AJ102">
            <v>6302</v>
          </cell>
          <cell r="AK102">
            <v>5602</v>
          </cell>
          <cell r="AL102">
            <v>5602</v>
          </cell>
          <cell r="AM102">
            <v>6302</v>
          </cell>
          <cell r="AN102">
            <v>5302</v>
          </cell>
          <cell r="AO102">
            <v>5602</v>
          </cell>
          <cell r="AP102">
            <v>6302</v>
          </cell>
          <cell r="AQ102">
            <v>5602</v>
          </cell>
          <cell r="AR102">
            <v>5602</v>
          </cell>
          <cell r="AS102">
            <v>6296</v>
          </cell>
          <cell r="AT102">
            <v>5734</v>
          </cell>
          <cell r="AU102">
            <v>5734</v>
          </cell>
          <cell r="AV102">
            <v>6450</v>
          </cell>
          <cell r="AW102">
            <v>5734</v>
          </cell>
          <cell r="AX102">
            <v>5734</v>
          </cell>
          <cell r="AY102">
            <v>6450</v>
          </cell>
          <cell r="AZ102">
            <v>5734</v>
          </cell>
          <cell r="BA102">
            <v>0</v>
          </cell>
          <cell r="BB102">
            <v>0</v>
          </cell>
          <cell r="BC102">
            <v>0</v>
          </cell>
          <cell r="BD102">
            <v>0</v>
          </cell>
          <cell r="BE102">
            <v>0</v>
          </cell>
          <cell r="BF102">
            <v>5807</v>
          </cell>
          <cell r="BG102">
            <v>5807</v>
          </cell>
          <cell r="BH102">
            <v>6532</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row>
        <row r="103">
          <cell r="H103">
            <v>758</v>
          </cell>
          <cell r="I103" t="str">
            <v>YTD Empl_Benefits</v>
          </cell>
          <cell r="J103">
            <v>2911</v>
          </cell>
          <cell r="K103">
            <v>5822</v>
          </cell>
          <cell r="L103">
            <v>8910</v>
          </cell>
          <cell r="M103">
            <v>11997</v>
          </cell>
          <cell r="N103">
            <v>15085</v>
          </cell>
          <cell r="O103">
            <v>18173</v>
          </cell>
          <cell r="P103">
            <v>21260</v>
          </cell>
          <cell r="Q103">
            <v>24348</v>
          </cell>
          <cell r="R103">
            <v>27435</v>
          </cell>
          <cell r="S103">
            <v>30523</v>
          </cell>
          <cell r="T103">
            <v>33611</v>
          </cell>
          <cell r="U103">
            <v>36698</v>
          </cell>
          <cell r="V103">
            <v>2707</v>
          </cell>
          <cell r="W103">
            <v>5795</v>
          </cell>
          <cell r="X103">
            <v>8580</v>
          </cell>
          <cell r="Y103">
            <v>11659</v>
          </cell>
          <cell r="Z103">
            <v>14835</v>
          </cell>
          <cell r="AA103">
            <v>18011</v>
          </cell>
          <cell r="AB103">
            <v>20963</v>
          </cell>
          <cell r="AC103">
            <v>24139</v>
          </cell>
          <cell r="AD103">
            <v>27315</v>
          </cell>
          <cell r="AE103">
            <v>30575</v>
          </cell>
          <cell r="AF103">
            <v>32056</v>
          </cell>
          <cell r="AG103">
            <v>33537</v>
          </cell>
          <cell r="AH103">
            <v>1481.41</v>
          </cell>
          <cell r="AI103">
            <v>2962.82</v>
          </cell>
          <cell r="AJ103">
            <v>4508.3599999999997</v>
          </cell>
          <cell r="AK103">
            <v>6053.9</v>
          </cell>
          <cell r="AL103">
            <v>7599.44</v>
          </cell>
          <cell r="AM103">
            <v>9144.98</v>
          </cell>
          <cell r="AN103">
            <v>10690.52</v>
          </cell>
          <cell r="AO103">
            <v>12236</v>
          </cell>
          <cell r="AP103">
            <v>13782</v>
          </cell>
          <cell r="AQ103">
            <v>15327</v>
          </cell>
          <cell r="AR103">
            <v>16873</v>
          </cell>
          <cell r="AS103">
            <v>18418</v>
          </cell>
          <cell r="AT103">
            <v>1545.54</v>
          </cell>
          <cell r="AU103">
            <v>3091.08</v>
          </cell>
          <cell r="AV103">
            <v>4711.68</v>
          </cell>
          <cell r="AW103">
            <v>6332.28</v>
          </cell>
          <cell r="AX103">
            <v>7952.88</v>
          </cell>
          <cell r="AY103">
            <v>9573.48</v>
          </cell>
          <cell r="AZ103">
            <v>11194.08</v>
          </cell>
          <cell r="BA103">
            <v>0</v>
          </cell>
          <cell r="BB103">
            <v>0</v>
          </cell>
          <cell r="BC103">
            <v>0</v>
          </cell>
          <cell r="BD103">
            <v>0</v>
          </cell>
          <cell r="BE103">
            <v>0</v>
          </cell>
          <cell r="BF103">
            <v>1620.6</v>
          </cell>
          <cell r="BG103">
            <v>3241.2</v>
          </cell>
          <cell r="BH103">
            <v>4831.83</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row>
        <row r="104">
          <cell r="H104">
            <v>759</v>
          </cell>
          <cell r="I104" t="str">
            <v>YTD Total Benefits</v>
          </cell>
          <cell r="J104">
            <v>11523</v>
          </cell>
          <cell r="K104">
            <v>23047</v>
          </cell>
          <cell r="L104">
            <v>34981</v>
          </cell>
          <cell r="M104">
            <v>46916</v>
          </cell>
          <cell r="N104">
            <v>58851</v>
          </cell>
          <cell r="O104">
            <v>70786</v>
          </cell>
          <cell r="P104">
            <v>82720</v>
          </cell>
          <cell r="Q104">
            <v>94655</v>
          </cell>
          <cell r="R104">
            <v>106590</v>
          </cell>
          <cell r="S104">
            <v>118525</v>
          </cell>
          <cell r="T104">
            <v>130465</v>
          </cell>
          <cell r="U104">
            <v>142394</v>
          </cell>
          <cell r="V104">
            <v>10465</v>
          </cell>
          <cell r="W104">
            <v>22400</v>
          </cell>
          <cell r="X104">
            <v>33097</v>
          </cell>
          <cell r="Y104">
            <v>44922</v>
          </cell>
          <cell r="Z104">
            <v>57121</v>
          </cell>
          <cell r="AA104">
            <v>69321</v>
          </cell>
          <cell r="AB104">
            <v>80657</v>
          </cell>
          <cell r="AC104">
            <v>92857</v>
          </cell>
          <cell r="AD104">
            <v>105057</v>
          </cell>
          <cell r="AE104">
            <v>118204</v>
          </cell>
          <cell r="AF104">
            <v>123894</v>
          </cell>
          <cell r="AG104">
            <v>129584</v>
          </cell>
          <cell r="AH104">
            <v>5689.96</v>
          </cell>
          <cell r="AI104">
            <v>11379.92</v>
          </cell>
          <cell r="AJ104">
            <v>17218.64</v>
          </cell>
          <cell r="AK104">
            <v>23057.360000000001</v>
          </cell>
          <cell r="AL104">
            <v>28896.059999999998</v>
          </cell>
          <cell r="AM104">
            <v>34734.78</v>
          </cell>
          <cell r="AN104">
            <v>40573.5</v>
          </cell>
          <cell r="AO104">
            <v>46412</v>
          </cell>
          <cell r="AP104">
            <v>52251</v>
          </cell>
          <cell r="AQ104">
            <v>58090</v>
          </cell>
          <cell r="AR104">
            <v>63928</v>
          </cell>
          <cell r="AS104">
            <v>69767</v>
          </cell>
          <cell r="AT104">
            <v>5838.72</v>
          </cell>
          <cell r="AU104">
            <v>11677.44</v>
          </cell>
          <cell r="AV104">
            <v>17678.04</v>
          </cell>
          <cell r="AW104">
            <v>23678.639999999999</v>
          </cell>
          <cell r="AX104">
            <v>29679.24</v>
          </cell>
          <cell r="AY104">
            <v>35679.839999999997</v>
          </cell>
          <cell r="AZ104">
            <v>41680.44</v>
          </cell>
          <cell r="BA104">
            <v>0</v>
          </cell>
          <cell r="BB104">
            <v>0</v>
          </cell>
          <cell r="BC104">
            <v>0</v>
          </cell>
          <cell r="BD104">
            <v>0</v>
          </cell>
          <cell r="BE104">
            <v>0</v>
          </cell>
          <cell r="BF104">
            <v>6000.6</v>
          </cell>
          <cell r="BG104">
            <v>12001.2</v>
          </cell>
          <cell r="BH104">
            <v>18059.879999999997</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row>
        <row r="105">
          <cell r="H105">
            <v>760</v>
          </cell>
          <cell r="I105" t="str">
            <v>YTD Target (Budget) Empl_Benefits</v>
          </cell>
          <cell r="J105">
            <v>2956</v>
          </cell>
          <cell r="K105">
            <v>5912</v>
          </cell>
          <cell r="L105">
            <v>9238</v>
          </cell>
          <cell r="M105">
            <v>12194</v>
          </cell>
          <cell r="N105">
            <v>15150</v>
          </cell>
          <cell r="O105">
            <v>18476</v>
          </cell>
          <cell r="P105">
            <v>21432</v>
          </cell>
          <cell r="Q105">
            <v>24388</v>
          </cell>
          <cell r="R105">
            <v>27714</v>
          </cell>
          <cell r="S105">
            <v>30670</v>
          </cell>
          <cell r="T105">
            <v>33626</v>
          </cell>
          <cell r="U105">
            <v>36959</v>
          </cell>
          <cell r="V105">
            <v>2774</v>
          </cell>
          <cell r="W105">
            <v>5548</v>
          </cell>
          <cell r="X105">
            <v>8669</v>
          </cell>
          <cell r="Y105">
            <v>11443</v>
          </cell>
          <cell r="Z105">
            <v>14217</v>
          </cell>
          <cell r="AA105">
            <v>17338</v>
          </cell>
          <cell r="AB105">
            <v>20112</v>
          </cell>
          <cell r="AC105">
            <v>22886</v>
          </cell>
          <cell r="AD105">
            <v>26007</v>
          </cell>
          <cell r="AE105">
            <v>28781</v>
          </cell>
          <cell r="AF105">
            <v>31555</v>
          </cell>
          <cell r="AG105">
            <v>34673</v>
          </cell>
          <cell r="AH105">
            <v>1494</v>
          </cell>
          <cell r="AI105">
            <v>2988</v>
          </cell>
          <cell r="AJ105">
            <v>4669</v>
          </cell>
          <cell r="AK105">
            <v>6163</v>
          </cell>
          <cell r="AL105">
            <v>7657</v>
          </cell>
          <cell r="AM105">
            <v>9338</v>
          </cell>
          <cell r="AN105">
            <v>10832</v>
          </cell>
          <cell r="AO105">
            <v>12326</v>
          </cell>
          <cell r="AP105">
            <v>14007</v>
          </cell>
          <cell r="AQ105">
            <v>15501</v>
          </cell>
          <cell r="AR105">
            <v>16995</v>
          </cell>
          <cell r="AS105">
            <v>18674</v>
          </cell>
          <cell r="AT105">
            <v>1544</v>
          </cell>
          <cell r="AU105">
            <v>3088</v>
          </cell>
          <cell r="AV105">
            <v>4824</v>
          </cell>
          <cell r="AW105">
            <v>6368</v>
          </cell>
          <cell r="AX105">
            <v>7912</v>
          </cell>
          <cell r="AY105">
            <v>9648</v>
          </cell>
          <cell r="AZ105">
            <v>11192</v>
          </cell>
          <cell r="BA105">
            <v>0</v>
          </cell>
          <cell r="BB105">
            <v>0</v>
          </cell>
          <cell r="BC105">
            <v>0</v>
          </cell>
          <cell r="BD105">
            <v>0</v>
          </cell>
          <cell r="BE105">
            <v>0</v>
          </cell>
          <cell r="BF105">
            <v>1532</v>
          </cell>
          <cell r="BG105">
            <v>3064</v>
          </cell>
          <cell r="BH105">
            <v>4787</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row>
        <row r="106">
          <cell r="H106">
            <v>761</v>
          </cell>
          <cell r="I106" t="str">
            <v>YTD Target (Budget) Total Benefits</v>
          </cell>
          <cell r="J106">
            <v>11431</v>
          </cell>
          <cell r="K106">
            <v>22862</v>
          </cell>
          <cell r="L106">
            <v>35723</v>
          </cell>
          <cell r="M106">
            <v>47154</v>
          </cell>
          <cell r="N106">
            <v>58585</v>
          </cell>
          <cell r="O106">
            <v>71446</v>
          </cell>
          <cell r="P106">
            <v>82877</v>
          </cell>
          <cell r="Q106">
            <v>94308</v>
          </cell>
          <cell r="R106">
            <v>107169</v>
          </cell>
          <cell r="S106">
            <v>118600</v>
          </cell>
          <cell r="T106">
            <v>130031</v>
          </cell>
          <cell r="U106">
            <v>142898</v>
          </cell>
          <cell r="V106">
            <v>10638</v>
          </cell>
          <cell r="W106">
            <v>21276</v>
          </cell>
          <cell r="X106">
            <v>33244</v>
          </cell>
          <cell r="Y106">
            <v>43882</v>
          </cell>
          <cell r="Z106">
            <v>54520</v>
          </cell>
          <cell r="AA106">
            <v>66488</v>
          </cell>
          <cell r="AB106">
            <v>77126</v>
          </cell>
          <cell r="AC106">
            <v>87764</v>
          </cell>
          <cell r="AD106">
            <v>99732</v>
          </cell>
          <cell r="AE106">
            <v>110370</v>
          </cell>
          <cell r="AF106">
            <v>121008</v>
          </cell>
          <cell r="AG106">
            <v>132977</v>
          </cell>
          <cell r="AH106">
            <v>5602</v>
          </cell>
          <cell r="AI106">
            <v>11204</v>
          </cell>
          <cell r="AJ106">
            <v>17506</v>
          </cell>
          <cell r="AK106">
            <v>23108</v>
          </cell>
          <cell r="AL106">
            <v>28710</v>
          </cell>
          <cell r="AM106">
            <v>35012</v>
          </cell>
          <cell r="AN106">
            <v>40614</v>
          </cell>
          <cell r="AO106">
            <v>46216</v>
          </cell>
          <cell r="AP106">
            <v>52518</v>
          </cell>
          <cell r="AQ106">
            <v>52120</v>
          </cell>
          <cell r="AR106">
            <v>63722</v>
          </cell>
          <cell r="AS106">
            <v>70018</v>
          </cell>
          <cell r="AT106">
            <v>5734</v>
          </cell>
          <cell r="AU106">
            <v>11468</v>
          </cell>
          <cell r="AV106">
            <v>17918</v>
          </cell>
          <cell r="AW106">
            <v>23652</v>
          </cell>
          <cell r="AX106">
            <v>29386</v>
          </cell>
          <cell r="AY106">
            <v>35836</v>
          </cell>
          <cell r="AZ106">
            <v>41570</v>
          </cell>
          <cell r="BA106">
            <v>0</v>
          </cell>
          <cell r="BB106">
            <v>0</v>
          </cell>
          <cell r="BC106">
            <v>0</v>
          </cell>
          <cell r="BD106">
            <v>0</v>
          </cell>
          <cell r="BE106">
            <v>0</v>
          </cell>
          <cell r="BF106">
            <v>5807</v>
          </cell>
          <cell r="BG106">
            <v>11614</v>
          </cell>
          <cell r="BH106">
            <v>18146</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row>
        <row r="107">
          <cell r="H107">
            <v>762</v>
          </cell>
          <cell r="I107" t="str">
            <v>Actual</v>
          </cell>
          <cell r="J107">
            <v>-3802</v>
          </cell>
          <cell r="K107">
            <v>8205</v>
          </cell>
          <cell r="L107">
            <v>150</v>
          </cell>
          <cell r="M107">
            <v>1717</v>
          </cell>
          <cell r="N107">
            <v>1087</v>
          </cell>
          <cell r="O107">
            <v>-170</v>
          </cell>
          <cell r="P107">
            <v>18936</v>
          </cell>
          <cell r="Q107">
            <v>3948</v>
          </cell>
          <cell r="R107">
            <v>2724</v>
          </cell>
          <cell r="S107">
            <v>1923</v>
          </cell>
          <cell r="T107">
            <v>897</v>
          </cell>
          <cell r="U107">
            <v>5103</v>
          </cell>
          <cell r="V107">
            <v>76</v>
          </cell>
          <cell r="W107">
            <v>2354</v>
          </cell>
          <cell r="X107">
            <v>2943</v>
          </cell>
          <cell r="Y107">
            <v>2659</v>
          </cell>
          <cell r="Z107">
            <v>439</v>
          </cell>
          <cell r="AA107">
            <v>-45</v>
          </cell>
          <cell r="AB107">
            <v>-1677</v>
          </cell>
          <cell r="AC107">
            <v>3125</v>
          </cell>
          <cell r="AD107">
            <v>15</v>
          </cell>
          <cell r="AE107">
            <v>-1627</v>
          </cell>
          <cell r="AF107">
            <v>14348</v>
          </cell>
          <cell r="AG107">
            <v>8771</v>
          </cell>
          <cell r="AH107">
            <v>-419.72999999999956</v>
          </cell>
          <cell r="AI107">
            <v>-197.42999999999938</v>
          </cell>
          <cell r="AJ107">
            <v>3296.7299999999996</v>
          </cell>
          <cell r="AK107">
            <v>2091.6999999999989</v>
          </cell>
          <cell r="AL107">
            <v>2627.6900000000005</v>
          </cell>
          <cell r="AM107">
            <v>2005.1899999999996</v>
          </cell>
          <cell r="AN107">
            <v>3626.4900000000007</v>
          </cell>
          <cell r="AO107">
            <v>16090</v>
          </cell>
          <cell r="AP107">
            <v>1949</v>
          </cell>
          <cell r="AQ107">
            <v>974</v>
          </cell>
          <cell r="AR107">
            <v>125</v>
          </cell>
          <cell r="AS107">
            <v>5174</v>
          </cell>
          <cell r="AT107">
            <v>2475.88</v>
          </cell>
          <cell r="AU107">
            <v>-2950.51</v>
          </cell>
          <cell r="AV107">
            <v>381.65999999999985</v>
          </cell>
          <cell r="AW107">
            <v>5284.11</v>
          </cell>
          <cell r="AX107">
            <v>-369.68000000000029</v>
          </cell>
          <cell r="AY107">
            <v>3309.8599999999997</v>
          </cell>
          <cell r="AZ107">
            <v>-900.75000000000091</v>
          </cell>
          <cell r="BA107">
            <v>0</v>
          </cell>
          <cell r="BB107">
            <v>0</v>
          </cell>
          <cell r="BC107">
            <v>0</v>
          </cell>
          <cell r="BD107">
            <v>0</v>
          </cell>
          <cell r="BE107">
            <v>0</v>
          </cell>
          <cell r="BF107">
            <v>1221.7299999999996</v>
          </cell>
          <cell r="BG107">
            <v>1764.9799999999996</v>
          </cell>
          <cell r="BH107">
            <v>1498.3899999999994</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row>
        <row r="108">
          <cell r="H108">
            <v>763</v>
          </cell>
          <cell r="I108" t="str">
            <v>Target (Budget)</v>
          </cell>
          <cell r="J108">
            <v>3378</v>
          </cell>
          <cell r="K108">
            <v>3378</v>
          </cell>
          <cell r="L108">
            <v>3800</v>
          </cell>
          <cell r="M108">
            <v>3378</v>
          </cell>
          <cell r="N108">
            <v>3378</v>
          </cell>
          <cell r="O108">
            <v>3800</v>
          </cell>
          <cell r="P108">
            <v>3378</v>
          </cell>
          <cell r="Q108">
            <v>3378</v>
          </cell>
          <cell r="R108">
            <v>3800</v>
          </cell>
          <cell r="S108">
            <v>3378</v>
          </cell>
          <cell r="T108">
            <v>3378</v>
          </cell>
          <cell r="U108">
            <v>3801</v>
          </cell>
          <cell r="V108">
            <v>4168</v>
          </cell>
          <cell r="W108">
            <v>4168</v>
          </cell>
          <cell r="X108">
            <v>4689</v>
          </cell>
          <cell r="Y108">
            <v>4168</v>
          </cell>
          <cell r="Z108">
            <v>4168</v>
          </cell>
          <cell r="AA108">
            <v>4689</v>
          </cell>
          <cell r="AB108">
            <v>4168</v>
          </cell>
          <cell r="AC108">
            <v>4168</v>
          </cell>
          <cell r="AD108">
            <v>1636</v>
          </cell>
          <cell r="AE108">
            <v>4168</v>
          </cell>
          <cell r="AF108">
            <v>4168</v>
          </cell>
          <cell r="AG108">
            <v>4689</v>
          </cell>
          <cell r="AH108">
            <v>2423</v>
          </cell>
          <cell r="AI108">
            <v>2423</v>
          </cell>
          <cell r="AJ108">
            <v>2727</v>
          </cell>
          <cell r="AK108">
            <v>2423</v>
          </cell>
          <cell r="AL108">
            <v>2423</v>
          </cell>
          <cell r="AM108">
            <v>2727</v>
          </cell>
          <cell r="AN108">
            <v>2423</v>
          </cell>
          <cell r="AO108">
            <v>108</v>
          </cell>
          <cell r="AP108">
            <v>2727</v>
          </cell>
          <cell r="AQ108">
            <v>2423</v>
          </cell>
          <cell r="AR108">
            <v>2423</v>
          </cell>
          <cell r="AS108">
            <v>2730</v>
          </cell>
          <cell r="AT108">
            <v>1754</v>
          </cell>
          <cell r="AU108">
            <v>3633</v>
          </cell>
          <cell r="AV108">
            <v>2004</v>
          </cell>
          <cell r="AW108">
            <v>3416</v>
          </cell>
          <cell r="AX108">
            <v>2569</v>
          </cell>
          <cell r="AY108">
            <v>845</v>
          </cell>
          <cell r="AZ108">
            <v>1503</v>
          </cell>
          <cell r="BA108">
            <v>0</v>
          </cell>
          <cell r="BB108">
            <v>0</v>
          </cell>
          <cell r="BC108">
            <v>0</v>
          </cell>
          <cell r="BD108">
            <v>0</v>
          </cell>
          <cell r="BE108">
            <v>0</v>
          </cell>
          <cell r="BF108">
            <v>1141</v>
          </cell>
          <cell r="BG108">
            <v>1877</v>
          </cell>
          <cell r="BH108">
            <v>2379</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row>
        <row r="109">
          <cell r="H109">
            <v>766</v>
          </cell>
          <cell r="I109" t="str">
            <v>YTD Actual</v>
          </cell>
          <cell r="J109">
            <v>-3802</v>
          </cell>
          <cell r="K109">
            <v>4403</v>
          </cell>
          <cell r="L109">
            <v>4553</v>
          </cell>
          <cell r="M109">
            <v>6270</v>
          </cell>
          <cell r="N109">
            <v>7357</v>
          </cell>
          <cell r="O109">
            <v>7187</v>
          </cell>
          <cell r="P109">
            <v>26123</v>
          </cell>
          <cell r="Q109">
            <v>30071</v>
          </cell>
          <cell r="R109">
            <v>32795</v>
          </cell>
          <cell r="S109">
            <v>34717</v>
          </cell>
          <cell r="T109">
            <v>35614</v>
          </cell>
          <cell r="U109">
            <v>40717</v>
          </cell>
          <cell r="V109">
            <v>76</v>
          </cell>
          <cell r="W109">
            <v>2430</v>
          </cell>
          <cell r="X109">
            <v>5372</v>
          </cell>
          <cell r="Y109">
            <v>8031</v>
          </cell>
          <cell r="Z109">
            <v>8470</v>
          </cell>
          <cell r="AA109">
            <v>8426</v>
          </cell>
          <cell r="AB109">
            <v>6749</v>
          </cell>
          <cell r="AC109">
            <v>9873</v>
          </cell>
          <cell r="AD109">
            <v>-8834</v>
          </cell>
          <cell r="AE109">
            <v>10764</v>
          </cell>
          <cell r="AF109">
            <v>25112</v>
          </cell>
          <cell r="AG109">
            <v>33883</v>
          </cell>
          <cell r="AH109">
            <v>-419.72999999999956</v>
          </cell>
          <cell r="AI109">
            <v>-617.16000000000167</v>
          </cell>
          <cell r="AJ109">
            <v>2679.5699999999997</v>
          </cell>
          <cell r="AK109">
            <v>4771.2700000000041</v>
          </cell>
          <cell r="AL109">
            <v>7398.9599999999991</v>
          </cell>
          <cell r="AM109">
            <v>9404.1500000000015</v>
          </cell>
          <cell r="AN109">
            <v>13030.639999999992</v>
          </cell>
          <cell r="AO109">
            <v>812</v>
          </cell>
          <cell r="AP109">
            <v>17987</v>
          </cell>
          <cell r="AQ109">
            <v>18962</v>
          </cell>
          <cell r="AR109">
            <v>19086</v>
          </cell>
          <cell r="AS109">
            <v>24260</v>
          </cell>
          <cell r="AT109">
            <v>2475.88</v>
          </cell>
          <cell r="AU109">
            <v>-474.63000000000102</v>
          </cell>
          <cell r="AV109">
            <v>-92.970000000001164</v>
          </cell>
          <cell r="AW109">
            <v>5191.1399999999994</v>
          </cell>
          <cell r="AX109">
            <v>4821.4599999999991</v>
          </cell>
          <cell r="AY109">
            <v>8131.320000000007</v>
          </cell>
          <cell r="AZ109">
            <v>7230.5699999999924</v>
          </cell>
          <cell r="BA109">
            <v>0</v>
          </cell>
          <cell r="BB109">
            <v>0</v>
          </cell>
          <cell r="BC109">
            <v>0</v>
          </cell>
          <cell r="BD109">
            <v>0</v>
          </cell>
          <cell r="BE109">
            <v>0</v>
          </cell>
          <cell r="BF109">
            <v>1221.7299999999996</v>
          </cell>
          <cell r="BG109">
            <v>2986.7099999999991</v>
          </cell>
          <cell r="BH109">
            <v>4485.1000000000022</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row>
        <row r="110">
          <cell r="H110">
            <v>767</v>
          </cell>
          <cell r="I110" t="str">
            <v>YTD Target (Budget)</v>
          </cell>
          <cell r="J110">
            <v>3378</v>
          </cell>
          <cell r="K110">
            <v>6756</v>
          </cell>
          <cell r="L110">
            <v>10556</v>
          </cell>
          <cell r="M110">
            <v>13934</v>
          </cell>
          <cell r="N110">
            <v>17312</v>
          </cell>
          <cell r="O110">
            <v>21112</v>
          </cell>
          <cell r="P110">
            <v>24490</v>
          </cell>
          <cell r="Q110">
            <v>27868</v>
          </cell>
          <cell r="R110">
            <v>31668</v>
          </cell>
          <cell r="S110">
            <v>35046</v>
          </cell>
          <cell r="T110">
            <v>38424</v>
          </cell>
          <cell r="U110">
            <v>42225</v>
          </cell>
          <cell r="V110">
            <v>4168</v>
          </cell>
          <cell r="W110">
            <v>8336</v>
          </cell>
          <cell r="X110">
            <v>13025</v>
          </cell>
          <cell r="Y110">
            <v>17193</v>
          </cell>
          <cell r="Z110">
            <v>21361</v>
          </cell>
          <cell r="AA110">
            <v>26050</v>
          </cell>
          <cell r="AB110">
            <v>30218</v>
          </cell>
          <cell r="AC110">
            <v>34386</v>
          </cell>
          <cell r="AD110">
            <v>13632</v>
          </cell>
          <cell r="AE110">
            <v>43243</v>
          </cell>
          <cell r="AF110">
            <v>47411</v>
          </cell>
          <cell r="AG110">
            <v>52100</v>
          </cell>
          <cell r="AH110">
            <v>2423</v>
          </cell>
          <cell r="AI110">
            <v>4846</v>
          </cell>
          <cell r="AJ110">
            <v>7573</v>
          </cell>
          <cell r="AK110">
            <v>9996</v>
          </cell>
          <cell r="AL110">
            <v>12419</v>
          </cell>
          <cell r="AM110">
            <v>15146</v>
          </cell>
          <cell r="AN110">
            <v>17569</v>
          </cell>
          <cell r="AO110">
            <v>896</v>
          </cell>
          <cell r="AP110">
            <v>22719</v>
          </cell>
          <cell r="AQ110">
            <v>25142</v>
          </cell>
          <cell r="AR110">
            <v>27565</v>
          </cell>
          <cell r="AS110">
            <v>30295</v>
          </cell>
          <cell r="AT110">
            <v>1754</v>
          </cell>
          <cell r="AU110">
            <v>5387</v>
          </cell>
          <cell r="AV110">
            <v>7391</v>
          </cell>
          <cell r="AW110">
            <v>10807</v>
          </cell>
          <cell r="AX110">
            <v>13376</v>
          </cell>
          <cell r="AY110">
            <v>14221</v>
          </cell>
          <cell r="AZ110">
            <v>15724</v>
          </cell>
          <cell r="BA110">
            <v>0</v>
          </cell>
          <cell r="BB110">
            <v>0</v>
          </cell>
          <cell r="BC110">
            <v>0</v>
          </cell>
          <cell r="BD110">
            <v>0</v>
          </cell>
          <cell r="BE110">
            <v>0</v>
          </cell>
          <cell r="BF110">
            <v>1141</v>
          </cell>
          <cell r="BG110">
            <v>3018</v>
          </cell>
          <cell r="BH110">
            <v>5397</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row>
        <row r="111">
          <cell r="H111">
            <v>774</v>
          </cell>
          <cell r="I111" t="str">
            <v>Actual</v>
          </cell>
          <cell r="J111">
            <v>-5962</v>
          </cell>
          <cell r="K111">
            <v>5401</v>
          </cell>
          <cell r="L111">
            <v>-2223</v>
          </cell>
          <cell r="M111">
            <v>-542</v>
          </cell>
          <cell r="N111">
            <v>-1351</v>
          </cell>
          <cell r="O111">
            <v>-2471</v>
          </cell>
          <cell r="P111">
            <v>16236</v>
          </cell>
          <cell r="Q111">
            <v>1509</v>
          </cell>
          <cell r="R111">
            <v>168</v>
          </cell>
          <cell r="S111">
            <v>-741</v>
          </cell>
          <cell r="T111">
            <v>-1477</v>
          </cell>
          <cell r="U111">
            <v>2346</v>
          </cell>
          <cell r="V111">
            <v>-2140</v>
          </cell>
          <cell r="W111">
            <v>-66</v>
          </cell>
          <cell r="X111">
            <v>542</v>
          </cell>
          <cell r="Y111">
            <v>257</v>
          </cell>
          <cell r="Z111">
            <v>-1966</v>
          </cell>
          <cell r="AA111">
            <v>-2397</v>
          </cell>
          <cell r="AB111">
            <v>-3824</v>
          </cell>
          <cell r="AC111">
            <v>746</v>
          </cell>
          <cell r="AD111">
            <v>15</v>
          </cell>
          <cell r="AE111">
            <v>-3924</v>
          </cell>
          <cell r="AF111">
            <v>11531</v>
          </cell>
          <cell r="AG111">
            <v>6351</v>
          </cell>
          <cell r="AH111">
            <v>-1162.9999999999995</v>
          </cell>
          <cell r="AI111">
            <v>-2973.7799999999993</v>
          </cell>
          <cell r="AJ111">
            <v>1175.9199999999996</v>
          </cell>
          <cell r="AK111">
            <v>154.30999999999904</v>
          </cell>
          <cell r="AL111">
            <v>727.72000000000048</v>
          </cell>
          <cell r="AM111">
            <v>115.92999999999938</v>
          </cell>
          <cell r="AN111">
            <v>-13315.080000000002</v>
          </cell>
          <cell r="AO111">
            <v>16090</v>
          </cell>
          <cell r="AP111">
            <v>124</v>
          </cell>
          <cell r="AQ111">
            <v>-758</v>
          </cell>
          <cell r="AR111">
            <v>-1561</v>
          </cell>
          <cell r="AS111">
            <v>3042</v>
          </cell>
          <cell r="AT111">
            <v>1043.77</v>
          </cell>
          <cell r="AU111">
            <v>-3736.4100000000003</v>
          </cell>
          <cell r="AV111">
            <v>-636.50000000000023</v>
          </cell>
          <cell r="AW111">
            <v>3702.6799999999994</v>
          </cell>
          <cell r="AX111">
            <v>-1454.9800000000005</v>
          </cell>
          <cell r="AY111">
            <v>2060.0099999999998</v>
          </cell>
          <cell r="AZ111">
            <v>-1888.4800000000009</v>
          </cell>
          <cell r="BA111">
            <v>0</v>
          </cell>
          <cell r="BB111">
            <v>0</v>
          </cell>
          <cell r="BC111">
            <v>0</v>
          </cell>
          <cell r="BD111">
            <v>0</v>
          </cell>
          <cell r="BE111">
            <v>0</v>
          </cell>
          <cell r="BF111">
            <v>16.699999999999591</v>
          </cell>
          <cell r="BG111">
            <v>430.50999999999954</v>
          </cell>
          <cell r="BH111">
            <v>376.39999999999941</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row>
        <row r="112">
          <cell r="H112">
            <v>775</v>
          </cell>
          <cell r="I112" t="str">
            <v>Target (Budget)</v>
          </cell>
          <cell r="J112">
            <v>744</v>
          </cell>
          <cell r="K112">
            <v>744</v>
          </cell>
          <cell r="L112">
            <v>836</v>
          </cell>
          <cell r="M112">
            <v>744</v>
          </cell>
          <cell r="N112">
            <v>744</v>
          </cell>
          <cell r="O112">
            <v>836</v>
          </cell>
          <cell r="P112">
            <v>744</v>
          </cell>
          <cell r="Q112">
            <v>744</v>
          </cell>
          <cell r="R112">
            <v>836</v>
          </cell>
          <cell r="S112">
            <v>744</v>
          </cell>
          <cell r="T112">
            <v>744</v>
          </cell>
          <cell r="U112">
            <v>831</v>
          </cell>
          <cell r="V112">
            <v>1454</v>
          </cell>
          <cell r="W112">
            <v>1454</v>
          </cell>
          <cell r="X112">
            <v>1636</v>
          </cell>
          <cell r="Y112">
            <v>1454</v>
          </cell>
          <cell r="Z112">
            <v>1454</v>
          </cell>
          <cell r="AA112">
            <v>1636</v>
          </cell>
          <cell r="AB112">
            <v>1454</v>
          </cell>
          <cell r="AC112">
            <v>1454</v>
          </cell>
          <cell r="AD112">
            <v>1636</v>
          </cell>
          <cell r="AE112">
            <v>1454</v>
          </cell>
          <cell r="AF112">
            <v>1454</v>
          </cell>
          <cell r="AG112">
            <v>1638</v>
          </cell>
          <cell r="AH112">
            <v>108</v>
          </cell>
          <cell r="AI112">
            <v>108</v>
          </cell>
          <cell r="AJ112">
            <v>124</v>
          </cell>
          <cell r="AK112">
            <v>108</v>
          </cell>
          <cell r="AL112">
            <v>108</v>
          </cell>
          <cell r="AM112">
            <v>124</v>
          </cell>
          <cell r="AN112">
            <v>108</v>
          </cell>
          <cell r="AO112">
            <v>108</v>
          </cell>
          <cell r="AP112">
            <v>124</v>
          </cell>
          <cell r="AQ112">
            <v>108</v>
          </cell>
          <cell r="AR112">
            <v>108</v>
          </cell>
          <cell r="AS112">
            <v>128</v>
          </cell>
          <cell r="AT112">
            <v>253</v>
          </cell>
          <cell r="AU112">
            <v>2004</v>
          </cell>
          <cell r="AV112">
            <v>307</v>
          </cell>
          <cell r="AW112">
            <v>1851</v>
          </cell>
          <cell r="AX112">
            <v>1004</v>
          </cell>
          <cell r="AY112">
            <v>-788</v>
          </cell>
          <cell r="AZ112">
            <v>2</v>
          </cell>
          <cell r="BA112">
            <v>0</v>
          </cell>
          <cell r="BB112">
            <v>0</v>
          </cell>
          <cell r="BC112">
            <v>0</v>
          </cell>
          <cell r="BD112">
            <v>0</v>
          </cell>
          <cell r="BE112">
            <v>0</v>
          </cell>
          <cell r="BF112">
            <v>-362</v>
          </cell>
          <cell r="BG112">
            <v>1009</v>
          </cell>
          <cell r="BH112">
            <v>1283</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row>
        <row r="113">
          <cell r="H113">
            <v>778</v>
          </cell>
          <cell r="I113" t="str">
            <v>YTD Actual</v>
          </cell>
          <cell r="J113">
            <v>-5962</v>
          </cell>
          <cell r="K113">
            <v>-561</v>
          </cell>
          <cell r="L113">
            <v>-2784</v>
          </cell>
          <cell r="M113">
            <v>-3325</v>
          </cell>
          <cell r="N113">
            <v>-4676</v>
          </cell>
          <cell r="O113">
            <v>-7147</v>
          </cell>
          <cell r="P113">
            <v>9089</v>
          </cell>
          <cell r="Q113">
            <v>10598</v>
          </cell>
          <cell r="R113">
            <v>10766</v>
          </cell>
          <cell r="S113">
            <v>1025</v>
          </cell>
          <cell r="T113">
            <v>8548</v>
          </cell>
          <cell r="U113">
            <v>10894</v>
          </cell>
          <cell r="V113">
            <v>-2140</v>
          </cell>
          <cell r="W113">
            <v>-2206</v>
          </cell>
          <cell r="X113">
            <v>-1664</v>
          </cell>
          <cell r="Y113">
            <v>-1407</v>
          </cell>
          <cell r="Z113">
            <v>-3373</v>
          </cell>
          <cell r="AA113">
            <v>-5770</v>
          </cell>
          <cell r="AB113">
            <v>-9595</v>
          </cell>
          <cell r="AC113">
            <v>-8848</v>
          </cell>
          <cell r="AD113">
            <v>-8834</v>
          </cell>
          <cell r="AE113">
            <v>-12758</v>
          </cell>
          <cell r="AF113">
            <v>-1227</v>
          </cell>
          <cell r="AG113">
            <v>5125</v>
          </cell>
          <cell r="AH113">
            <v>-1162.9999999999995</v>
          </cell>
          <cell r="AI113">
            <v>-4136.7800000000016</v>
          </cell>
          <cell r="AJ113">
            <v>-2960.8599999999997</v>
          </cell>
          <cell r="AK113">
            <v>-2806.5499999999965</v>
          </cell>
          <cell r="AL113">
            <v>-2078.83</v>
          </cell>
          <cell r="AM113">
            <v>-1962.8999999999978</v>
          </cell>
          <cell r="AN113">
            <v>-15277.98000000001</v>
          </cell>
          <cell r="AO113">
            <v>812</v>
          </cell>
          <cell r="AP113">
            <v>936</v>
          </cell>
          <cell r="AQ113">
            <v>178</v>
          </cell>
          <cell r="AR113">
            <v>-1383</v>
          </cell>
          <cell r="AS113">
            <v>1660</v>
          </cell>
          <cell r="AT113">
            <v>1043.77</v>
          </cell>
          <cell r="AU113">
            <v>-2692.6400000000012</v>
          </cell>
          <cell r="AV113">
            <v>-3329.1400000000012</v>
          </cell>
          <cell r="AW113">
            <v>373.53999999999905</v>
          </cell>
          <cell r="AX113">
            <v>-1081.4400000000005</v>
          </cell>
          <cell r="AY113">
            <v>978.57000000000698</v>
          </cell>
          <cell r="AZ113">
            <v>-909.91000000000713</v>
          </cell>
          <cell r="BA113">
            <v>0</v>
          </cell>
          <cell r="BB113">
            <v>0</v>
          </cell>
          <cell r="BC113">
            <v>0</v>
          </cell>
          <cell r="BD113">
            <v>0</v>
          </cell>
          <cell r="BE113">
            <v>0</v>
          </cell>
          <cell r="BF113">
            <v>16.699999999999591</v>
          </cell>
          <cell r="BG113">
            <v>447.20999999999913</v>
          </cell>
          <cell r="BH113">
            <v>823.61000000000195</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row>
        <row r="114">
          <cell r="H114">
            <v>779</v>
          </cell>
          <cell r="I114" t="str">
            <v>YTD Target (Budget)</v>
          </cell>
          <cell r="J114">
            <v>744</v>
          </cell>
          <cell r="K114">
            <v>1488</v>
          </cell>
          <cell r="L114">
            <v>2324</v>
          </cell>
          <cell r="M114">
            <v>3068</v>
          </cell>
          <cell r="N114">
            <v>3812</v>
          </cell>
          <cell r="O114">
            <v>4648</v>
          </cell>
          <cell r="P114">
            <v>5392</v>
          </cell>
          <cell r="Q114">
            <v>6136</v>
          </cell>
          <cell r="R114">
            <v>6972</v>
          </cell>
          <cell r="S114">
            <v>7716</v>
          </cell>
          <cell r="T114">
            <v>8460</v>
          </cell>
          <cell r="U114">
            <v>9291</v>
          </cell>
          <cell r="V114">
            <v>1454</v>
          </cell>
          <cell r="W114">
            <v>2908</v>
          </cell>
          <cell r="X114">
            <v>4544</v>
          </cell>
          <cell r="Y114">
            <v>5998</v>
          </cell>
          <cell r="Z114">
            <v>7452</v>
          </cell>
          <cell r="AA114">
            <v>9088</v>
          </cell>
          <cell r="AB114">
            <v>10542</v>
          </cell>
          <cell r="AC114">
            <v>11996</v>
          </cell>
          <cell r="AD114">
            <v>13632</v>
          </cell>
          <cell r="AE114">
            <v>15086</v>
          </cell>
          <cell r="AF114">
            <v>16540</v>
          </cell>
          <cell r="AG114">
            <v>18178</v>
          </cell>
          <cell r="AH114">
            <v>108</v>
          </cell>
          <cell r="AI114">
            <v>216</v>
          </cell>
          <cell r="AJ114">
            <v>340</v>
          </cell>
          <cell r="AK114">
            <v>448</v>
          </cell>
          <cell r="AL114">
            <v>556</v>
          </cell>
          <cell r="AM114">
            <v>680</v>
          </cell>
          <cell r="AN114">
            <v>788</v>
          </cell>
          <cell r="AO114">
            <v>896</v>
          </cell>
          <cell r="AP114">
            <v>1020</v>
          </cell>
          <cell r="AQ114">
            <v>1128</v>
          </cell>
          <cell r="AR114">
            <v>1236</v>
          </cell>
          <cell r="AS114">
            <v>1364</v>
          </cell>
          <cell r="AT114">
            <v>253</v>
          </cell>
          <cell r="AU114">
            <v>2257</v>
          </cell>
          <cell r="AV114">
            <v>2564</v>
          </cell>
          <cell r="AW114">
            <v>4415</v>
          </cell>
          <cell r="AX114">
            <v>5419</v>
          </cell>
          <cell r="AY114">
            <v>4631</v>
          </cell>
          <cell r="AZ114">
            <v>4633</v>
          </cell>
          <cell r="BA114">
            <v>0</v>
          </cell>
          <cell r="BB114">
            <v>0</v>
          </cell>
          <cell r="BC114">
            <v>0</v>
          </cell>
          <cell r="BD114">
            <v>0</v>
          </cell>
          <cell r="BE114">
            <v>0</v>
          </cell>
          <cell r="BF114">
            <v>-362</v>
          </cell>
          <cell r="BG114">
            <v>647</v>
          </cell>
          <cell r="BH114">
            <v>1930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row>
        <row r="115">
          <cell r="H115">
            <v>810</v>
          </cell>
          <cell r="I115" t="str">
            <v>Actual</v>
          </cell>
          <cell r="J115">
            <v>1361</v>
          </cell>
          <cell r="K115">
            <v>715</v>
          </cell>
          <cell r="L115">
            <v>940</v>
          </cell>
          <cell r="M115">
            <v>1014</v>
          </cell>
          <cell r="N115">
            <v>1872</v>
          </cell>
          <cell r="O115">
            <v>374</v>
          </cell>
          <cell r="P115">
            <v>4078</v>
          </cell>
          <cell r="Q115">
            <v>389</v>
          </cell>
          <cell r="R115">
            <v>134</v>
          </cell>
          <cell r="S115">
            <v>1359</v>
          </cell>
          <cell r="T115">
            <v>1501</v>
          </cell>
          <cell r="U115">
            <v>647</v>
          </cell>
          <cell r="V115">
            <v>1471</v>
          </cell>
          <cell r="W115">
            <v>375</v>
          </cell>
          <cell r="X115">
            <v>945</v>
          </cell>
          <cell r="Y115">
            <v>3760</v>
          </cell>
          <cell r="Z115">
            <v>285</v>
          </cell>
          <cell r="AA115">
            <v>314</v>
          </cell>
          <cell r="AB115">
            <v>835</v>
          </cell>
          <cell r="AC115">
            <v>848</v>
          </cell>
          <cell r="AD115">
            <v>583</v>
          </cell>
          <cell r="AE115">
            <v>721</v>
          </cell>
          <cell r="AF115">
            <v>1056</v>
          </cell>
          <cell r="AG115">
            <v>1322</v>
          </cell>
          <cell r="AH115">
            <v>823.69</v>
          </cell>
          <cell r="AI115">
            <v>291.98</v>
          </cell>
          <cell r="AJ115">
            <v>879.76</v>
          </cell>
          <cell r="AK115">
            <v>2988.73</v>
          </cell>
          <cell r="AL115">
            <v>1175.77</v>
          </cell>
          <cell r="AM115">
            <v>430.64</v>
          </cell>
          <cell r="AN115">
            <v>319.19</v>
          </cell>
          <cell r="AO115">
            <v>647</v>
          </cell>
          <cell r="AP115">
            <v>1230</v>
          </cell>
          <cell r="AQ115">
            <v>901</v>
          </cell>
          <cell r="AR115">
            <v>1040</v>
          </cell>
          <cell r="AS115">
            <v>822</v>
          </cell>
          <cell r="AT115">
            <v>823.69</v>
          </cell>
          <cell r="AU115">
            <v>282</v>
          </cell>
          <cell r="AV115">
            <v>785.3</v>
          </cell>
          <cell r="AW115">
            <v>309.04000000000002</v>
          </cell>
          <cell r="AX115">
            <v>532.05999999999995</v>
          </cell>
          <cell r="AY115">
            <v>1810.89</v>
          </cell>
          <cell r="AZ115">
            <v>1615.72</v>
          </cell>
          <cell r="BA115">
            <v>0</v>
          </cell>
          <cell r="BB115">
            <v>0</v>
          </cell>
          <cell r="BC115">
            <v>0</v>
          </cell>
          <cell r="BD115">
            <v>0</v>
          </cell>
          <cell r="BE115">
            <v>0</v>
          </cell>
          <cell r="BF115">
            <v>0</v>
          </cell>
          <cell r="BG115">
            <v>2419.48</v>
          </cell>
          <cell r="BH115">
            <v>1505.97</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row>
        <row r="116">
          <cell r="H116">
            <v>811</v>
          </cell>
          <cell r="I116" t="str">
            <v>Target (Budget)</v>
          </cell>
          <cell r="J116">
            <v>1417</v>
          </cell>
          <cell r="K116">
            <v>1417</v>
          </cell>
          <cell r="L116">
            <v>1594</v>
          </cell>
          <cell r="M116">
            <v>1417</v>
          </cell>
          <cell r="N116">
            <v>1417</v>
          </cell>
          <cell r="O116">
            <v>1594</v>
          </cell>
          <cell r="P116">
            <v>1417</v>
          </cell>
          <cell r="Q116">
            <v>1417</v>
          </cell>
          <cell r="R116">
            <v>1594</v>
          </cell>
          <cell r="S116">
            <v>1417</v>
          </cell>
          <cell r="T116">
            <v>1417</v>
          </cell>
          <cell r="U116">
            <v>1593</v>
          </cell>
          <cell r="V116">
            <v>1417</v>
          </cell>
          <cell r="W116">
            <v>1417</v>
          </cell>
          <cell r="X116">
            <v>1594</v>
          </cell>
          <cell r="Y116">
            <v>1417</v>
          </cell>
          <cell r="Z116">
            <v>1417</v>
          </cell>
          <cell r="AA116">
            <v>1594</v>
          </cell>
          <cell r="AB116">
            <v>1417</v>
          </cell>
          <cell r="AC116">
            <v>1417</v>
          </cell>
          <cell r="AD116">
            <v>1594</v>
          </cell>
          <cell r="AE116">
            <v>1417</v>
          </cell>
          <cell r="AF116">
            <v>1417</v>
          </cell>
          <cell r="AG116">
            <v>1593</v>
          </cell>
          <cell r="AH116">
            <v>1125</v>
          </cell>
          <cell r="AI116">
            <v>1125</v>
          </cell>
          <cell r="AJ116">
            <v>1266</v>
          </cell>
          <cell r="AK116">
            <v>1125</v>
          </cell>
          <cell r="AL116">
            <v>1125</v>
          </cell>
          <cell r="AM116">
            <v>1266</v>
          </cell>
          <cell r="AN116">
            <v>1125</v>
          </cell>
          <cell r="AO116">
            <v>1125</v>
          </cell>
          <cell r="AP116">
            <v>1266</v>
          </cell>
          <cell r="AQ116">
            <v>1125</v>
          </cell>
          <cell r="AR116">
            <v>1125</v>
          </cell>
          <cell r="AS116">
            <v>1270</v>
          </cell>
          <cell r="AT116">
            <v>1338</v>
          </cell>
          <cell r="AU116">
            <v>535</v>
          </cell>
          <cell r="AV116">
            <v>1070</v>
          </cell>
          <cell r="AW116">
            <v>4014</v>
          </cell>
          <cell r="AX116">
            <v>401</v>
          </cell>
          <cell r="AY116">
            <v>535</v>
          </cell>
          <cell r="AZ116">
            <v>268</v>
          </cell>
          <cell r="BA116">
            <v>0</v>
          </cell>
          <cell r="BB116">
            <v>0</v>
          </cell>
          <cell r="BC116">
            <v>0</v>
          </cell>
          <cell r="BD116">
            <v>0</v>
          </cell>
          <cell r="BE116">
            <v>0</v>
          </cell>
          <cell r="BF116">
            <v>825</v>
          </cell>
          <cell r="BG116">
            <v>236</v>
          </cell>
          <cell r="BH116">
            <v>825</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row>
        <row r="117">
          <cell r="H117">
            <v>814</v>
          </cell>
          <cell r="I117" t="str">
            <v>YTD Actual</v>
          </cell>
          <cell r="J117">
            <v>-5962</v>
          </cell>
          <cell r="K117">
            <v>-6523</v>
          </cell>
          <cell r="L117">
            <v>-9307</v>
          </cell>
          <cell r="M117">
            <v>-12632</v>
          </cell>
          <cell r="N117">
            <v>-17308</v>
          </cell>
          <cell r="O117">
            <v>-24455</v>
          </cell>
          <cell r="P117">
            <v>10353</v>
          </cell>
          <cell r="Q117">
            <v>10742</v>
          </cell>
          <cell r="R117">
            <v>10876</v>
          </cell>
          <cell r="S117">
            <v>12235</v>
          </cell>
          <cell r="T117">
            <v>13736</v>
          </cell>
          <cell r="U117">
            <v>14383</v>
          </cell>
          <cell r="V117">
            <v>1471</v>
          </cell>
          <cell r="W117">
            <v>1846</v>
          </cell>
          <cell r="X117">
            <v>2791</v>
          </cell>
          <cell r="Y117">
            <v>6551</v>
          </cell>
          <cell r="Z117">
            <v>6836</v>
          </cell>
          <cell r="AA117">
            <v>7149</v>
          </cell>
          <cell r="AB117">
            <v>7984</v>
          </cell>
          <cell r="AC117">
            <v>8832</v>
          </cell>
          <cell r="AD117">
            <v>9415</v>
          </cell>
          <cell r="AE117">
            <v>10136</v>
          </cell>
          <cell r="AF117">
            <v>11192</v>
          </cell>
          <cell r="AG117">
            <v>12514</v>
          </cell>
          <cell r="AH117">
            <v>823.69</v>
          </cell>
          <cell r="AI117">
            <v>1115.67</v>
          </cell>
          <cell r="AJ117">
            <v>1995.43</v>
          </cell>
          <cell r="AK117">
            <v>4984.16</v>
          </cell>
          <cell r="AL117">
            <v>6159.93</v>
          </cell>
          <cell r="AM117">
            <v>6590.57</v>
          </cell>
          <cell r="AN117">
            <v>6909.76</v>
          </cell>
          <cell r="AO117">
            <v>7557</v>
          </cell>
          <cell r="AP117">
            <v>8786</v>
          </cell>
          <cell r="AQ117">
            <v>9687</v>
          </cell>
          <cell r="AR117">
            <v>10728</v>
          </cell>
          <cell r="AS117">
            <v>11549</v>
          </cell>
          <cell r="AT117">
            <v>823.69</v>
          </cell>
          <cell r="AU117">
            <v>1105.69</v>
          </cell>
          <cell r="AV117">
            <v>1890.99</v>
          </cell>
          <cell r="AW117">
            <v>2200.0300000000002</v>
          </cell>
          <cell r="AX117">
            <v>2732.09</v>
          </cell>
          <cell r="AY117">
            <v>4542.9799999999996</v>
          </cell>
          <cell r="AZ117">
            <v>6158.7</v>
          </cell>
          <cell r="BA117">
            <v>0</v>
          </cell>
          <cell r="BB117">
            <v>0</v>
          </cell>
          <cell r="BC117">
            <v>0</v>
          </cell>
          <cell r="BD117">
            <v>0</v>
          </cell>
          <cell r="BE117">
            <v>0</v>
          </cell>
          <cell r="BF117">
            <v>0</v>
          </cell>
          <cell r="BG117">
            <v>2419.48</v>
          </cell>
          <cell r="BH117">
            <v>3925.45</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row>
        <row r="118">
          <cell r="H118">
            <v>815</v>
          </cell>
          <cell r="I118" t="str">
            <v>YTD Target (Budget)</v>
          </cell>
          <cell r="J118">
            <v>744</v>
          </cell>
          <cell r="K118">
            <v>2232</v>
          </cell>
          <cell r="L118">
            <v>4556</v>
          </cell>
          <cell r="M118">
            <v>7624</v>
          </cell>
          <cell r="N118">
            <v>11436</v>
          </cell>
          <cell r="O118">
            <v>16084</v>
          </cell>
          <cell r="P118">
            <v>10273</v>
          </cell>
          <cell r="Q118">
            <v>11690</v>
          </cell>
          <cell r="R118">
            <v>13284</v>
          </cell>
          <cell r="S118">
            <v>14701</v>
          </cell>
          <cell r="T118">
            <v>16118</v>
          </cell>
          <cell r="U118">
            <v>17711</v>
          </cell>
          <cell r="V118">
            <v>1417</v>
          </cell>
          <cell r="W118">
            <v>2834</v>
          </cell>
          <cell r="X118">
            <v>4428</v>
          </cell>
          <cell r="Y118">
            <v>5845</v>
          </cell>
          <cell r="Z118">
            <v>7262</v>
          </cell>
          <cell r="AA118">
            <v>8856</v>
          </cell>
          <cell r="AB118">
            <v>10273</v>
          </cell>
          <cell r="AC118">
            <v>11690</v>
          </cell>
          <cell r="AD118">
            <v>13284</v>
          </cell>
          <cell r="AE118">
            <v>14701</v>
          </cell>
          <cell r="AF118">
            <v>16118</v>
          </cell>
          <cell r="AG118">
            <v>17711</v>
          </cell>
          <cell r="AH118">
            <v>1125</v>
          </cell>
          <cell r="AI118">
            <v>2250</v>
          </cell>
          <cell r="AJ118">
            <v>3516</v>
          </cell>
          <cell r="AK118">
            <v>4641</v>
          </cell>
          <cell r="AL118">
            <v>5766</v>
          </cell>
          <cell r="AM118">
            <v>7032</v>
          </cell>
          <cell r="AN118">
            <v>8157</v>
          </cell>
          <cell r="AO118">
            <v>9282</v>
          </cell>
          <cell r="AP118">
            <v>10548</v>
          </cell>
          <cell r="AQ118">
            <v>11673</v>
          </cell>
          <cell r="AR118">
            <v>12798</v>
          </cell>
          <cell r="AS118">
            <v>14068</v>
          </cell>
          <cell r="AT118">
            <v>1338</v>
          </cell>
          <cell r="AU118">
            <v>1873</v>
          </cell>
          <cell r="AV118">
            <v>2943</v>
          </cell>
          <cell r="AW118">
            <v>6957</v>
          </cell>
          <cell r="AX118">
            <v>7358</v>
          </cell>
          <cell r="AY118">
            <v>7893</v>
          </cell>
          <cell r="AZ118">
            <v>8161</v>
          </cell>
          <cell r="BA118">
            <v>0</v>
          </cell>
          <cell r="BB118">
            <v>0</v>
          </cell>
          <cell r="BC118">
            <v>0</v>
          </cell>
          <cell r="BD118">
            <v>0</v>
          </cell>
          <cell r="BE118">
            <v>0</v>
          </cell>
          <cell r="BF118">
            <v>825</v>
          </cell>
          <cell r="BG118">
            <v>1061</v>
          </cell>
          <cell r="BH118">
            <v>1886</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row>
        <row r="119">
          <cell r="H119">
            <v>930</v>
          </cell>
          <cell r="I119" t="str">
            <v>Actual</v>
          </cell>
          <cell r="J119">
            <v>393587</v>
          </cell>
          <cell r="K119">
            <v>378772</v>
          </cell>
          <cell r="L119">
            <v>848686</v>
          </cell>
          <cell r="M119">
            <v>383675</v>
          </cell>
          <cell r="N119">
            <v>368002</v>
          </cell>
          <cell r="O119">
            <v>856994</v>
          </cell>
          <cell r="P119">
            <v>361322</v>
          </cell>
          <cell r="Q119">
            <v>355155</v>
          </cell>
          <cell r="R119">
            <v>921592</v>
          </cell>
          <cell r="S119">
            <v>325345</v>
          </cell>
          <cell r="T119">
            <v>329663</v>
          </cell>
          <cell r="U119">
            <v>920180</v>
          </cell>
          <cell r="V119">
            <v>299944</v>
          </cell>
          <cell r="W119">
            <v>294256</v>
          </cell>
          <cell r="X119">
            <v>927138</v>
          </cell>
          <cell r="Y119">
            <v>287819</v>
          </cell>
          <cell r="Z119">
            <v>289256</v>
          </cell>
          <cell r="AA119">
            <v>1056456</v>
          </cell>
          <cell r="AB119">
            <v>269412</v>
          </cell>
          <cell r="AC119">
            <v>275336</v>
          </cell>
          <cell r="AD119">
            <v>977985</v>
          </cell>
          <cell r="AE119">
            <v>261813</v>
          </cell>
          <cell r="AF119">
            <v>257678</v>
          </cell>
          <cell r="AG119">
            <v>1082519</v>
          </cell>
          <cell r="AH119">
            <v>259136.61000000002</v>
          </cell>
          <cell r="AI119">
            <v>257443.80000000002</v>
          </cell>
          <cell r="AJ119">
            <v>1073944.3</v>
          </cell>
          <cell r="AK119">
            <v>252801.52000000002</v>
          </cell>
          <cell r="AL119">
            <v>251673.71</v>
          </cell>
          <cell r="AM119">
            <v>1007050.1799999999</v>
          </cell>
          <cell r="AN119">
            <v>271297.83</v>
          </cell>
          <cell r="AO119">
            <v>270040</v>
          </cell>
          <cell r="AP119">
            <v>982500</v>
          </cell>
          <cell r="AQ119">
            <v>268472</v>
          </cell>
          <cell r="AR119">
            <v>270267</v>
          </cell>
          <cell r="AS119">
            <v>1069222</v>
          </cell>
          <cell r="AT119">
            <v>271358.41000000003</v>
          </cell>
          <cell r="AU119">
            <v>269796.04000000004</v>
          </cell>
          <cell r="AV119">
            <v>922707.22</v>
          </cell>
          <cell r="AW119">
            <v>275740.35999999993</v>
          </cell>
          <cell r="AX119">
            <v>278098.63</v>
          </cell>
          <cell r="AY119">
            <v>1092612.1499999999</v>
          </cell>
          <cell r="AZ119">
            <v>280347.56</v>
          </cell>
          <cell r="BA119">
            <v>0</v>
          </cell>
          <cell r="BB119">
            <v>0</v>
          </cell>
          <cell r="BC119">
            <v>0</v>
          </cell>
          <cell r="BD119">
            <v>0</v>
          </cell>
          <cell r="BE119">
            <v>0</v>
          </cell>
          <cell r="BF119">
            <v>286757.92000000004</v>
          </cell>
          <cell r="BG119">
            <v>296829.82</v>
          </cell>
          <cell r="BH119">
            <v>1084035.1399999999</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row>
        <row r="120">
          <cell r="H120">
            <v>931</v>
          </cell>
          <cell r="I120" t="str">
            <v>Target (Budget)</v>
          </cell>
          <cell r="J120">
            <v>429535</v>
          </cell>
          <cell r="K120">
            <v>308863</v>
          </cell>
          <cell r="L120">
            <v>724572</v>
          </cell>
          <cell r="M120">
            <v>308863</v>
          </cell>
          <cell r="N120">
            <v>308863</v>
          </cell>
          <cell r="O120">
            <v>724572</v>
          </cell>
          <cell r="P120">
            <v>308863</v>
          </cell>
          <cell r="Q120">
            <v>308863</v>
          </cell>
          <cell r="R120">
            <v>724572</v>
          </cell>
          <cell r="S120">
            <v>308863</v>
          </cell>
          <cell r="T120">
            <v>308863</v>
          </cell>
          <cell r="U120">
            <v>724575</v>
          </cell>
          <cell r="V120">
            <v>324848</v>
          </cell>
          <cell r="W120">
            <v>324848</v>
          </cell>
          <cell r="X120">
            <v>800701</v>
          </cell>
          <cell r="Y120">
            <v>324848</v>
          </cell>
          <cell r="Z120">
            <v>324848</v>
          </cell>
          <cell r="AA120">
            <v>800701</v>
          </cell>
          <cell r="AB120">
            <v>324848</v>
          </cell>
          <cell r="AC120">
            <v>324848</v>
          </cell>
          <cell r="AD120">
            <v>800701</v>
          </cell>
          <cell r="AE120">
            <v>324848</v>
          </cell>
          <cell r="AF120">
            <v>324848</v>
          </cell>
          <cell r="AG120">
            <v>800700</v>
          </cell>
          <cell r="AH120">
            <v>303514</v>
          </cell>
          <cell r="AI120">
            <v>204076</v>
          </cell>
          <cell r="AJ120">
            <v>1201070</v>
          </cell>
          <cell r="AK120">
            <v>204076</v>
          </cell>
          <cell r="AL120">
            <v>204076</v>
          </cell>
          <cell r="AM120">
            <v>1201070</v>
          </cell>
          <cell r="AN120">
            <v>204076</v>
          </cell>
          <cell r="AO120">
            <v>204076</v>
          </cell>
          <cell r="AP120">
            <v>1201070</v>
          </cell>
          <cell r="AQ120">
            <v>204076</v>
          </cell>
          <cell r="AR120">
            <v>204076</v>
          </cell>
          <cell r="AS120">
            <v>1201069</v>
          </cell>
          <cell r="AT120">
            <v>299446</v>
          </cell>
          <cell r="AU120">
            <v>300538</v>
          </cell>
          <cell r="AV120">
            <v>969341</v>
          </cell>
          <cell r="AW120">
            <v>299446</v>
          </cell>
          <cell r="AX120">
            <v>304907</v>
          </cell>
          <cell r="AY120">
            <v>944855</v>
          </cell>
          <cell r="AZ120">
            <v>299446</v>
          </cell>
          <cell r="BA120">
            <v>0</v>
          </cell>
          <cell r="BB120">
            <v>0</v>
          </cell>
          <cell r="BC120">
            <v>0</v>
          </cell>
          <cell r="BD120">
            <v>0</v>
          </cell>
          <cell r="BE120">
            <v>0</v>
          </cell>
          <cell r="BF120">
            <v>267525</v>
          </cell>
          <cell r="BG120">
            <v>267525</v>
          </cell>
          <cell r="BH120">
            <v>1030052</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row>
        <row r="121">
          <cell r="H121">
            <v>934</v>
          </cell>
          <cell r="I121" t="str">
            <v>YTD Actual</v>
          </cell>
          <cell r="J121">
            <v>393587</v>
          </cell>
          <cell r="K121">
            <v>772359</v>
          </cell>
          <cell r="L121">
            <v>1621045</v>
          </cell>
          <cell r="M121">
            <v>2004720</v>
          </cell>
          <cell r="N121">
            <v>2372722</v>
          </cell>
          <cell r="O121">
            <v>3229715</v>
          </cell>
          <cell r="P121">
            <v>3591038</v>
          </cell>
          <cell r="Q121">
            <v>3946193</v>
          </cell>
          <cell r="R121">
            <v>4867785</v>
          </cell>
          <cell r="S121">
            <v>5193130</v>
          </cell>
          <cell r="T121">
            <v>5522792</v>
          </cell>
          <cell r="U121">
            <v>6442973</v>
          </cell>
          <cell r="V121">
            <v>299944</v>
          </cell>
          <cell r="W121">
            <v>594200</v>
          </cell>
          <cell r="X121">
            <v>1521339</v>
          </cell>
          <cell r="Y121">
            <v>1809158</v>
          </cell>
          <cell r="Z121">
            <v>2098414</v>
          </cell>
          <cell r="AA121">
            <v>3154870</v>
          </cell>
          <cell r="AB121">
            <v>3424282</v>
          </cell>
          <cell r="AC121">
            <v>3699617</v>
          </cell>
          <cell r="AD121">
            <v>4677603</v>
          </cell>
          <cell r="AE121">
            <v>4939415</v>
          </cell>
          <cell r="AF121">
            <v>5197093</v>
          </cell>
          <cell r="AG121">
            <v>6279612</v>
          </cell>
          <cell r="AH121">
            <v>259136.61000000002</v>
          </cell>
          <cell r="AI121">
            <v>516580.41</v>
          </cell>
          <cell r="AJ121">
            <v>1590524.7099999997</v>
          </cell>
          <cell r="AK121">
            <v>1843326.2299999997</v>
          </cell>
          <cell r="AL121">
            <v>2094999.94</v>
          </cell>
          <cell r="AM121">
            <v>3102050.12</v>
          </cell>
          <cell r="AN121">
            <v>3373347.95</v>
          </cell>
          <cell r="AO121">
            <v>3643388</v>
          </cell>
          <cell r="AP121">
            <v>4625888</v>
          </cell>
          <cell r="AQ121">
            <v>4894360</v>
          </cell>
          <cell r="AR121">
            <v>5164626</v>
          </cell>
          <cell r="AS121">
            <v>6233849</v>
          </cell>
          <cell r="AT121">
            <v>271358.41000000003</v>
          </cell>
          <cell r="AU121">
            <v>541154.45000000007</v>
          </cell>
          <cell r="AV121">
            <v>1463861.67</v>
          </cell>
          <cell r="AW121">
            <v>1739602.03</v>
          </cell>
          <cell r="AX121">
            <v>2017700.6600000001</v>
          </cell>
          <cell r="AY121">
            <v>3110312.81</v>
          </cell>
          <cell r="AZ121">
            <v>3390660.37</v>
          </cell>
          <cell r="BA121">
            <v>0</v>
          </cell>
          <cell r="BB121">
            <v>0</v>
          </cell>
          <cell r="BC121">
            <v>0</v>
          </cell>
          <cell r="BD121">
            <v>0</v>
          </cell>
          <cell r="BE121">
            <v>0</v>
          </cell>
          <cell r="BF121">
            <v>286757.92000000004</v>
          </cell>
          <cell r="BG121">
            <v>583587.74</v>
          </cell>
          <cell r="BH121">
            <v>1667622.88</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row>
        <row r="122">
          <cell r="H122">
            <v>935</v>
          </cell>
          <cell r="I122" t="str">
            <v>YTD Target (Budget)</v>
          </cell>
          <cell r="J122">
            <v>429535</v>
          </cell>
          <cell r="K122">
            <v>617726</v>
          </cell>
          <cell r="L122">
            <v>1342298</v>
          </cell>
          <cell r="M122">
            <v>1651161</v>
          </cell>
          <cell r="N122">
            <v>1960024</v>
          </cell>
          <cell r="O122">
            <v>2684596</v>
          </cell>
          <cell r="P122">
            <v>2993459</v>
          </cell>
          <cell r="Q122">
            <v>3302322</v>
          </cell>
          <cell r="R122">
            <v>4026894</v>
          </cell>
          <cell r="S122">
            <v>4335757</v>
          </cell>
          <cell r="T122">
            <v>4644620</v>
          </cell>
          <cell r="U122">
            <v>5369195</v>
          </cell>
          <cell r="V122">
            <v>324848</v>
          </cell>
          <cell r="W122">
            <v>649696</v>
          </cell>
          <cell r="X122">
            <v>1450397</v>
          </cell>
          <cell r="Y122">
            <v>1775245</v>
          </cell>
          <cell r="Z122">
            <v>2100093</v>
          </cell>
          <cell r="AA122">
            <v>2900794</v>
          </cell>
          <cell r="AB122">
            <v>3225642</v>
          </cell>
          <cell r="AC122">
            <v>3550490</v>
          </cell>
          <cell r="AD122">
            <v>4351191</v>
          </cell>
          <cell r="AE122">
            <v>4676039</v>
          </cell>
          <cell r="AF122">
            <v>5000887</v>
          </cell>
          <cell r="AG122">
            <v>5801587</v>
          </cell>
          <cell r="AH122">
            <v>303514</v>
          </cell>
          <cell r="AI122">
            <v>408152</v>
          </cell>
          <cell r="AJ122">
            <v>1609222</v>
          </cell>
          <cell r="AK122">
            <v>1813298</v>
          </cell>
          <cell r="AL122">
            <v>2017374</v>
          </cell>
          <cell r="AM122">
            <v>3218444</v>
          </cell>
          <cell r="AN122">
            <v>3422520</v>
          </cell>
          <cell r="AO122">
            <v>3626596</v>
          </cell>
          <cell r="AP122">
            <v>4827666</v>
          </cell>
          <cell r="AQ122">
            <v>5031742</v>
          </cell>
          <cell r="AR122">
            <v>5235818</v>
          </cell>
          <cell r="AS122">
            <v>6436887</v>
          </cell>
          <cell r="AT122">
            <v>299446</v>
          </cell>
          <cell r="AU122">
            <v>599984</v>
          </cell>
          <cell r="AV122">
            <v>1569325</v>
          </cell>
          <cell r="AW122">
            <v>1868771</v>
          </cell>
          <cell r="AX122">
            <v>2173678</v>
          </cell>
          <cell r="AY122">
            <v>3118533</v>
          </cell>
          <cell r="AZ122">
            <v>3417979</v>
          </cell>
          <cell r="BA122">
            <v>0</v>
          </cell>
          <cell r="BB122">
            <v>0</v>
          </cell>
          <cell r="BC122">
            <v>0</v>
          </cell>
          <cell r="BD122">
            <v>0</v>
          </cell>
          <cell r="BE122">
            <v>0</v>
          </cell>
          <cell r="BF122">
            <v>267525</v>
          </cell>
          <cell r="BG122">
            <v>535050</v>
          </cell>
          <cell r="BH122">
            <v>1565102</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row>
        <row r="123">
          <cell r="H123">
            <v>942</v>
          </cell>
          <cell r="I123" t="str">
            <v>Actual</v>
          </cell>
          <cell r="J123">
            <v>364639</v>
          </cell>
          <cell r="K123">
            <v>374968</v>
          </cell>
          <cell r="L123">
            <v>738811</v>
          </cell>
          <cell r="M123">
            <v>313834</v>
          </cell>
          <cell r="N123">
            <v>335248</v>
          </cell>
          <cell r="O123">
            <v>748648</v>
          </cell>
          <cell r="P123">
            <v>352693</v>
          </cell>
          <cell r="Q123">
            <v>332244</v>
          </cell>
          <cell r="R123">
            <v>791917</v>
          </cell>
          <cell r="S123">
            <v>285516</v>
          </cell>
          <cell r="T123">
            <v>300536</v>
          </cell>
          <cell r="U123">
            <v>783913</v>
          </cell>
          <cell r="V123">
            <v>273434</v>
          </cell>
          <cell r="W123">
            <v>284022</v>
          </cell>
          <cell r="X123">
            <v>781561</v>
          </cell>
          <cell r="Y123">
            <v>268567</v>
          </cell>
          <cell r="Z123">
            <v>248969</v>
          </cell>
          <cell r="AA123">
            <v>862096</v>
          </cell>
          <cell r="AB123">
            <v>259127</v>
          </cell>
          <cell r="AC123">
            <v>265864</v>
          </cell>
          <cell r="AD123">
            <v>784820</v>
          </cell>
          <cell r="AE123">
            <v>253660</v>
          </cell>
          <cell r="AF123">
            <v>259548</v>
          </cell>
          <cell r="AG123">
            <v>852369</v>
          </cell>
          <cell r="AH123">
            <v>259855.78999999995</v>
          </cell>
          <cell r="AI123">
            <v>256480.21999999997</v>
          </cell>
          <cell r="AJ123">
            <v>872957.15</v>
          </cell>
          <cell r="AK123">
            <v>231640.43</v>
          </cell>
          <cell r="AL123">
            <v>242204.16999999998</v>
          </cell>
          <cell r="AM123">
            <v>781797.35000000009</v>
          </cell>
          <cell r="AN123">
            <v>256176.86</v>
          </cell>
          <cell r="AO123">
            <v>258550</v>
          </cell>
          <cell r="AP123">
            <v>766889</v>
          </cell>
          <cell r="AQ123">
            <v>255551</v>
          </cell>
          <cell r="AR123">
            <v>256079</v>
          </cell>
          <cell r="AS123">
            <v>832716</v>
          </cell>
          <cell r="AT123">
            <v>246368.99000000005</v>
          </cell>
          <cell r="AU123">
            <v>247335.67000000004</v>
          </cell>
          <cell r="AV123">
            <v>712042.17</v>
          </cell>
          <cell r="AW123">
            <v>249833.33000000002</v>
          </cell>
          <cell r="AX123">
            <v>277003.23</v>
          </cell>
          <cell r="AY123">
            <v>833653.24000000011</v>
          </cell>
          <cell r="AZ123">
            <v>259868.64</v>
          </cell>
          <cell r="BA123">
            <v>0</v>
          </cell>
          <cell r="BB123">
            <v>0</v>
          </cell>
          <cell r="BC123">
            <v>0</v>
          </cell>
          <cell r="BD123">
            <v>0</v>
          </cell>
          <cell r="BE123">
            <v>0</v>
          </cell>
          <cell r="BF123">
            <v>275635.20000000001</v>
          </cell>
          <cell r="BG123">
            <v>279215.5</v>
          </cell>
          <cell r="BH123">
            <v>822660.67</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row>
        <row r="124">
          <cell r="H124">
            <v>943</v>
          </cell>
          <cell r="I124" t="str">
            <v>Target (Budget)</v>
          </cell>
          <cell r="J124">
            <v>384099</v>
          </cell>
          <cell r="K124">
            <v>284941</v>
          </cell>
          <cell r="L124">
            <v>630426</v>
          </cell>
          <cell r="M124">
            <v>284941</v>
          </cell>
          <cell r="N124">
            <v>284941</v>
          </cell>
          <cell r="O124">
            <v>630426</v>
          </cell>
          <cell r="P124">
            <v>284941</v>
          </cell>
          <cell r="Q124">
            <v>284941</v>
          </cell>
          <cell r="R124">
            <v>630426</v>
          </cell>
          <cell r="S124">
            <v>284941</v>
          </cell>
          <cell r="T124">
            <v>284941</v>
          </cell>
          <cell r="U124">
            <v>630433</v>
          </cell>
          <cell r="V124">
            <v>297338</v>
          </cell>
          <cell r="W124">
            <v>297338</v>
          </cell>
          <cell r="X124">
            <v>716730</v>
          </cell>
          <cell r="Y124">
            <v>297338</v>
          </cell>
          <cell r="Z124">
            <v>297338</v>
          </cell>
          <cell r="AA124">
            <v>716730</v>
          </cell>
          <cell r="AB124">
            <v>297338</v>
          </cell>
          <cell r="AC124">
            <v>297338</v>
          </cell>
          <cell r="AD124">
            <v>716730</v>
          </cell>
          <cell r="AE124">
            <v>297338</v>
          </cell>
          <cell r="AF124">
            <v>297338</v>
          </cell>
          <cell r="AG124">
            <v>716725</v>
          </cell>
          <cell r="AH124">
            <v>272688</v>
          </cell>
          <cell r="AI124">
            <v>189579</v>
          </cell>
          <cell r="AJ124">
            <v>1016665</v>
          </cell>
          <cell r="AK124">
            <v>189579</v>
          </cell>
          <cell r="AL124">
            <v>189579</v>
          </cell>
          <cell r="AM124">
            <v>1016665</v>
          </cell>
          <cell r="AN124">
            <v>189579</v>
          </cell>
          <cell r="AO124">
            <v>189579</v>
          </cell>
          <cell r="AP124">
            <v>1016665</v>
          </cell>
          <cell r="AQ124">
            <v>189579</v>
          </cell>
          <cell r="AR124">
            <v>189579</v>
          </cell>
          <cell r="AS124">
            <v>1016670</v>
          </cell>
          <cell r="AT124">
            <v>262649</v>
          </cell>
          <cell r="AU124">
            <v>260494</v>
          </cell>
          <cell r="AV124">
            <v>803030</v>
          </cell>
          <cell r="AW124">
            <v>260488</v>
          </cell>
          <cell r="AX124">
            <v>260867</v>
          </cell>
          <cell r="AY124">
            <v>783348</v>
          </cell>
          <cell r="AZ124">
            <v>260488</v>
          </cell>
          <cell r="BA124">
            <v>0</v>
          </cell>
          <cell r="BB124">
            <v>0</v>
          </cell>
          <cell r="BC124">
            <v>0</v>
          </cell>
          <cell r="BD124">
            <v>0</v>
          </cell>
          <cell r="BE124">
            <v>0</v>
          </cell>
          <cell r="BF124">
            <v>281167</v>
          </cell>
          <cell r="BG124">
            <v>281212</v>
          </cell>
          <cell r="BH124">
            <v>775749</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row>
        <row r="125">
          <cell r="H125">
            <v>946</v>
          </cell>
          <cell r="I125" t="str">
            <v>YTD Actual</v>
          </cell>
          <cell r="J125">
            <v>364639</v>
          </cell>
          <cell r="K125">
            <v>739607</v>
          </cell>
          <cell r="L125">
            <v>1478418</v>
          </cell>
          <cell r="M125">
            <v>1792252</v>
          </cell>
          <cell r="N125">
            <v>2127499</v>
          </cell>
          <cell r="O125">
            <v>2876147</v>
          </cell>
          <cell r="P125">
            <v>3228840</v>
          </cell>
          <cell r="Q125">
            <v>3561084</v>
          </cell>
          <cell r="R125">
            <v>4353001</v>
          </cell>
          <cell r="S125">
            <v>4638517</v>
          </cell>
          <cell r="T125">
            <v>4939054</v>
          </cell>
          <cell r="U125">
            <v>5722967</v>
          </cell>
          <cell r="V125">
            <v>273434</v>
          </cell>
          <cell r="W125">
            <v>557457</v>
          </cell>
          <cell r="X125">
            <v>1339018</v>
          </cell>
          <cell r="Y125">
            <v>1607585</v>
          </cell>
          <cell r="Z125">
            <v>1856554</v>
          </cell>
          <cell r="AA125">
            <v>2718650</v>
          </cell>
          <cell r="AB125">
            <v>2977777</v>
          </cell>
          <cell r="AC125">
            <v>3243641</v>
          </cell>
          <cell r="AD125">
            <v>4028460</v>
          </cell>
          <cell r="AE125">
            <v>4282120</v>
          </cell>
          <cell r="AF125">
            <v>4541668</v>
          </cell>
          <cell r="AG125">
            <v>5394037</v>
          </cell>
          <cell r="AH125">
            <v>259855.78999999995</v>
          </cell>
          <cell r="AI125">
            <v>516336.00999999995</v>
          </cell>
          <cell r="AJ125">
            <v>1389293.1599999997</v>
          </cell>
          <cell r="AK125">
            <v>1620933.59</v>
          </cell>
          <cell r="AL125">
            <v>1863137.7599999998</v>
          </cell>
          <cell r="AM125">
            <v>2644935.1099999994</v>
          </cell>
          <cell r="AN125">
            <v>2901111.9699999997</v>
          </cell>
          <cell r="AO125">
            <v>3159662</v>
          </cell>
          <cell r="AP125">
            <v>3926551</v>
          </cell>
          <cell r="AQ125">
            <v>4182102</v>
          </cell>
          <cell r="AR125">
            <v>4438181</v>
          </cell>
          <cell r="AS125">
            <v>5270897</v>
          </cell>
          <cell r="AT125">
            <v>246368.99000000005</v>
          </cell>
          <cell r="AU125">
            <v>493704.66000000003</v>
          </cell>
          <cell r="AV125">
            <v>1205746.83</v>
          </cell>
          <cell r="AW125">
            <v>1455580.1599999997</v>
          </cell>
          <cell r="AX125">
            <v>1732583.3899999997</v>
          </cell>
          <cell r="AY125">
            <v>2566236.6300000004</v>
          </cell>
          <cell r="AZ125">
            <v>2826105.2699999996</v>
          </cell>
          <cell r="BA125">
            <v>0</v>
          </cell>
          <cell r="BB125">
            <v>0</v>
          </cell>
          <cell r="BC125">
            <v>0</v>
          </cell>
          <cell r="BD125">
            <v>0</v>
          </cell>
          <cell r="BE125">
            <v>0</v>
          </cell>
          <cell r="BF125">
            <v>275635.20000000001</v>
          </cell>
          <cell r="BG125">
            <v>554850.69999999995</v>
          </cell>
          <cell r="BH125">
            <v>1377511.37</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row>
        <row r="126">
          <cell r="H126">
            <v>947</v>
          </cell>
          <cell r="I126" t="str">
            <v>YTD Target (Budget)</v>
          </cell>
          <cell r="J126">
            <v>384099</v>
          </cell>
          <cell r="K126">
            <v>569882</v>
          </cell>
          <cell r="L126">
            <v>1200308</v>
          </cell>
          <cell r="M126">
            <v>1485249</v>
          </cell>
          <cell r="N126">
            <v>1770190</v>
          </cell>
          <cell r="O126">
            <v>2400616</v>
          </cell>
          <cell r="P126">
            <v>2685557</v>
          </cell>
          <cell r="Q126">
            <v>2970498</v>
          </cell>
          <cell r="R126">
            <v>3600924</v>
          </cell>
          <cell r="S126">
            <v>3885865</v>
          </cell>
          <cell r="T126">
            <v>4170806</v>
          </cell>
          <cell r="U126">
            <v>4801239</v>
          </cell>
          <cell r="V126">
            <v>297338</v>
          </cell>
          <cell r="W126">
            <v>594676</v>
          </cell>
          <cell r="X126">
            <v>1311406</v>
          </cell>
          <cell r="Y126">
            <v>1608744</v>
          </cell>
          <cell r="Z126">
            <v>1906082</v>
          </cell>
          <cell r="AA126">
            <v>2622812</v>
          </cell>
          <cell r="AB126">
            <v>2920150</v>
          </cell>
          <cell r="AC126">
            <v>3217488</v>
          </cell>
          <cell r="AD126">
            <v>3934218</v>
          </cell>
          <cell r="AE126">
            <v>4231556</v>
          </cell>
          <cell r="AF126">
            <v>4528894</v>
          </cell>
          <cell r="AG126">
            <v>5245619</v>
          </cell>
          <cell r="AH126">
            <v>272688</v>
          </cell>
          <cell r="AI126">
            <v>379158</v>
          </cell>
          <cell r="AJ126">
            <v>1395823</v>
          </cell>
          <cell r="AK126">
            <v>1585402</v>
          </cell>
          <cell r="AL126">
            <v>1774981</v>
          </cell>
          <cell r="AM126">
            <v>2791646</v>
          </cell>
          <cell r="AN126">
            <v>2981225</v>
          </cell>
          <cell r="AO126">
            <v>3170804</v>
          </cell>
          <cell r="AP126">
            <v>4187469</v>
          </cell>
          <cell r="AQ126">
            <v>4377048</v>
          </cell>
          <cell r="AR126">
            <v>4566627</v>
          </cell>
          <cell r="AS126">
            <v>5583297</v>
          </cell>
          <cell r="AT126">
            <v>262649</v>
          </cell>
          <cell r="AU126">
            <v>523143</v>
          </cell>
          <cell r="AV126">
            <v>1326173</v>
          </cell>
          <cell r="AW126">
            <v>1586661</v>
          </cell>
          <cell r="AX126">
            <v>1847528</v>
          </cell>
          <cell r="AY126">
            <v>2630876</v>
          </cell>
          <cell r="AZ126">
            <v>2891364</v>
          </cell>
          <cell r="BA126">
            <v>0</v>
          </cell>
          <cell r="BB126">
            <v>0</v>
          </cell>
          <cell r="BC126">
            <v>0</v>
          </cell>
          <cell r="BD126">
            <v>0</v>
          </cell>
          <cell r="BE126">
            <v>0</v>
          </cell>
          <cell r="BF126">
            <v>281167</v>
          </cell>
          <cell r="BG126">
            <v>562379</v>
          </cell>
          <cell r="BH126">
            <v>1338128</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row>
        <row r="127">
          <cell r="H127">
            <v>966</v>
          </cell>
          <cell r="I127" t="str">
            <v>Empl_Benefits</v>
          </cell>
          <cell r="J127">
            <v>5075</v>
          </cell>
          <cell r="K127">
            <v>5075</v>
          </cell>
          <cell r="L127">
            <v>5430</v>
          </cell>
          <cell r="M127">
            <v>5430</v>
          </cell>
          <cell r="N127">
            <v>5430</v>
          </cell>
          <cell r="O127">
            <v>5430</v>
          </cell>
          <cell r="P127">
            <v>5430</v>
          </cell>
          <cell r="Q127">
            <v>5430</v>
          </cell>
          <cell r="R127">
            <v>5430</v>
          </cell>
          <cell r="S127">
            <v>5430</v>
          </cell>
          <cell r="T127">
            <v>5430</v>
          </cell>
          <cell r="U127">
            <v>5430</v>
          </cell>
          <cell r="V127">
            <v>5430</v>
          </cell>
          <cell r="W127">
            <v>5430</v>
          </cell>
          <cell r="X127">
            <v>5600</v>
          </cell>
          <cell r="Y127">
            <v>5586</v>
          </cell>
          <cell r="Z127">
            <v>5586</v>
          </cell>
          <cell r="AA127">
            <v>5759</v>
          </cell>
          <cell r="AB127">
            <v>5759</v>
          </cell>
          <cell r="AC127">
            <v>5759</v>
          </cell>
          <cell r="AD127">
            <v>5759</v>
          </cell>
          <cell r="AE127">
            <v>5759</v>
          </cell>
          <cell r="AF127">
            <v>5759</v>
          </cell>
          <cell r="AG127">
            <v>5759</v>
          </cell>
          <cell r="AH127">
            <v>5758.97</v>
          </cell>
          <cell r="AI127">
            <v>6299.92</v>
          </cell>
          <cell r="AJ127">
            <v>6572.33</v>
          </cell>
          <cell r="AK127">
            <v>6326.97</v>
          </cell>
          <cell r="AL127">
            <v>6007.99</v>
          </cell>
          <cell r="AM127">
            <v>6007.99</v>
          </cell>
          <cell r="AN127">
            <v>6007.99</v>
          </cell>
          <cell r="AO127">
            <v>6008</v>
          </cell>
          <cell r="AP127">
            <v>6008</v>
          </cell>
          <cell r="AQ127">
            <v>6008</v>
          </cell>
          <cell r="AR127">
            <v>6008</v>
          </cell>
          <cell r="AS127">
            <v>6008</v>
          </cell>
          <cell r="AT127">
            <v>6007.99</v>
          </cell>
          <cell r="AU127">
            <v>6007.99</v>
          </cell>
          <cell r="AV127">
            <v>6298.88</v>
          </cell>
          <cell r="AW127">
            <v>6298.88</v>
          </cell>
          <cell r="AX127">
            <v>9977.19</v>
          </cell>
          <cell r="AY127">
            <v>7040.36</v>
          </cell>
          <cell r="AZ127">
            <v>7040.36</v>
          </cell>
          <cell r="BA127">
            <v>0</v>
          </cell>
          <cell r="BB127">
            <v>0</v>
          </cell>
          <cell r="BC127">
            <v>0</v>
          </cell>
          <cell r="BD127">
            <v>0</v>
          </cell>
          <cell r="BE127">
            <v>0</v>
          </cell>
          <cell r="BF127">
            <v>7287.99</v>
          </cell>
          <cell r="BG127">
            <v>7881.3099999999995</v>
          </cell>
          <cell r="BH127">
            <v>8097.22</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row>
        <row r="128">
          <cell r="H128">
            <v>967</v>
          </cell>
          <cell r="I128" t="str">
            <v>Total Personnel</v>
          </cell>
          <cell r="J128">
            <v>20088</v>
          </cell>
          <cell r="K128">
            <v>20088</v>
          </cell>
          <cell r="L128">
            <v>20990</v>
          </cell>
          <cell r="M128">
            <v>20990</v>
          </cell>
          <cell r="N128">
            <v>20990</v>
          </cell>
          <cell r="O128">
            <v>20990</v>
          </cell>
          <cell r="P128">
            <v>20990</v>
          </cell>
          <cell r="Q128">
            <v>20990</v>
          </cell>
          <cell r="R128">
            <v>20990</v>
          </cell>
          <cell r="S128">
            <v>20990</v>
          </cell>
          <cell r="T128">
            <v>20990</v>
          </cell>
          <cell r="U128">
            <v>20990</v>
          </cell>
          <cell r="V128">
            <v>20990</v>
          </cell>
          <cell r="W128">
            <v>20990</v>
          </cell>
          <cell r="X128">
            <v>23471</v>
          </cell>
          <cell r="Y128">
            <v>21457</v>
          </cell>
          <cell r="Z128">
            <v>21457</v>
          </cell>
          <cell r="AA128">
            <v>22120</v>
          </cell>
          <cell r="AB128">
            <v>22120</v>
          </cell>
          <cell r="AC128">
            <v>22120</v>
          </cell>
          <cell r="AD128">
            <v>22120</v>
          </cell>
          <cell r="AE128">
            <v>22120</v>
          </cell>
          <cell r="AF128">
            <v>22120</v>
          </cell>
          <cell r="AG128">
            <v>22120</v>
          </cell>
          <cell r="AH128">
            <v>22119.68</v>
          </cell>
          <cell r="AI128">
            <v>24197.43</v>
          </cell>
          <cell r="AJ128">
            <v>24828.800000000003</v>
          </cell>
          <cell r="AK128">
            <v>23901.88</v>
          </cell>
          <cell r="AL128">
            <v>22696.86</v>
          </cell>
          <cell r="AM128">
            <v>22696.86</v>
          </cell>
          <cell r="AN128">
            <v>22696.86</v>
          </cell>
          <cell r="AO128">
            <v>22697</v>
          </cell>
          <cell r="AP128">
            <v>22697</v>
          </cell>
          <cell r="AQ128">
            <v>22697</v>
          </cell>
          <cell r="AR128">
            <v>22697</v>
          </cell>
          <cell r="AS128">
            <v>22697</v>
          </cell>
          <cell r="AT128">
            <v>22696.86</v>
          </cell>
          <cell r="AU128">
            <v>22696.86</v>
          </cell>
          <cell r="AV128">
            <v>23322.880000000001</v>
          </cell>
          <cell r="AW128">
            <v>23322.880000000001</v>
          </cell>
          <cell r="AX128">
            <v>36942.57</v>
          </cell>
          <cell r="AY128">
            <v>26068.36</v>
          </cell>
          <cell r="AZ128">
            <v>26068.36</v>
          </cell>
          <cell r="BA128">
            <v>0</v>
          </cell>
          <cell r="BB128">
            <v>0</v>
          </cell>
          <cell r="BC128">
            <v>0</v>
          </cell>
          <cell r="BD128">
            <v>0</v>
          </cell>
          <cell r="BE128">
            <v>0</v>
          </cell>
          <cell r="BF128">
            <v>27276.190000000002</v>
          </cell>
          <cell r="BG128">
            <v>31509.510000000002</v>
          </cell>
          <cell r="BH128">
            <v>34242.67</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row>
        <row r="129">
          <cell r="H129">
            <v>968</v>
          </cell>
          <cell r="I129" t="str">
            <v>Target (Budget) Empl_Benefits</v>
          </cell>
          <cell r="J129">
            <v>5164</v>
          </cell>
          <cell r="K129">
            <v>5164</v>
          </cell>
          <cell r="L129">
            <v>5809</v>
          </cell>
          <cell r="M129">
            <v>5164</v>
          </cell>
          <cell r="N129">
            <v>5164</v>
          </cell>
          <cell r="O129">
            <v>5809</v>
          </cell>
          <cell r="P129">
            <v>5164</v>
          </cell>
          <cell r="Q129">
            <v>5164</v>
          </cell>
          <cell r="R129">
            <v>5809</v>
          </cell>
          <cell r="S129">
            <v>5164</v>
          </cell>
          <cell r="T129">
            <v>5164</v>
          </cell>
          <cell r="U129">
            <v>5804</v>
          </cell>
          <cell r="V129">
            <v>5363</v>
          </cell>
          <cell r="W129">
            <v>5363</v>
          </cell>
          <cell r="X129">
            <v>6037</v>
          </cell>
          <cell r="Y129">
            <v>5363</v>
          </cell>
          <cell r="Z129">
            <v>5363</v>
          </cell>
          <cell r="AA129">
            <v>6034</v>
          </cell>
          <cell r="AB129">
            <v>5363</v>
          </cell>
          <cell r="AC129">
            <v>5363</v>
          </cell>
          <cell r="AD129">
            <v>6034</v>
          </cell>
          <cell r="AE129">
            <v>5363</v>
          </cell>
          <cell r="AF129">
            <v>2363</v>
          </cell>
          <cell r="AG129">
            <v>6037</v>
          </cell>
          <cell r="AH129">
            <v>5808</v>
          </cell>
          <cell r="AI129">
            <v>5808</v>
          </cell>
          <cell r="AJ129">
            <v>6534</v>
          </cell>
          <cell r="AK129">
            <v>5808</v>
          </cell>
          <cell r="AL129">
            <v>5808</v>
          </cell>
          <cell r="AM129">
            <v>6534</v>
          </cell>
          <cell r="AN129">
            <v>5808</v>
          </cell>
          <cell r="AO129">
            <v>5808</v>
          </cell>
          <cell r="AP129">
            <v>6534</v>
          </cell>
          <cell r="AQ129">
            <v>580</v>
          </cell>
          <cell r="AR129">
            <v>5808</v>
          </cell>
          <cell r="AS129">
            <v>6530</v>
          </cell>
          <cell r="AT129">
            <v>6706</v>
          </cell>
          <cell r="AU129">
            <v>6706</v>
          </cell>
          <cell r="AV129">
            <v>7545</v>
          </cell>
          <cell r="AW129">
            <v>6706</v>
          </cell>
          <cell r="AX129">
            <v>6706</v>
          </cell>
          <cell r="AY129">
            <v>7545</v>
          </cell>
          <cell r="AZ129">
            <v>6706</v>
          </cell>
          <cell r="BA129">
            <v>0</v>
          </cell>
          <cell r="BB129">
            <v>0</v>
          </cell>
          <cell r="BC129">
            <v>0</v>
          </cell>
          <cell r="BD129">
            <v>0</v>
          </cell>
          <cell r="BE129">
            <v>0</v>
          </cell>
          <cell r="BF129">
            <v>7359</v>
          </cell>
          <cell r="BG129">
            <v>7359</v>
          </cell>
          <cell r="BH129">
            <v>8279</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row>
        <row r="130">
          <cell r="H130">
            <v>969</v>
          </cell>
          <cell r="I130" t="str">
            <v>Target (Budget) Total Personnel</v>
          </cell>
          <cell r="J130">
            <v>19989</v>
          </cell>
          <cell r="K130">
            <v>19989</v>
          </cell>
          <cell r="L130">
            <v>22488</v>
          </cell>
          <cell r="M130">
            <v>19989</v>
          </cell>
          <cell r="N130">
            <v>19989</v>
          </cell>
          <cell r="O130">
            <v>22488</v>
          </cell>
          <cell r="P130">
            <v>19989</v>
          </cell>
          <cell r="Q130">
            <v>19989</v>
          </cell>
          <cell r="R130">
            <v>22488</v>
          </cell>
          <cell r="S130">
            <v>19989</v>
          </cell>
          <cell r="T130">
            <v>19989</v>
          </cell>
          <cell r="U130">
            <v>22485</v>
          </cell>
          <cell r="V130">
            <v>20597</v>
          </cell>
          <cell r="W130">
            <v>20597</v>
          </cell>
          <cell r="X130">
            <v>23172</v>
          </cell>
          <cell r="Y130">
            <v>20597</v>
          </cell>
          <cell r="Z130">
            <v>20597</v>
          </cell>
          <cell r="AA130">
            <v>23172</v>
          </cell>
          <cell r="AB130">
            <v>20597</v>
          </cell>
          <cell r="AC130">
            <v>20597</v>
          </cell>
          <cell r="AD130">
            <v>23172</v>
          </cell>
          <cell r="AE130">
            <v>20597</v>
          </cell>
          <cell r="AF130">
            <v>20597</v>
          </cell>
          <cell r="AG130">
            <v>23177</v>
          </cell>
          <cell r="AH130">
            <v>21776</v>
          </cell>
          <cell r="AI130">
            <v>21776</v>
          </cell>
          <cell r="AJ130">
            <v>24498</v>
          </cell>
          <cell r="AK130">
            <v>21776</v>
          </cell>
          <cell r="AL130">
            <v>21776</v>
          </cell>
          <cell r="AM130">
            <v>24498</v>
          </cell>
          <cell r="AN130">
            <v>21776</v>
          </cell>
          <cell r="AO130">
            <v>21776</v>
          </cell>
          <cell r="AP130">
            <v>24498</v>
          </cell>
          <cell r="AQ130">
            <v>21776</v>
          </cell>
          <cell r="AR130">
            <v>21776</v>
          </cell>
          <cell r="AS130">
            <v>24495</v>
          </cell>
          <cell r="AT130">
            <v>24912</v>
          </cell>
          <cell r="AU130">
            <v>24912</v>
          </cell>
          <cell r="AV130">
            <v>28027</v>
          </cell>
          <cell r="AW130">
            <v>24912</v>
          </cell>
          <cell r="AX130">
            <v>24912</v>
          </cell>
          <cell r="AY130">
            <v>28027</v>
          </cell>
          <cell r="AZ130">
            <v>24912</v>
          </cell>
          <cell r="BA130">
            <v>0</v>
          </cell>
          <cell r="BB130">
            <v>0</v>
          </cell>
          <cell r="BC130">
            <v>0</v>
          </cell>
          <cell r="BD130">
            <v>0</v>
          </cell>
          <cell r="BE130">
            <v>0</v>
          </cell>
          <cell r="BF130">
            <v>30256</v>
          </cell>
          <cell r="BG130">
            <v>30256</v>
          </cell>
          <cell r="BH130">
            <v>34039</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row>
        <row r="131">
          <cell r="H131">
            <v>970</v>
          </cell>
          <cell r="I131" t="str">
            <v>YTD Empl_Benefits</v>
          </cell>
          <cell r="J131">
            <v>5075</v>
          </cell>
          <cell r="K131">
            <v>10149</v>
          </cell>
          <cell r="L131">
            <v>15580</v>
          </cell>
          <cell r="M131">
            <v>21010</v>
          </cell>
          <cell r="N131">
            <v>26440</v>
          </cell>
          <cell r="O131">
            <v>31870</v>
          </cell>
          <cell r="P131">
            <v>37301</v>
          </cell>
          <cell r="Q131">
            <v>42731</v>
          </cell>
          <cell r="R131">
            <v>48161</v>
          </cell>
          <cell r="S131">
            <v>53591</v>
          </cell>
          <cell r="T131">
            <v>59022</v>
          </cell>
          <cell r="U131">
            <v>64452</v>
          </cell>
          <cell r="V131">
            <v>5430</v>
          </cell>
          <cell r="W131">
            <v>10861</v>
          </cell>
          <cell r="X131">
            <v>16461</v>
          </cell>
          <cell r="Y131">
            <v>22048</v>
          </cell>
          <cell r="Z131">
            <v>27634</v>
          </cell>
          <cell r="AA131">
            <v>33393</v>
          </cell>
          <cell r="AB131">
            <v>39152</v>
          </cell>
          <cell r="AC131">
            <v>44911</v>
          </cell>
          <cell r="AD131">
            <v>50670</v>
          </cell>
          <cell r="AE131">
            <v>56429</v>
          </cell>
          <cell r="AF131">
            <v>62188</v>
          </cell>
          <cell r="AG131">
            <v>67947</v>
          </cell>
          <cell r="AH131">
            <v>5758.97</v>
          </cell>
          <cell r="AI131">
            <v>12058.89</v>
          </cell>
          <cell r="AJ131">
            <v>18631.22</v>
          </cell>
          <cell r="AK131">
            <v>24958.19</v>
          </cell>
          <cell r="AL131">
            <v>30966.18</v>
          </cell>
          <cell r="AM131">
            <v>36974.17</v>
          </cell>
          <cell r="AN131">
            <v>42982.16</v>
          </cell>
          <cell r="AO131">
            <v>48990</v>
          </cell>
          <cell r="AP131">
            <v>54998</v>
          </cell>
          <cell r="AQ131">
            <v>61006</v>
          </cell>
          <cell r="AR131">
            <v>67014</v>
          </cell>
          <cell r="AS131">
            <v>73022</v>
          </cell>
          <cell r="AT131">
            <v>6007.99</v>
          </cell>
          <cell r="AU131">
            <v>12015.98</v>
          </cell>
          <cell r="AV131">
            <v>18314.86</v>
          </cell>
          <cell r="AW131">
            <v>24613.74</v>
          </cell>
          <cell r="AX131">
            <v>34590.93</v>
          </cell>
          <cell r="AY131">
            <v>41631.29</v>
          </cell>
          <cell r="AZ131">
            <v>48671.65</v>
          </cell>
          <cell r="BA131">
            <v>0</v>
          </cell>
          <cell r="BB131">
            <v>0</v>
          </cell>
          <cell r="BC131">
            <v>0</v>
          </cell>
          <cell r="BD131">
            <v>0</v>
          </cell>
          <cell r="BE131">
            <v>0</v>
          </cell>
          <cell r="BF131">
            <v>7287.99</v>
          </cell>
          <cell r="BG131">
            <v>15169.3</v>
          </cell>
          <cell r="BH131">
            <v>23266.52</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row>
        <row r="132">
          <cell r="H132">
            <v>971</v>
          </cell>
          <cell r="I132" t="str">
            <v>YTD Total Benefits</v>
          </cell>
          <cell r="J132">
            <v>20088</v>
          </cell>
          <cell r="K132">
            <v>40177</v>
          </cell>
          <cell r="L132">
            <v>61167</v>
          </cell>
          <cell r="M132">
            <v>82156</v>
          </cell>
          <cell r="N132">
            <v>103146</v>
          </cell>
          <cell r="O132">
            <v>124136</v>
          </cell>
          <cell r="P132">
            <v>145126</v>
          </cell>
          <cell r="Q132">
            <v>166115</v>
          </cell>
          <cell r="R132">
            <v>187105</v>
          </cell>
          <cell r="S132">
            <v>208095</v>
          </cell>
          <cell r="T132">
            <v>229085</v>
          </cell>
          <cell r="U132">
            <v>250075</v>
          </cell>
          <cell r="V132">
            <v>20990</v>
          </cell>
          <cell r="W132">
            <v>41980</v>
          </cell>
          <cell r="X132">
            <v>65451</v>
          </cell>
          <cell r="Y132">
            <v>86908</v>
          </cell>
          <cell r="Z132">
            <v>108365</v>
          </cell>
          <cell r="AA132">
            <v>130485</v>
          </cell>
          <cell r="AB132">
            <v>152605</v>
          </cell>
          <cell r="AC132">
            <v>174724</v>
          </cell>
          <cell r="AD132">
            <v>196844</v>
          </cell>
          <cell r="AE132">
            <v>218964</v>
          </cell>
          <cell r="AF132">
            <v>241083</v>
          </cell>
          <cell r="AG132">
            <v>263203</v>
          </cell>
          <cell r="AH132">
            <v>22119.68</v>
          </cell>
          <cell r="AI132">
            <v>46317.11</v>
          </cell>
          <cell r="AJ132">
            <v>71145.91</v>
          </cell>
          <cell r="AK132">
            <v>95047.790000000008</v>
          </cell>
          <cell r="AL132">
            <v>117744.65</v>
          </cell>
          <cell r="AM132">
            <v>140441.51</v>
          </cell>
          <cell r="AN132">
            <v>163138.37</v>
          </cell>
          <cell r="AO132">
            <v>185835</v>
          </cell>
          <cell r="AP132">
            <v>208532</v>
          </cell>
          <cell r="AQ132">
            <v>231229</v>
          </cell>
          <cell r="AR132">
            <v>253926</v>
          </cell>
          <cell r="AS132">
            <v>276623</v>
          </cell>
          <cell r="AT132">
            <v>22696.86</v>
          </cell>
          <cell r="AU132">
            <v>45393.72</v>
          </cell>
          <cell r="AV132">
            <v>68716.600000000006</v>
          </cell>
          <cell r="AW132">
            <v>92039.48000000001</v>
          </cell>
          <cell r="AX132">
            <v>128982.04999999999</v>
          </cell>
          <cell r="AY132">
            <v>155050.41</v>
          </cell>
          <cell r="AZ132">
            <v>181118.77</v>
          </cell>
          <cell r="BA132">
            <v>0</v>
          </cell>
          <cell r="BB132">
            <v>0</v>
          </cell>
          <cell r="BC132">
            <v>0</v>
          </cell>
          <cell r="BD132">
            <v>0</v>
          </cell>
          <cell r="BE132">
            <v>0</v>
          </cell>
          <cell r="BF132">
            <v>27276.190000000002</v>
          </cell>
          <cell r="BG132">
            <v>58785.7</v>
          </cell>
          <cell r="BH132">
            <v>93028.37000000001</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row>
        <row r="133">
          <cell r="H133">
            <v>972</v>
          </cell>
          <cell r="I133" t="str">
            <v>YTD Target (Budget) Empl_Benefits</v>
          </cell>
          <cell r="J133">
            <v>5164</v>
          </cell>
          <cell r="K133">
            <v>10328</v>
          </cell>
          <cell r="L133">
            <v>16137</v>
          </cell>
          <cell r="M133">
            <v>21301</v>
          </cell>
          <cell r="N133">
            <v>26465</v>
          </cell>
          <cell r="O133">
            <v>32274</v>
          </cell>
          <cell r="P133">
            <v>37438</v>
          </cell>
          <cell r="Q133">
            <v>42602</v>
          </cell>
          <cell r="R133">
            <v>48411</v>
          </cell>
          <cell r="S133">
            <v>53575</v>
          </cell>
          <cell r="T133">
            <v>58739</v>
          </cell>
          <cell r="U133">
            <v>64543</v>
          </cell>
          <cell r="V133">
            <v>5363</v>
          </cell>
          <cell r="W133">
            <v>10726</v>
          </cell>
          <cell r="X133">
            <v>16760</v>
          </cell>
          <cell r="Y133">
            <v>22123</v>
          </cell>
          <cell r="Z133">
            <v>27486</v>
          </cell>
          <cell r="AA133">
            <v>33520</v>
          </cell>
          <cell r="AB133">
            <v>38883</v>
          </cell>
          <cell r="AC133">
            <v>44246</v>
          </cell>
          <cell r="AD133">
            <v>50280</v>
          </cell>
          <cell r="AE133">
            <v>55643</v>
          </cell>
          <cell r="AF133">
            <v>61006</v>
          </cell>
          <cell r="AG133">
            <v>67043</v>
          </cell>
          <cell r="AH133">
            <v>5808</v>
          </cell>
          <cell r="AI133">
            <v>11616</v>
          </cell>
          <cell r="AJ133">
            <v>18150</v>
          </cell>
          <cell r="AK133">
            <v>23958</v>
          </cell>
          <cell r="AL133">
            <v>29766</v>
          </cell>
          <cell r="AM133">
            <v>36300</v>
          </cell>
          <cell r="AN133">
            <v>42108</v>
          </cell>
          <cell r="AO133">
            <v>47916</v>
          </cell>
          <cell r="AP133">
            <v>54450</v>
          </cell>
          <cell r="AQ133">
            <v>60258</v>
          </cell>
          <cell r="AR133">
            <v>66066</v>
          </cell>
          <cell r="AS133">
            <v>72596</v>
          </cell>
          <cell r="AT133">
            <v>6706</v>
          </cell>
          <cell r="AU133">
            <v>13412</v>
          </cell>
          <cell r="AV133">
            <v>20957</v>
          </cell>
          <cell r="AW133">
            <v>27663</v>
          </cell>
          <cell r="AX133">
            <v>34369</v>
          </cell>
          <cell r="AY133">
            <v>41914</v>
          </cell>
          <cell r="AZ133">
            <v>48620</v>
          </cell>
          <cell r="BA133">
            <v>0</v>
          </cell>
          <cell r="BB133">
            <v>0</v>
          </cell>
          <cell r="BC133">
            <v>0</v>
          </cell>
          <cell r="BD133">
            <v>0</v>
          </cell>
          <cell r="BE133">
            <v>0</v>
          </cell>
          <cell r="BF133">
            <v>7359</v>
          </cell>
          <cell r="BG133">
            <v>14718</v>
          </cell>
          <cell r="BH133">
            <v>22997</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row>
        <row r="134">
          <cell r="H134">
            <v>973</v>
          </cell>
          <cell r="I134" t="str">
            <v>YTD Target (Budget) Total Benefits</v>
          </cell>
          <cell r="J134">
            <v>19989</v>
          </cell>
          <cell r="K134">
            <v>39978</v>
          </cell>
          <cell r="L134">
            <v>62466</v>
          </cell>
          <cell r="M134">
            <v>82455</v>
          </cell>
          <cell r="N134">
            <v>102444</v>
          </cell>
          <cell r="O134">
            <v>124932</v>
          </cell>
          <cell r="P134">
            <v>144921</v>
          </cell>
          <cell r="Q134">
            <v>164910</v>
          </cell>
          <cell r="R134">
            <v>187398</v>
          </cell>
          <cell r="S134">
            <v>207387</v>
          </cell>
          <cell r="T134">
            <v>227376</v>
          </cell>
          <cell r="U134">
            <v>249861</v>
          </cell>
          <cell r="V134">
            <v>20597</v>
          </cell>
          <cell r="W134">
            <v>41194</v>
          </cell>
          <cell r="X134">
            <v>64366</v>
          </cell>
          <cell r="Y134">
            <v>84963</v>
          </cell>
          <cell r="Z134">
            <v>105560</v>
          </cell>
          <cell r="AA134">
            <v>128732</v>
          </cell>
          <cell r="AB134">
            <v>149329</v>
          </cell>
          <cell r="AC134">
            <v>169926</v>
          </cell>
          <cell r="AD134">
            <v>193098</v>
          </cell>
          <cell r="AE134">
            <v>213695</v>
          </cell>
          <cell r="AF134">
            <v>234292</v>
          </cell>
          <cell r="AG134">
            <v>257469</v>
          </cell>
          <cell r="AH134">
            <v>21776</v>
          </cell>
          <cell r="AI134">
            <v>43552</v>
          </cell>
          <cell r="AJ134">
            <v>68050</v>
          </cell>
          <cell r="AK134">
            <v>89826</v>
          </cell>
          <cell r="AL134">
            <v>111602</v>
          </cell>
          <cell r="AM134">
            <v>136100</v>
          </cell>
          <cell r="AN134">
            <v>157876</v>
          </cell>
          <cell r="AO134">
            <v>179652</v>
          </cell>
          <cell r="AP134">
            <v>204150</v>
          </cell>
          <cell r="AQ134">
            <v>225926</v>
          </cell>
          <cell r="AR134">
            <v>247702</v>
          </cell>
          <cell r="AS134">
            <v>272197</v>
          </cell>
          <cell r="AT134">
            <v>24912</v>
          </cell>
          <cell r="AU134">
            <v>49824</v>
          </cell>
          <cell r="AV134">
            <v>77851</v>
          </cell>
          <cell r="AW134">
            <v>102763</v>
          </cell>
          <cell r="AX134">
            <v>127675</v>
          </cell>
          <cell r="AY134">
            <v>155702</v>
          </cell>
          <cell r="AZ134">
            <v>180614</v>
          </cell>
          <cell r="BA134">
            <v>0</v>
          </cell>
          <cell r="BB134">
            <v>0</v>
          </cell>
          <cell r="BC134">
            <v>0</v>
          </cell>
          <cell r="BD134">
            <v>0</v>
          </cell>
          <cell r="BE134">
            <v>0</v>
          </cell>
          <cell r="BF134">
            <v>30256</v>
          </cell>
          <cell r="BG134">
            <v>60512</v>
          </cell>
          <cell r="BH134">
            <v>94551</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row>
        <row r="135">
          <cell r="H135">
            <v>974</v>
          </cell>
          <cell r="I135" t="str">
            <v>Actual</v>
          </cell>
          <cell r="J135">
            <v>28948</v>
          </cell>
          <cell r="K135">
            <v>3804</v>
          </cell>
          <cell r="L135">
            <v>109876</v>
          </cell>
          <cell r="M135">
            <v>69841</v>
          </cell>
          <cell r="N135">
            <v>32754</v>
          </cell>
          <cell r="O135">
            <v>108346</v>
          </cell>
          <cell r="P135">
            <v>8629</v>
          </cell>
          <cell r="Q135">
            <v>22912</v>
          </cell>
          <cell r="R135">
            <v>129675</v>
          </cell>
          <cell r="S135">
            <v>39828</v>
          </cell>
          <cell r="T135">
            <v>29126</v>
          </cell>
          <cell r="U135">
            <v>136267</v>
          </cell>
          <cell r="V135">
            <v>26510</v>
          </cell>
          <cell r="W135">
            <v>10234</v>
          </cell>
          <cell r="X135">
            <v>145577</v>
          </cell>
          <cell r="Y135">
            <v>19252</v>
          </cell>
          <cell r="Z135">
            <v>40287</v>
          </cell>
          <cell r="AA135">
            <v>194360</v>
          </cell>
          <cell r="AB135">
            <v>10285</v>
          </cell>
          <cell r="AC135">
            <v>9472</v>
          </cell>
          <cell r="AD135">
            <v>193165</v>
          </cell>
          <cell r="AE135">
            <v>8153</v>
          </cell>
          <cell r="AF135">
            <v>-1870</v>
          </cell>
          <cell r="AG135">
            <v>230149</v>
          </cell>
          <cell r="AH135">
            <v>-719.17999999993481</v>
          </cell>
          <cell r="AI135">
            <v>963.5800000000454</v>
          </cell>
          <cell r="AJ135">
            <v>200987.15000000002</v>
          </cell>
          <cell r="AK135">
            <v>21161.090000000026</v>
          </cell>
          <cell r="AL135">
            <v>9469.5400000000081</v>
          </cell>
          <cell r="AM135">
            <v>225252.82999999984</v>
          </cell>
          <cell r="AN135">
            <v>15120.97000000003</v>
          </cell>
          <cell r="AO135">
            <v>11490</v>
          </cell>
          <cell r="AP135">
            <v>215611</v>
          </cell>
          <cell r="AQ135">
            <v>12921</v>
          </cell>
          <cell r="AR135">
            <v>14187</v>
          </cell>
          <cell r="AS135">
            <v>236506</v>
          </cell>
          <cell r="AT135">
            <v>24989.419999999984</v>
          </cell>
          <cell r="AU135">
            <v>22460.369999999995</v>
          </cell>
          <cell r="AV135">
            <v>210665.04999999993</v>
          </cell>
          <cell r="AW135">
            <v>25907.029999999912</v>
          </cell>
          <cell r="AX135">
            <v>1095.4000000000233</v>
          </cell>
          <cell r="AY135">
            <v>258958.9099999998</v>
          </cell>
          <cell r="AZ135">
            <v>20478.919999999984</v>
          </cell>
          <cell r="BA135">
            <v>0</v>
          </cell>
          <cell r="BB135">
            <v>0</v>
          </cell>
          <cell r="BC135">
            <v>0</v>
          </cell>
          <cell r="BD135">
            <v>0</v>
          </cell>
          <cell r="BE135">
            <v>0</v>
          </cell>
          <cell r="BF135">
            <v>11122.72000000003</v>
          </cell>
          <cell r="BG135">
            <v>17614.320000000007</v>
          </cell>
          <cell r="BH135">
            <v>261374.46999999986</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row>
        <row r="136">
          <cell r="H136">
            <v>975</v>
          </cell>
          <cell r="I136" t="str">
            <v>Target (Budget)</v>
          </cell>
          <cell r="J136">
            <v>45436</v>
          </cell>
          <cell r="K136">
            <v>23922</v>
          </cell>
          <cell r="L136">
            <v>94146</v>
          </cell>
          <cell r="M136">
            <v>23922</v>
          </cell>
          <cell r="N136">
            <v>23922</v>
          </cell>
          <cell r="O136">
            <v>94146</v>
          </cell>
          <cell r="P136">
            <v>23922</v>
          </cell>
          <cell r="Q136">
            <v>23922</v>
          </cell>
          <cell r="R136">
            <v>94146</v>
          </cell>
          <cell r="S136">
            <v>23922</v>
          </cell>
          <cell r="T136">
            <v>23922</v>
          </cell>
          <cell r="U136">
            <v>94142</v>
          </cell>
          <cell r="V136">
            <v>27510</v>
          </cell>
          <cell r="W136">
            <v>27510</v>
          </cell>
          <cell r="X136">
            <v>83971</v>
          </cell>
          <cell r="Y136">
            <v>27510</v>
          </cell>
          <cell r="Z136">
            <v>27510</v>
          </cell>
          <cell r="AA136">
            <v>83971</v>
          </cell>
          <cell r="AB136">
            <v>27510</v>
          </cell>
          <cell r="AC136">
            <v>27510</v>
          </cell>
          <cell r="AD136">
            <v>83971</v>
          </cell>
          <cell r="AE136">
            <v>27510</v>
          </cell>
          <cell r="AF136">
            <v>27510</v>
          </cell>
          <cell r="AG136">
            <v>83975</v>
          </cell>
          <cell r="AH136">
            <v>30826</v>
          </cell>
          <cell r="AI136">
            <v>14497</v>
          </cell>
          <cell r="AJ136">
            <v>184405</v>
          </cell>
          <cell r="AK136">
            <v>14497</v>
          </cell>
          <cell r="AL136">
            <v>14497</v>
          </cell>
          <cell r="AM136">
            <v>184405</v>
          </cell>
          <cell r="AN136">
            <v>14497</v>
          </cell>
          <cell r="AO136">
            <v>14497</v>
          </cell>
          <cell r="AP136">
            <v>184405</v>
          </cell>
          <cell r="AQ136">
            <v>14497</v>
          </cell>
          <cell r="AR136">
            <v>14497</v>
          </cell>
          <cell r="AS136">
            <v>184399</v>
          </cell>
          <cell r="AT136">
            <v>36797</v>
          </cell>
          <cell r="AU136">
            <v>40044</v>
          </cell>
          <cell r="AV136">
            <v>166311</v>
          </cell>
          <cell r="AW136">
            <v>38958</v>
          </cell>
          <cell r="AX136">
            <v>44040</v>
          </cell>
          <cell r="AY136">
            <v>161507</v>
          </cell>
          <cell r="AZ136">
            <v>38958</v>
          </cell>
          <cell r="BA136">
            <v>0</v>
          </cell>
          <cell r="BB136">
            <v>0</v>
          </cell>
          <cell r="BC136">
            <v>0</v>
          </cell>
          <cell r="BD136">
            <v>0</v>
          </cell>
          <cell r="BE136">
            <v>0</v>
          </cell>
          <cell r="BF136">
            <v>-13642</v>
          </cell>
          <cell r="BG136">
            <v>-13687</v>
          </cell>
          <cell r="BH136">
            <v>254303</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row>
        <row r="137">
          <cell r="H137">
            <v>978</v>
          </cell>
          <cell r="I137" t="str">
            <v>YTD Actual</v>
          </cell>
          <cell r="J137">
            <v>28948</v>
          </cell>
          <cell r="K137">
            <v>32752</v>
          </cell>
          <cell r="L137">
            <v>142628</v>
          </cell>
          <cell r="M137">
            <v>212468</v>
          </cell>
          <cell r="N137">
            <v>245223</v>
          </cell>
          <cell r="O137">
            <v>353568</v>
          </cell>
          <cell r="P137">
            <v>362198</v>
          </cell>
          <cell r="Q137">
            <v>385109</v>
          </cell>
          <cell r="R137">
            <v>514784</v>
          </cell>
          <cell r="S137">
            <v>554613</v>
          </cell>
          <cell r="T137">
            <v>583739</v>
          </cell>
          <cell r="U137">
            <v>720006</v>
          </cell>
          <cell r="V137">
            <v>26510</v>
          </cell>
          <cell r="W137">
            <v>36744</v>
          </cell>
          <cell r="X137">
            <v>182321</v>
          </cell>
          <cell r="Y137">
            <v>201573</v>
          </cell>
          <cell r="Z137">
            <v>241860</v>
          </cell>
          <cell r="AA137">
            <v>436220</v>
          </cell>
          <cell r="AB137">
            <v>446505</v>
          </cell>
          <cell r="AC137">
            <v>455977</v>
          </cell>
          <cell r="AD137">
            <v>649142</v>
          </cell>
          <cell r="AE137">
            <v>657295</v>
          </cell>
          <cell r="AF137">
            <v>655425</v>
          </cell>
          <cell r="AG137">
            <v>885575</v>
          </cell>
          <cell r="AH137">
            <v>-719.17999999993481</v>
          </cell>
          <cell r="AI137">
            <v>244.40000000002328</v>
          </cell>
          <cell r="AJ137">
            <v>201231.55000000005</v>
          </cell>
          <cell r="AK137">
            <v>222392.63999999966</v>
          </cell>
          <cell r="AL137">
            <v>231862.18000000017</v>
          </cell>
          <cell r="AM137">
            <v>457115.01000000071</v>
          </cell>
          <cell r="AN137">
            <v>472235.98000000045</v>
          </cell>
          <cell r="AO137">
            <v>483726</v>
          </cell>
          <cell r="AP137">
            <v>699337</v>
          </cell>
          <cell r="AQ137">
            <v>712258</v>
          </cell>
          <cell r="AR137">
            <v>726445</v>
          </cell>
          <cell r="AS137">
            <v>962951</v>
          </cell>
          <cell r="AT137">
            <v>24989.419999999984</v>
          </cell>
          <cell r="AU137">
            <v>47449.790000000037</v>
          </cell>
          <cell r="AV137">
            <v>258114.83999999985</v>
          </cell>
          <cell r="AW137">
            <v>284021.87000000034</v>
          </cell>
          <cell r="AX137">
            <v>285117.27000000048</v>
          </cell>
          <cell r="AY137">
            <v>544076.1799999997</v>
          </cell>
          <cell r="AZ137">
            <v>564555.10000000056</v>
          </cell>
          <cell r="BA137">
            <v>0</v>
          </cell>
          <cell r="BB137">
            <v>0</v>
          </cell>
          <cell r="BC137">
            <v>0</v>
          </cell>
          <cell r="BD137">
            <v>0</v>
          </cell>
          <cell r="BE137">
            <v>0</v>
          </cell>
          <cell r="BF137">
            <v>11122.72000000003</v>
          </cell>
          <cell r="BG137">
            <v>28737.040000000037</v>
          </cell>
          <cell r="BH137">
            <v>290111.50999999978</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row>
        <row r="138">
          <cell r="H138">
            <v>979</v>
          </cell>
          <cell r="I138" t="str">
            <v>YTD Target (Budget)</v>
          </cell>
          <cell r="J138">
            <v>45436</v>
          </cell>
          <cell r="K138">
            <v>47844</v>
          </cell>
          <cell r="L138">
            <v>141990</v>
          </cell>
          <cell r="M138">
            <v>165912</v>
          </cell>
          <cell r="N138">
            <v>189834</v>
          </cell>
          <cell r="O138">
            <v>283980</v>
          </cell>
          <cell r="P138">
            <v>307902</v>
          </cell>
          <cell r="Q138">
            <v>331824</v>
          </cell>
          <cell r="R138">
            <v>425970</v>
          </cell>
          <cell r="S138">
            <v>449892</v>
          </cell>
          <cell r="T138">
            <v>473814</v>
          </cell>
          <cell r="U138">
            <v>567956</v>
          </cell>
          <cell r="V138">
            <v>27510</v>
          </cell>
          <cell r="W138">
            <v>55020</v>
          </cell>
          <cell r="X138">
            <v>138991</v>
          </cell>
          <cell r="Y138">
            <v>166501</v>
          </cell>
          <cell r="Z138">
            <v>194011</v>
          </cell>
          <cell r="AA138">
            <v>277982</v>
          </cell>
          <cell r="AB138">
            <v>305492</v>
          </cell>
          <cell r="AC138">
            <v>333002</v>
          </cell>
          <cell r="AD138">
            <v>416973</v>
          </cell>
          <cell r="AE138">
            <v>444483</v>
          </cell>
          <cell r="AF138">
            <v>471993</v>
          </cell>
          <cell r="AG138">
            <v>555968</v>
          </cell>
          <cell r="AH138">
            <v>30826</v>
          </cell>
          <cell r="AI138">
            <v>28994</v>
          </cell>
          <cell r="AJ138">
            <v>213399</v>
          </cell>
          <cell r="AK138">
            <v>227896</v>
          </cell>
          <cell r="AL138">
            <v>242393</v>
          </cell>
          <cell r="AM138">
            <v>426798</v>
          </cell>
          <cell r="AN138">
            <v>441295</v>
          </cell>
          <cell r="AO138">
            <v>455792</v>
          </cell>
          <cell r="AP138">
            <v>640197</v>
          </cell>
          <cell r="AQ138">
            <v>654694</v>
          </cell>
          <cell r="AR138">
            <v>669191</v>
          </cell>
          <cell r="AS138">
            <v>853590</v>
          </cell>
          <cell r="AT138">
            <v>36797</v>
          </cell>
          <cell r="AU138">
            <v>76841</v>
          </cell>
          <cell r="AV138">
            <v>243152</v>
          </cell>
          <cell r="AW138">
            <v>282110</v>
          </cell>
          <cell r="AX138">
            <v>326150</v>
          </cell>
          <cell r="AY138">
            <v>487657</v>
          </cell>
          <cell r="AZ138">
            <v>526615</v>
          </cell>
          <cell r="BA138">
            <v>0</v>
          </cell>
          <cell r="BB138">
            <v>0</v>
          </cell>
          <cell r="BC138">
            <v>0</v>
          </cell>
          <cell r="BD138">
            <v>0</v>
          </cell>
          <cell r="BE138">
            <v>0</v>
          </cell>
          <cell r="BF138">
            <v>-13642</v>
          </cell>
          <cell r="BG138">
            <v>-27329</v>
          </cell>
          <cell r="BH138">
            <v>226974</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row>
        <row r="139">
          <cell r="H139">
            <v>986</v>
          </cell>
          <cell r="I139" t="str">
            <v>Actual</v>
          </cell>
          <cell r="J139">
            <v>-19802</v>
          </cell>
          <cell r="K139">
            <v>-9686</v>
          </cell>
          <cell r="L139">
            <v>73210</v>
          </cell>
          <cell r="M139">
            <v>34705</v>
          </cell>
          <cell r="N139">
            <v>1104</v>
          </cell>
          <cell r="O139">
            <v>70819</v>
          </cell>
          <cell r="P139">
            <v>-22817</v>
          </cell>
          <cell r="Q139">
            <v>-9664</v>
          </cell>
          <cell r="R139">
            <v>90870</v>
          </cell>
          <cell r="S139">
            <v>6496</v>
          </cell>
          <cell r="T139">
            <v>-5053</v>
          </cell>
          <cell r="U139">
            <v>95438</v>
          </cell>
          <cell r="V139">
            <v>-7183</v>
          </cell>
          <cell r="W139">
            <v>-22549</v>
          </cell>
          <cell r="X139">
            <v>103573</v>
          </cell>
          <cell r="Y139">
            <v>-14043</v>
          </cell>
          <cell r="Z139">
            <v>7271</v>
          </cell>
          <cell r="AA139">
            <v>151052</v>
          </cell>
          <cell r="AB139">
            <v>-22529</v>
          </cell>
          <cell r="AC139">
            <v>-22973</v>
          </cell>
          <cell r="AD139">
            <v>150142</v>
          </cell>
          <cell r="AE139">
            <v>-24291</v>
          </cell>
          <cell r="AF139">
            <v>-33776</v>
          </cell>
          <cell r="AG139">
            <v>84767</v>
          </cell>
          <cell r="AH139">
            <v>-10554.099999999935</v>
          </cell>
          <cell r="AI139">
            <v>-54397.489999999962</v>
          </cell>
          <cell r="AJ139">
            <v>156703.17000000001</v>
          </cell>
          <cell r="AK139">
            <v>-11777.459999999977</v>
          </cell>
          <cell r="AL139">
            <v>-23416.709999999992</v>
          </cell>
          <cell r="AM139">
            <v>110571.94999999984</v>
          </cell>
          <cell r="AN139">
            <v>9720.2400000000307</v>
          </cell>
          <cell r="AO139">
            <v>-49586</v>
          </cell>
          <cell r="AP139">
            <v>170603</v>
          </cell>
          <cell r="AQ139">
            <v>-20160</v>
          </cell>
          <cell r="AR139">
            <v>-19004</v>
          </cell>
          <cell r="AS139">
            <v>41218</v>
          </cell>
          <cell r="AT139">
            <v>-20136.420000000013</v>
          </cell>
          <cell r="AU139">
            <v>-22228.290000000008</v>
          </cell>
          <cell r="AV139">
            <v>-8663.350000000064</v>
          </cell>
          <cell r="AW139">
            <v>-5575.3500000000931</v>
          </cell>
          <cell r="AX139">
            <v>-43996.319999999978</v>
          </cell>
          <cell r="AY139">
            <v>189731.67999999979</v>
          </cell>
          <cell r="AZ139">
            <v>-29215.510000000017</v>
          </cell>
          <cell r="BA139">
            <v>0</v>
          </cell>
          <cell r="BB139">
            <v>0</v>
          </cell>
          <cell r="BC139">
            <v>0</v>
          </cell>
          <cell r="BD139">
            <v>0</v>
          </cell>
          <cell r="BE139">
            <v>0</v>
          </cell>
          <cell r="BF139">
            <v>-28228.979999999967</v>
          </cell>
          <cell r="BG139">
            <v>-22178.899999999994</v>
          </cell>
          <cell r="BH139">
            <v>196705.11999999985</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row>
        <row r="140">
          <cell r="H140">
            <v>987</v>
          </cell>
          <cell r="I140" t="str">
            <v>Target (Budget)</v>
          </cell>
          <cell r="J140">
            <v>13727</v>
          </cell>
          <cell r="K140">
            <v>-7787</v>
          </cell>
          <cell r="L140">
            <v>58473</v>
          </cell>
          <cell r="M140">
            <v>-7787</v>
          </cell>
          <cell r="N140">
            <v>-7787</v>
          </cell>
          <cell r="O140">
            <v>58473</v>
          </cell>
          <cell r="P140">
            <v>-7787</v>
          </cell>
          <cell r="Q140">
            <v>-7787</v>
          </cell>
          <cell r="R140">
            <v>58473</v>
          </cell>
          <cell r="S140">
            <v>-7787</v>
          </cell>
          <cell r="T140">
            <v>-7787</v>
          </cell>
          <cell r="U140">
            <v>58463</v>
          </cell>
          <cell r="V140">
            <v>-5434</v>
          </cell>
          <cell r="W140">
            <v>-5434</v>
          </cell>
          <cell r="X140">
            <v>46908</v>
          </cell>
          <cell r="Y140">
            <v>-5434</v>
          </cell>
          <cell r="Z140">
            <v>5434</v>
          </cell>
          <cell r="AA140">
            <v>46908</v>
          </cell>
          <cell r="AB140">
            <v>-5434</v>
          </cell>
          <cell r="AC140">
            <v>-5434</v>
          </cell>
          <cell r="AD140">
            <v>46908</v>
          </cell>
          <cell r="AE140">
            <v>-5434</v>
          </cell>
          <cell r="AF140">
            <v>-5434</v>
          </cell>
          <cell r="AG140">
            <v>46907</v>
          </cell>
          <cell r="AH140">
            <v>-9755</v>
          </cell>
          <cell r="AI140">
            <v>-26084</v>
          </cell>
          <cell r="AJ140">
            <v>133187</v>
          </cell>
          <cell r="AK140">
            <v>-26084</v>
          </cell>
          <cell r="AL140">
            <v>-26084</v>
          </cell>
          <cell r="AM140">
            <v>51287</v>
          </cell>
          <cell r="AN140">
            <v>-18884</v>
          </cell>
          <cell r="AO140">
            <v>-18884</v>
          </cell>
          <cell r="AP140">
            <v>141287</v>
          </cell>
          <cell r="AQ140">
            <v>-18884</v>
          </cell>
          <cell r="AR140">
            <v>-18884</v>
          </cell>
          <cell r="AS140">
            <v>-8726</v>
          </cell>
          <cell r="AT140">
            <v>-15903</v>
          </cell>
          <cell r="AU140">
            <v>-12656</v>
          </cell>
          <cell r="AV140">
            <v>-30256</v>
          </cell>
          <cell r="AW140">
            <v>-2502</v>
          </cell>
          <cell r="AX140">
            <v>2580</v>
          </cell>
          <cell r="AY140">
            <v>105443</v>
          </cell>
          <cell r="AZ140">
            <v>-2502</v>
          </cell>
          <cell r="BA140">
            <v>0</v>
          </cell>
          <cell r="BB140">
            <v>0</v>
          </cell>
          <cell r="BC140">
            <v>0</v>
          </cell>
          <cell r="BD140">
            <v>0</v>
          </cell>
          <cell r="BE140">
            <v>0</v>
          </cell>
          <cell r="BF140">
            <v>-59737</v>
          </cell>
          <cell r="BG140">
            <v>-53184</v>
          </cell>
          <cell r="BH140">
            <v>69780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row>
        <row r="141">
          <cell r="H141">
            <v>990</v>
          </cell>
          <cell r="I141" t="str">
            <v>YTD Actual</v>
          </cell>
          <cell r="J141">
            <v>-19802</v>
          </cell>
          <cell r="K141">
            <v>-29488</v>
          </cell>
          <cell r="L141">
            <v>43722</v>
          </cell>
          <cell r="M141">
            <v>78427</v>
          </cell>
          <cell r="N141">
            <v>79532</v>
          </cell>
          <cell r="O141">
            <v>150350</v>
          </cell>
          <cell r="P141">
            <v>127533</v>
          </cell>
          <cell r="Q141">
            <v>117869</v>
          </cell>
          <cell r="R141">
            <v>208738</v>
          </cell>
          <cell r="S141">
            <v>215235</v>
          </cell>
          <cell r="T141">
            <v>210182</v>
          </cell>
          <cell r="U141">
            <v>305620</v>
          </cell>
          <cell r="V141">
            <v>-7183</v>
          </cell>
          <cell r="W141">
            <v>-29732</v>
          </cell>
          <cell r="X141">
            <v>73841</v>
          </cell>
          <cell r="Y141">
            <v>59798</v>
          </cell>
          <cell r="Z141">
            <v>67069</v>
          </cell>
          <cell r="AA141">
            <v>218120</v>
          </cell>
          <cell r="AB141">
            <v>195591</v>
          </cell>
          <cell r="AC141">
            <v>172618</v>
          </cell>
          <cell r="AD141">
            <v>322760</v>
          </cell>
          <cell r="AE141">
            <v>298469</v>
          </cell>
          <cell r="AF141">
            <v>264693</v>
          </cell>
          <cell r="AG141">
            <v>349460</v>
          </cell>
          <cell r="AH141">
            <v>-10554.099999999935</v>
          </cell>
          <cell r="AI141">
            <v>-64951.589999999982</v>
          </cell>
          <cell r="AJ141">
            <v>91751.580000000045</v>
          </cell>
          <cell r="AK141">
            <v>79974.119999999646</v>
          </cell>
          <cell r="AL141">
            <v>56557.410000000178</v>
          </cell>
          <cell r="AM141">
            <v>167129.36000000068</v>
          </cell>
          <cell r="AN141">
            <v>176849.60000000044</v>
          </cell>
          <cell r="AO141">
            <v>127264</v>
          </cell>
          <cell r="AP141">
            <v>297867</v>
          </cell>
          <cell r="AQ141">
            <v>277707</v>
          </cell>
          <cell r="AR141">
            <v>258703</v>
          </cell>
          <cell r="AS141">
            <v>299921</v>
          </cell>
          <cell r="AT141">
            <v>-20136.420000000013</v>
          </cell>
          <cell r="AU141">
            <v>-42364.709999999963</v>
          </cell>
          <cell r="AV141">
            <v>-51028.060000000143</v>
          </cell>
          <cell r="AW141">
            <v>-56603.409999999683</v>
          </cell>
          <cell r="AX141">
            <v>-100599.72999999949</v>
          </cell>
          <cell r="AY141">
            <v>89131.949999999721</v>
          </cell>
          <cell r="AZ141">
            <v>59916.440000000526</v>
          </cell>
          <cell r="BA141">
            <v>0</v>
          </cell>
          <cell r="BB141">
            <v>0</v>
          </cell>
          <cell r="BC141">
            <v>0</v>
          </cell>
          <cell r="BD141">
            <v>0</v>
          </cell>
          <cell r="BE141">
            <v>0</v>
          </cell>
          <cell r="BF141">
            <v>-28228.979999999967</v>
          </cell>
          <cell r="BG141">
            <v>-50407.879999999961</v>
          </cell>
          <cell r="BH141">
            <v>146297.23999999979</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row>
        <row r="142">
          <cell r="H142">
            <v>991</v>
          </cell>
          <cell r="I142" t="str">
            <v>YTD Target (Budget)</v>
          </cell>
          <cell r="J142">
            <v>13727</v>
          </cell>
          <cell r="K142">
            <v>-15574</v>
          </cell>
          <cell r="L142">
            <v>42899</v>
          </cell>
          <cell r="M142">
            <v>35112</v>
          </cell>
          <cell r="N142">
            <v>27325</v>
          </cell>
          <cell r="O142">
            <v>85798</v>
          </cell>
          <cell r="P142">
            <v>78011</v>
          </cell>
          <cell r="Q142">
            <v>70224</v>
          </cell>
          <cell r="R142">
            <v>128697</v>
          </cell>
          <cell r="S142">
            <v>120910</v>
          </cell>
          <cell r="T142">
            <v>113123</v>
          </cell>
          <cell r="U142">
            <v>171586</v>
          </cell>
          <cell r="V142">
            <v>-5434</v>
          </cell>
          <cell r="W142">
            <v>-10868</v>
          </cell>
          <cell r="X142">
            <v>36040</v>
          </cell>
          <cell r="Y142">
            <v>30606</v>
          </cell>
          <cell r="Z142">
            <v>25172</v>
          </cell>
          <cell r="AA142">
            <v>72080</v>
          </cell>
          <cell r="AB142">
            <v>66646</v>
          </cell>
          <cell r="AC142">
            <v>61212</v>
          </cell>
          <cell r="AD142">
            <v>108120</v>
          </cell>
          <cell r="AE142">
            <v>102686</v>
          </cell>
          <cell r="AF142">
            <v>97252</v>
          </cell>
          <cell r="AG142">
            <v>144159</v>
          </cell>
          <cell r="AH142">
            <v>-9755</v>
          </cell>
          <cell r="AI142">
            <v>-52168</v>
          </cell>
          <cell r="AJ142">
            <v>81019</v>
          </cell>
          <cell r="AK142">
            <v>54935</v>
          </cell>
          <cell r="AL142">
            <v>28851</v>
          </cell>
          <cell r="AM142">
            <v>117038</v>
          </cell>
          <cell r="AN142">
            <v>98154</v>
          </cell>
          <cell r="AO142">
            <v>79270</v>
          </cell>
          <cell r="AP142">
            <v>220557</v>
          </cell>
          <cell r="AQ142">
            <v>201673</v>
          </cell>
          <cell r="AR142">
            <v>182789</v>
          </cell>
          <cell r="AS142">
            <v>174063</v>
          </cell>
          <cell r="AT142">
            <v>-15903</v>
          </cell>
          <cell r="AU142">
            <v>-28559</v>
          </cell>
          <cell r="AV142">
            <v>-36335</v>
          </cell>
          <cell r="AW142">
            <v>-38837</v>
          </cell>
          <cell r="AX142">
            <v>-36257</v>
          </cell>
          <cell r="AY142">
            <v>69186</v>
          </cell>
          <cell r="AZ142">
            <v>66684</v>
          </cell>
          <cell r="BA142">
            <v>0</v>
          </cell>
          <cell r="BB142">
            <v>0</v>
          </cell>
          <cell r="BC142">
            <v>0</v>
          </cell>
          <cell r="BD142">
            <v>0</v>
          </cell>
          <cell r="BE142">
            <v>0</v>
          </cell>
          <cell r="BF142">
            <v>-59737</v>
          </cell>
          <cell r="BG142">
            <v>-112921</v>
          </cell>
          <cell r="BH142">
            <v>-43141</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row>
        <row r="143">
          <cell r="H143">
            <v>1022</v>
          </cell>
          <cell r="I143" t="str">
            <v>Actual</v>
          </cell>
          <cell r="J143">
            <v>340140</v>
          </cell>
          <cell r="K143">
            <v>353758</v>
          </cell>
          <cell r="L143">
            <v>716849</v>
          </cell>
          <cell r="M143">
            <v>273639</v>
          </cell>
          <cell r="N143">
            <v>329187</v>
          </cell>
          <cell r="O143">
            <v>725805</v>
          </cell>
          <cell r="P143">
            <v>331321</v>
          </cell>
          <cell r="Q143">
            <v>305995</v>
          </cell>
          <cell r="R143">
            <v>768119</v>
          </cell>
          <cell r="S143">
            <v>261755</v>
          </cell>
          <cell r="T143">
            <v>277530</v>
          </cell>
          <cell r="U143">
            <v>734366</v>
          </cell>
          <cell r="V143">
            <v>251442</v>
          </cell>
          <cell r="W143">
            <v>261713</v>
          </cell>
          <cell r="X143">
            <v>732188</v>
          </cell>
          <cell r="Y143">
            <v>246283</v>
          </cell>
          <cell r="Z143">
            <v>251996</v>
          </cell>
          <cell r="AA143">
            <v>839254</v>
          </cell>
          <cell r="AB143">
            <v>236329</v>
          </cell>
          <cell r="AC143">
            <v>243074</v>
          </cell>
          <cell r="AD143">
            <v>762053</v>
          </cell>
          <cell r="AE143">
            <v>230857</v>
          </cell>
          <cell r="AF143">
            <v>236772</v>
          </cell>
          <cell r="AG143">
            <v>824563</v>
          </cell>
          <cell r="AH143">
            <v>230787.58</v>
          </cell>
          <cell r="AI143">
            <v>231568.34</v>
          </cell>
          <cell r="AJ143">
            <v>841179.53999999992</v>
          </cell>
          <cell r="AK143">
            <v>219714.67</v>
          </cell>
          <cell r="AL143">
            <v>218868.86</v>
          </cell>
          <cell r="AM143">
            <v>758502.93</v>
          </cell>
          <cell r="AN143">
            <v>232779.44</v>
          </cell>
          <cell r="AO143">
            <v>229971</v>
          </cell>
          <cell r="AP143">
            <v>737659</v>
          </cell>
          <cell r="AQ143">
            <v>232258</v>
          </cell>
          <cell r="AR143">
            <v>232741</v>
          </cell>
          <cell r="AS143">
            <v>818835</v>
          </cell>
          <cell r="AT143">
            <v>223080.17</v>
          </cell>
          <cell r="AU143">
            <v>223964.73</v>
          </cell>
          <cell r="AV143">
            <v>687326.28</v>
          </cell>
          <cell r="AW143">
            <v>225761.95</v>
          </cell>
          <cell r="AX143">
            <v>239446.34</v>
          </cell>
          <cell r="AY143">
            <v>806980.15</v>
          </cell>
          <cell r="AZ143">
            <v>233178.27</v>
          </cell>
          <cell r="BA143">
            <v>0</v>
          </cell>
          <cell r="BB143">
            <v>0</v>
          </cell>
          <cell r="BC143">
            <v>0</v>
          </cell>
          <cell r="BD143">
            <v>0</v>
          </cell>
          <cell r="BE143">
            <v>0</v>
          </cell>
          <cell r="BF143">
            <v>247647.63</v>
          </cell>
          <cell r="BG143">
            <v>247198.8</v>
          </cell>
          <cell r="BH143">
            <v>787929.41</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row>
        <row r="144">
          <cell r="H144">
            <v>1023</v>
          </cell>
          <cell r="I144" t="str">
            <v>Target (Budget)</v>
          </cell>
          <cell r="J144">
            <v>362927</v>
          </cell>
          <cell r="K144">
            <v>263769</v>
          </cell>
          <cell r="L144">
            <v>606608</v>
          </cell>
          <cell r="M144">
            <v>263769</v>
          </cell>
          <cell r="N144">
            <v>263769</v>
          </cell>
          <cell r="O144">
            <v>606608</v>
          </cell>
          <cell r="P144">
            <v>263769</v>
          </cell>
          <cell r="Q144">
            <v>263769</v>
          </cell>
          <cell r="R144">
            <v>606608</v>
          </cell>
          <cell r="S144">
            <v>263769</v>
          </cell>
          <cell r="T144">
            <v>263769</v>
          </cell>
          <cell r="U144">
            <v>606609</v>
          </cell>
          <cell r="V144">
            <v>275679</v>
          </cell>
          <cell r="W144">
            <v>275679</v>
          </cell>
          <cell r="X144">
            <v>692365</v>
          </cell>
          <cell r="Y144">
            <v>275679</v>
          </cell>
          <cell r="Z144">
            <v>275679</v>
          </cell>
          <cell r="AA144">
            <v>692365</v>
          </cell>
          <cell r="AB144">
            <v>275679</v>
          </cell>
          <cell r="AC144">
            <v>275979</v>
          </cell>
          <cell r="AD144">
            <v>692365</v>
          </cell>
          <cell r="AE144">
            <v>275679</v>
          </cell>
          <cell r="AF144">
            <v>275679</v>
          </cell>
          <cell r="AG144">
            <v>692362</v>
          </cell>
          <cell r="AH144">
            <v>249765</v>
          </cell>
          <cell r="AI144">
            <v>166656</v>
          </cell>
          <cell r="AJ144">
            <v>990874</v>
          </cell>
          <cell r="AK144">
            <v>166656</v>
          </cell>
          <cell r="AL144">
            <v>166656</v>
          </cell>
          <cell r="AM144">
            <v>990874</v>
          </cell>
          <cell r="AN144">
            <v>166656</v>
          </cell>
          <cell r="AO144">
            <v>166656</v>
          </cell>
          <cell r="AP144">
            <v>990874</v>
          </cell>
          <cell r="AQ144">
            <v>166656</v>
          </cell>
          <cell r="AR144">
            <v>166656</v>
          </cell>
          <cell r="AS144">
            <v>990880</v>
          </cell>
          <cell r="AT144">
            <v>235098</v>
          </cell>
          <cell r="AU144">
            <v>235098</v>
          </cell>
          <cell r="AV144">
            <v>774466</v>
          </cell>
          <cell r="AW144">
            <v>235098</v>
          </cell>
          <cell r="AX144">
            <v>235098</v>
          </cell>
          <cell r="AY144">
            <v>754784</v>
          </cell>
          <cell r="AZ144">
            <v>235098</v>
          </cell>
          <cell r="BA144">
            <v>0</v>
          </cell>
          <cell r="BB144">
            <v>0</v>
          </cell>
          <cell r="BC144">
            <v>0</v>
          </cell>
          <cell r="BD144">
            <v>0</v>
          </cell>
          <cell r="BE144">
            <v>0</v>
          </cell>
          <cell r="BF144">
            <v>250207</v>
          </cell>
          <cell r="BG144">
            <v>250207</v>
          </cell>
          <cell r="BH144">
            <v>740287</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row>
        <row r="145">
          <cell r="H145">
            <v>1026</v>
          </cell>
          <cell r="I145" t="str">
            <v>YTD Actual</v>
          </cell>
          <cell r="J145">
            <v>340140</v>
          </cell>
          <cell r="K145">
            <v>693898</v>
          </cell>
          <cell r="L145">
            <v>1410747</v>
          </cell>
          <cell r="M145">
            <v>1684385</v>
          </cell>
          <cell r="N145">
            <v>2013572</v>
          </cell>
          <cell r="O145">
            <v>2739377</v>
          </cell>
          <cell r="P145">
            <v>3070699</v>
          </cell>
          <cell r="Q145">
            <v>3376694</v>
          </cell>
          <cell r="R145">
            <v>4144813</v>
          </cell>
          <cell r="S145">
            <v>4406568</v>
          </cell>
          <cell r="T145">
            <v>4684128</v>
          </cell>
          <cell r="U145">
            <v>5418494</v>
          </cell>
          <cell r="V145">
            <v>251442</v>
          </cell>
          <cell r="W145">
            <v>513156</v>
          </cell>
          <cell r="X145">
            <v>1245343</v>
          </cell>
          <cell r="Y145">
            <v>1491626</v>
          </cell>
          <cell r="Z145">
            <v>1743622</v>
          </cell>
          <cell r="AA145">
            <v>2582876</v>
          </cell>
          <cell r="AB145">
            <v>2819205</v>
          </cell>
          <cell r="AC145">
            <v>3062278</v>
          </cell>
          <cell r="AD145">
            <v>3824331</v>
          </cell>
          <cell r="AE145">
            <v>4055189</v>
          </cell>
          <cell r="AF145">
            <v>4291961</v>
          </cell>
          <cell r="AG145">
            <v>5116524</v>
          </cell>
          <cell r="AH145">
            <v>230787.58</v>
          </cell>
          <cell r="AI145">
            <v>462355.92</v>
          </cell>
          <cell r="AJ145">
            <v>1303535.46</v>
          </cell>
          <cell r="AK145">
            <v>1523250.1300000001</v>
          </cell>
          <cell r="AL145">
            <v>1742118.99</v>
          </cell>
          <cell r="AM145">
            <v>2500621.92</v>
          </cell>
          <cell r="AN145">
            <v>2733401.36</v>
          </cell>
          <cell r="AO145">
            <v>2963372</v>
          </cell>
          <cell r="AP145">
            <v>3701031</v>
          </cell>
          <cell r="AQ145">
            <v>3933289</v>
          </cell>
          <cell r="AR145">
            <v>4166030</v>
          </cell>
          <cell r="AS145">
            <v>4984865</v>
          </cell>
          <cell r="AT145">
            <v>223080.17</v>
          </cell>
          <cell r="AU145">
            <v>447044.9</v>
          </cell>
          <cell r="AV145">
            <v>1134371.18</v>
          </cell>
          <cell r="AW145">
            <v>1360133.13</v>
          </cell>
          <cell r="AX145">
            <v>1599579.47</v>
          </cell>
          <cell r="AY145">
            <v>2406559.62</v>
          </cell>
          <cell r="AZ145">
            <v>2639737.8899999997</v>
          </cell>
          <cell r="BA145">
            <v>0</v>
          </cell>
          <cell r="BB145">
            <v>0</v>
          </cell>
          <cell r="BC145">
            <v>0</v>
          </cell>
          <cell r="BD145">
            <v>0</v>
          </cell>
          <cell r="BE145">
            <v>0</v>
          </cell>
          <cell r="BF145">
            <v>247647.63</v>
          </cell>
          <cell r="BG145">
            <v>494846.43</v>
          </cell>
          <cell r="BH145">
            <v>1282775.8400000001</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row>
        <row r="146">
          <cell r="H146">
            <v>1027</v>
          </cell>
          <cell r="I146" t="str">
            <v>YTD Target (Budget)</v>
          </cell>
          <cell r="J146">
            <v>362927</v>
          </cell>
          <cell r="K146">
            <v>527538</v>
          </cell>
          <cell r="L146">
            <v>1134146</v>
          </cell>
          <cell r="M146">
            <v>1397915</v>
          </cell>
          <cell r="N146">
            <v>1661684</v>
          </cell>
          <cell r="O146">
            <v>2268292</v>
          </cell>
          <cell r="P146">
            <v>2532061</v>
          </cell>
          <cell r="Q146">
            <v>2795830</v>
          </cell>
          <cell r="R146">
            <v>3402438</v>
          </cell>
          <cell r="S146">
            <v>3666207</v>
          </cell>
          <cell r="T146">
            <v>3929976</v>
          </cell>
          <cell r="U146">
            <v>4536585</v>
          </cell>
          <cell r="V146">
            <v>275679</v>
          </cell>
          <cell r="W146">
            <v>551358</v>
          </cell>
          <cell r="X146">
            <v>1243723</v>
          </cell>
          <cell r="Y146">
            <v>1519402</v>
          </cell>
          <cell r="Z146">
            <v>1795081</v>
          </cell>
          <cell r="AA146">
            <v>2487446</v>
          </cell>
          <cell r="AB146">
            <v>2763125</v>
          </cell>
          <cell r="AC146">
            <v>3038804</v>
          </cell>
          <cell r="AD146">
            <v>3731169</v>
          </cell>
          <cell r="AE146">
            <v>4006848</v>
          </cell>
          <cell r="AF146">
            <v>4282527</v>
          </cell>
          <cell r="AG146">
            <v>4974889</v>
          </cell>
          <cell r="AH146">
            <v>249765</v>
          </cell>
          <cell r="AI146">
            <v>333312</v>
          </cell>
          <cell r="AJ146">
            <v>1324186</v>
          </cell>
          <cell r="AK146">
            <v>1490842</v>
          </cell>
          <cell r="AL146">
            <v>1567498</v>
          </cell>
          <cell r="AM146">
            <v>2648372</v>
          </cell>
          <cell r="AN146">
            <v>2815028</v>
          </cell>
          <cell r="AO146">
            <v>2981684</v>
          </cell>
          <cell r="AP146">
            <v>3972558</v>
          </cell>
          <cell r="AQ146">
            <v>4139214</v>
          </cell>
          <cell r="AR146">
            <v>4305870</v>
          </cell>
          <cell r="AS146">
            <v>5296750</v>
          </cell>
          <cell r="AT146">
            <v>235098</v>
          </cell>
          <cell r="AU146">
            <v>470196</v>
          </cell>
          <cell r="AV146">
            <v>1244662</v>
          </cell>
          <cell r="AW146">
            <v>1479760</v>
          </cell>
          <cell r="AX146">
            <v>1714858</v>
          </cell>
          <cell r="AY146">
            <v>2469642</v>
          </cell>
          <cell r="AZ146">
            <v>2704740</v>
          </cell>
          <cell r="BA146">
            <v>0</v>
          </cell>
          <cell r="BB146">
            <v>0</v>
          </cell>
          <cell r="BC146">
            <v>0</v>
          </cell>
          <cell r="BD146">
            <v>0</v>
          </cell>
          <cell r="BE146">
            <v>0</v>
          </cell>
          <cell r="BF146">
            <v>250207</v>
          </cell>
          <cell r="BG146">
            <v>500414</v>
          </cell>
          <cell r="BH146">
            <v>1240701</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row>
        <row r="147">
          <cell r="H147">
            <v>1179</v>
          </cell>
          <cell r="I147" t="str">
            <v>Actual</v>
          </cell>
          <cell r="J147">
            <v>2836</v>
          </cell>
          <cell r="K147">
            <v>15670</v>
          </cell>
          <cell r="L147">
            <v>19610</v>
          </cell>
          <cell r="M147">
            <v>20692</v>
          </cell>
          <cell r="N147">
            <v>17618</v>
          </cell>
          <cell r="O147">
            <v>9648</v>
          </cell>
          <cell r="P147">
            <v>18688</v>
          </cell>
          <cell r="Q147">
            <v>19281</v>
          </cell>
          <cell r="R147">
            <v>16729</v>
          </cell>
          <cell r="S147">
            <v>2214</v>
          </cell>
          <cell r="T147">
            <v>5154</v>
          </cell>
          <cell r="U147">
            <v>-3302</v>
          </cell>
          <cell r="V147">
            <v>5214</v>
          </cell>
          <cell r="W147">
            <v>9509</v>
          </cell>
          <cell r="X147">
            <v>19937</v>
          </cell>
          <cell r="Y147">
            <v>19615</v>
          </cell>
          <cell r="Z147">
            <v>15594</v>
          </cell>
          <cell r="AA147">
            <v>12170</v>
          </cell>
          <cell r="AB147">
            <v>12780</v>
          </cell>
          <cell r="AC147">
            <v>20301</v>
          </cell>
          <cell r="AD147">
            <v>13473</v>
          </cell>
          <cell r="AE147">
            <v>17277</v>
          </cell>
          <cell r="AF147">
            <v>-4485</v>
          </cell>
          <cell r="AG147">
            <v>10764</v>
          </cell>
          <cell r="AH147">
            <v>3454.88</v>
          </cell>
          <cell r="AI147">
            <v>3867.19</v>
          </cell>
          <cell r="AJ147">
            <v>12744.86</v>
          </cell>
          <cell r="AK147">
            <v>13418.72</v>
          </cell>
          <cell r="AL147">
            <v>11314.37</v>
          </cell>
          <cell r="AM147">
            <v>8268.08</v>
          </cell>
          <cell r="AN147">
            <v>9024.27</v>
          </cell>
          <cell r="AO147">
            <v>11085</v>
          </cell>
          <cell r="AP147">
            <v>11061</v>
          </cell>
          <cell r="AQ147">
            <v>13775</v>
          </cell>
          <cell r="AR147">
            <v>-25313</v>
          </cell>
          <cell r="AS147">
            <v>2477</v>
          </cell>
          <cell r="AT147">
            <v>2775.7</v>
          </cell>
          <cell r="AU147">
            <v>5404.84</v>
          </cell>
          <cell r="AV147">
            <v>13236.15</v>
          </cell>
          <cell r="AW147">
            <v>11347.36</v>
          </cell>
          <cell r="AX147">
            <v>9632.42</v>
          </cell>
          <cell r="AY147">
            <v>7144.11</v>
          </cell>
          <cell r="AZ147">
            <v>7024.69</v>
          </cell>
          <cell r="BA147">
            <v>0</v>
          </cell>
          <cell r="BB147">
            <v>0</v>
          </cell>
          <cell r="BC147">
            <v>0</v>
          </cell>
          <cell r="BD147">
            <v>0</v>
          </cell>
          <cell r="BE147">
            <v>0</v>
          </cell>
          <cell r="BF147">
            <v>3717.77</v>
          </cell>
          <cell r="BG147">
            <v>12600.89</v>
          </cell>
          <cell r="BH147">
            <v>21218.89</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row>
        <row r="148">
          <cell r="H148">
            <v>1180</v>
          </cell>
          <cell r="I148" t="str">
            <v>Target (Budget)</v>
          </cell>
          <cell r="J148">
            <v>14560</v>
          </cell>
          <cell r="K148">
            <v>27040</v>
          </cell>
          <cell r="L148">
            <v>18720</v>
          </cell>
          <cell r="M148">
            <v>18720</v>
          </cell>
          <cell r="N148">
            <v>16640</v>
          </cell>
          <cell r="O148">
            <v>14560</v>
          </cell>
          <cell r="P148">
            <v>27040</v>
          </cell>
          <cell r="Q148">
            <v>14560</v>
          </cell>
          <cell r="R148">
            <v>12480</v>
          </cell>
          <cell r="S148">
            <v>14560</v>
          </cell>
          <cell r="T148">
            <v>14560</v>
          </cell>
          <cell r="U148">
            <v>14560</v>
          </cell>
          <cell r="V148">
            <v>11785</v>
          </cell>
          <cell r="W148">
            <v>21985</v>
          </cell>
          <cell r="X148">
            <v>15170</v>
          </cell>
          <cell r="Y148">
            <v>15185</v>
          </cell>
          <cell r="Z148">
            <v>13485</v>
          </cell>
          <cell r="AA148">
            <v>11770</v>
          </cell>
          <cell r="AB148">
            <v>21985</v>
          </cell>
          <cell r="AC148">
            <v>11785</v>
          </cell>
          <cell r="AD148">
            <v>10070</v>
          </cell>
          <cell r="AE148">
            <v>11785</v>
          </cell>
          <cell r="AF148">
            <v>11785</v>
          </cell>
          <cell r="AG148">
            <v>11768</v>
          </cell>
          <cell r="AH148">
            <v>10736</v>
          </cell>
          <cell r="AI148">
            <v>10736</v>
          </cell>
          <cell r="AJ148">
            <v>12078</v>
          </cell>
          <cell r="AK148">
            <v>10736</v>
          </cell>
          <cell r="AL148">
            <v>10736</v>
          </cell>
          <cell r="AM148">
            <v>12078</v>
          </cell>
          <cell r="AN148">
            <v>10736</v>
          </cell>
          <cell r="AO148">
            <v>10736</v>
          </cell>
          <cell r="AP148">
            <v>12078</v>
          </cell>
          <cell r="AQ148">
            <v>10736</v>
          </cell>
          <cell r="AR148">
            <v>9</v>
          </cell>
          <cell r="AS148">
            <v>12076</v>
          </cell>
          <cell r="AT148">
            <v>3600</v>
          </cell>
          <cell r="AU148">
            <v>7200</v>
          </cell>
          <cell r="AV148">
            <v>13051</v>
          </cell>
          <cell r="AW148">
            <v>13051</v>
          </cell>
          <cell r="AX148">
            <v>11851</v>
          </cell>
          <cell r="AY148">
            <v>9451</v>
          </cell>
          <cell r="AZ148">
            <v>9451</v>
          </cell>
          <cell r="BA148">
            <v>0</v>
          </cell>
          <cell r="BB148">
            <v>0</v>
          </cell>
          <cell r="BC148">
            <v>0</v>
          </cell>
          <cell r="BD148">
            <v>0</v>
          </cell>
          <cell r="BE148">
            <v>0</v>
          </cell>
          <cell r="BF148">
            <v>5955</v>
          </cell>
          <cell r="BG148">
            <v>11909</v>
          </cell>
          <cell r="BH148">
            <v>48788</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row>
        <row r="149">
          <cell r="H149">
            <v>1183</v>
          </cell>
          <cell r="I149" t="str">
            <v>YTD Actual</v>
          </cell>
          <cell r="J149">
            <v>2836</v>
          </cell>
          <cell r="K149">
            <v>18505</v>
          </cell>
          <cell r="L149">
            <v>38116</v>
          </cell>
          <cell r="M149">
            <v>58807</v>
          </cell>
          <cell r="N149">
            <v>76425</v>
          </cell>
          <cell r="O149">
            <v>86073</v>
          </cell>
          <cell r="P149">
            <v>104761</v>
          </cell>
          <cell r="Q149">
            <v>124042</v>
          </cell>
          <cell r="R149">
            <v>140771</v>
          </cell>
          <cell r="S149">
            <v>162986</v>
          </cell>
          <cell r="T149">
            <v>168139</v>
          </cell>
          <cell r="U149">
            <v>164838</v>
          </cell>
          <cell r="V149">
            <v>5214</v>
          </cell>
          <cell r="W149">
            <v>14723</v>
          </cell>
          <cell r="X149">
            <v>34660</v>
          </cell>
          <cell r="Y149">
            <v>54275</v>
          </cell>
          <cell r="Z149">
            <v>69870</v>
          </cell>
          <cell r="AA149">
            <v>82039</v>
          </cell>
          <cell r="AB149">
            <v>94820</v>
          </cell>
          <cell r="AC149">
            <v>115120</v>
          </cell>
          <cell r="AD149">
            <v>128594</v>
          </cell>
          <cell r="AE149">
            <v>145871</v>
          </cell>
          <cell r="AF149">
            <v>141386</v>
          </cell>
          <cell r="AG149">
            <v>152150</v>
          </cell>
          <cell r="AH149">
            <v>3454.88</v>
          </cell>
          <cell r="AI149">
            <v>7322.07</v>
          </cell>
          <cell r="AJ149">
            <v>20066.93</v>
          </cell>
          <cell r="AK149">
            <v>33485.65</v>
          </cell>
          <cell r="AL149">
            <v>44800.02</v>
          </cell>
          <cell r="AM149">
            <v>53068.1</v>
          </cell>
          <cell r="AN149">
            <v>62092.37</v>
          </cell>
          <cell r="AO149">
            <v>73177</v>
          </cell>
          <cell r="AP149">
            <v>84238</v>
          </cell>
          <cell r="AQ149">
            <v>98013</v>
          </cell>
          <cell r="AR149">
            <v>-44892</v>
          </cell>
          <cell r="AS149">
            <v>75178</v>
          </cell>
          <cell r="AT149">
            <v>2775.7</v>
          </cell>
          <cell r="AU149">
            <v>8180.54</v>
          </cell>
          <cell r="AV149">
            <v>21416.69</v>
          </cell>
          <cell r="AW149">
            <v>32764.05</v>
          </cell>
          <cell r="AX149">
            <v>42396.47</v>
          </cell>
          <cell r="AY149">
            <v>49540.58</v>
          </cell>
          <cell r="AZ149">
            <v>56565.27</v>
          </cell>
          <cell r="BA149">
            <v>0</v>
          </cell>
          <cell r="BB149">
            <v>0</v>
          </cell>
          <cell r="BC149">
            <v>0</v>
          </cell>
          <cell r="BD149">
            <v>0</v>
          </cell>
          <cell r="BE149">
            <v>0</v>
          </cell>
          <cell r="BF149">
            <v>3717.77</v>
          </cell>
          <cell r="BG149">
            <v>16318.66</v>
          </cell>
          <cell r="BH149">
            <v>37537.550000000003</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row>
        <row r="150">
          <cell r="H150">
            <v>1184</v>
          </cell>
          <cell r="I150" t="str">
            <v>YTD Target (Budget)</v>
          </cell>
          <cell r="J150">
            <v>14560</v>
          </cell>
          <cell r="K150">
            <v>41600</v>
          </cell>
          <cell r="L150">
            <v>60320</v>
          </cell>
          <cell r="M150">
            <v>79040</v>
          </cell>
          <cell r="N150">
            <v>95680</v>
          </cell>
          <cell r="O150">
            <v>110240</v>
          </cell>
          <cell r="P150">
            <v>137280</v>
          </cell>
          <cell r="Q150">
            <v>151840</v>
          </cell>
          <cell r="R150">
            <v>164320</v>
          </cell>
          <cell r="S150">
            <v>178880</v>
          </cell>
          <cell r="T150">
            <v>193440</v>
          </cell>
          <cell r="U150">
            <v>208000</v>
          </cell>
          <cell r="V150">
            <v>11785</v>
          </cell>
          <cell r="W150">
            <v>33770</v>
          </cell>
          <cell r="X150">
            <v>48940</v>
          </cell>
          <cell r="Y150">
            <v>64125</v>
          </cell>
          <cell r="Z150">
            <v>77610</v>
          </cell>
          <cell r="AA150">
            <v>89380</v>
          </cell>
          <cell r="AB150">
            <v>111365</v>
          </cell>
          <cell r="AC150">
            <v>123150</v>
          </cell>
          <cell r="AD150">
            <v>133220</v>
          </cell>
          <cell r="AE150">
            <v>145005</v>
          </cell>
          <cell r="AF150">
            <v>156790</v>
          </cell>
          <cell r="AG150">
            <v>168558</v>
          </cell>
          <cell r="AH150">
            <v>10736</v>
          </cell>
          <cell r="AI150">
            <v>21472</v>
          </cell>
          <cell r="AJ150">
            <v>33550</v>
          </cell>
          <cell r="AK150">
            <v>44286</v>
          </cell>
          <cell r="AL150">
            <v>55022</v>
          </cell>
          <cell r="AM150">
            <v>67100</v>
          </cell>
          <cell r="AN150">
            <v>77836</v>
          </cell>
          <cell r="AO150">
            <v>88572</v>
          </cell>
          <cell r="AP150">
            <v>100650</v>
          </cell>
          <cell r="AQ150">
            <v>111386</v>
          </cell>
          <cell r="AR150">
            <v>102</v>
          </cell>
          <cell r="AS150">
            <v>134198</v>
          </cell>
          <cell r="AT150">
            <v>3600</v>
          </cell>
          <cell r="AU150">
            <v>10800</v>
          </cell>
          <cell r="AV150">
            <v>23851</v>
          </cell>
          <cell r="AW150">
            <v>36902</v>
          </cell>
          <cell r="AX150">
            <v>48753</v>
          </cell>
          <cell r="AY150">
            <v>58204</v>
          </cell>
          <cell r="AZ150">
            <v>67655</v>
          </cell>
          <cell r="BA150">
            <v>0</v>
          </cell>
          <cell r="BB150">
            <v>0</v>
          </cell>
          <cell r="BC150">
            <v>0</v>
          </cell>
          <cell r="BD150">
            <v>0</v>
          </cell>
          <cell r="BE150">
            <v>0</v>
          </cell>
          <cell r="BF150">
            <v>5955</v>
          </cell>
          <cell r="BG150">
            <v>17864</v>
          </cell>
          <cell r="BH150">
            <v>66652</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row>
        <row r="151">
          <cell r="H151">
            <v>1191</v>
          </cell>
          <cell r="I151" t="str">
            <v>Actual</v>
          </cell>
          <cell r="J151">
            <v>6448</v>
          </cell>
          <cell r="K151">
            <v>7649</v>
          </cell>
          <cell r="L151">
            <v>10862</v>
          </cell>
          <cell r="M151">
            <v>6858</v>
          </cell>
          <cell r="N151">
            <v>7572</v>
          </cell>
          <cell r="O151">
            <v>8198</v>
          </cell>
          <cell r="P151">
            <v>8837</v>
          </cell>
          <cell r="Q151">
            <v>6119</v>
          </cell>
          <cell r="R151">
            <v>33548</v>
          </cell>
          <cell r="S151">
            <v>-15235</v>
          </cell>
          <cell r="T151">
            <v>4926</v>
          </cell>
          <cell r="U151">
            <v>8997</v>
          </cell>
          <cell r="V151">
            <v>8140</v>
          </cell>
          <cell r="W151">
            <v>5291</v>
          </cell>
          <cell r="X151">
            <v>6754</v>
          </cell>
          <cell r="Y151">
            <v>9860</v>
          </cell>
          <cell r="Z151">
            <v>9808</v>
          </cell>
          <cell r="AA151">
            <v>9040</v>
          </cell>
          <cell r="AB151">
            <v>6347</v>
          </cell>
          <cell r="AC151">
            <v>8417</v>
          </cell>
          <cell r="AD151">
            <v>5865</v>
          </cell>
          <cell r="AE151">
            <v>7690</v>
          </cell>
          <cell r="AF151">
            <v>2620</v>
          </cell>
          <cell r="AG151">
            <v>10599</v>
          </cell>
          <cell r="AH151">
            <v>6084.18</v>
          </cell>
          <cell r="AI151">
            <v>7557.74</v>
          </cell>
          <cell r="AJ151">
            <v>8787.3100000000013</v>
          </cell>
          <cell r="AK151">
            <v>5980.4500000000007</v>
          </cell>
          <cell r="AL151">
            <v>5765.66</v>
          </cell>
          <cell r="AM151">
            <v>7393.1200000000008</v>
          </cell>
          <cell r="AN151">
            <v>5495.75</v>
          </cell>
          <cell r="AO151">
            <v>5825</v>
          </cell>
          <cell r="AP151">
            <v>10715</v>
          </cell>
          <cell r="AQ151">
            <v>6021</v>
          </cell>
          <cell r="AR151">
            <v>5092</v>
          </cell>
          <cell r="AS151">
            <v>11440</v>
          </cell>
          <cell r="AT151">
            <v>4873.63</v>
          </cell>
          <cell r="AU151">
            <v>5362.15</v>
          </cell>
          <cell r="AV151">
            <v>6610.9600000000009</v>
          </cell>
          <cell r="AW151">
            <v>6836.82</v>
          </cell>
          <cell r="AX151">
            <v>25953.83</v>
          </cell>
          <cell r="AY151">
            <v>10750.08</v>
          </cell>
          <cell r="AZ151">
            <v>9859.7099999999991</v>
          </cell>
          <cell r="BA151">
            <v>0</v>
          </cell>
          <cell r="BB151">
            <v>0</v>
          </cell>
          <cell r="BC151">
            <v>0</v>
          </cell>
          <cell r="BD151">
            <v>0</v>
          </cell>
          <cell r="BE151">
            <v>0</v>
          </cell>
          <cell r="BF151">
            <v>19401.600000000002</v>
          </cell>
          <cell r="BG151">
            <v>11980.22</v>
          </cell>
          <cell r="BH151">
            <v>18875.89</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row>
        <row r="152">
          <cell r="H152">
            <v>1192</v>
          </cell>
          <cell r="I152" t="str">
            <v>Target (Budget)</v>
          </cell>
          <cell r="J152">
            <v>7557</v>
          </cell>
          <cell r="K152">
            <v>7557</v>
          </cell>
          <cell r="L152">
            <v>8503</v>
          </cell>
          <cell r="M152">
            <v>7557</v>
          </cell>
          <cell r="N152">
            <v>7557</v>
          </cell>
          <cell r="O152">
            <v>8503</v>
          </cell>
          <cell r="P152">
            <v>7557</v>
          </cell>
          <cell r="Q152">
            <v>7557</v>
          </cell>
          <cell r="R152">
            <v>8503</v>
          </cell>
          <cell r="S152">
            <v>7557</v>
          </cell>
          <cell r="T152">
            <v>7557</v>
          </cell>
          <cell r="U152">
            <v>8512</v>
          </cell>
          <cell r="V152">
            <v>6410</v>
          </cell>
          <cell r="W152">
            <v>6410</v>
          </cell>
          <cell r="X152">
            <v>7210</v>
          </cell>
          <cell r="Y152">
            <v>6410</v>
          </cell>
          <cell r="Z152">
            <v>6410</v>
          </cell>
          <cell r="AA152">
            <v>7210</v>
          </cell>
          <cell r="AB152">
            <v>6410</v>
          </cell>
          <cell r="AC152">
            <v>6410</v>
          </cell>
          <cell r="AD152">
            <v>7210</v>
          </cell>
          <cell r="AE152">
            <v>6410</v>
          </cell>
          <cell r="AF152">
            <v>6410</v>
          </cell>
          <cell r="AG152">
            <v>7206</v>
          </cell>
          <cell r="AH152">
            <v>6776</v>
          </cell>
          <cell r="AI152">
            <v>6776</v>
          </cell>
          <cell r="AJ152">
            <v>7622</v>
          </cell>
          <cell r="AK152">
            <v>6776</v>
          </cell>
          <cell r="AL152">
            <v>6776</v>
          </cell>
          <cell r="AM152">
            <v>7622</v>
          </cell>
          <cell r="AN152">
            <v>6776</v>
          </cell>
          <cell r="AO152">
            <v>6776</v>
          </cell>
          <cell r="AP152">
            <v>7622</v>
          </cell>
          <cell r="AQ152">
            <v>6776</v>
          </cell>
          <cell r="AR152">
            <v>6776</v>
          </cell>
          <cell r="AS152">
            <v>7623</v>
          </cell>
          <cell r="AT152">
            <v>13815</v>
          </cell>
          <cell r="AU152">
            <v>14961</v>
          </cell>
          <cell r="AV152">
            <v>18627</v>
          </cell>
          <cell r="AW152">
            <v>17019</v>
          </cell>
          <cell r="AX152">
            <v>16675</v>
          </cell>
          <cell r="AY152">
            <v>17436</v>
          </cell>
          <cell r="AZ152">
            <v>15818</v>
          </cell>
          <cell r="BA152">
            <v>0</v>
          </cell>
          <cell r="BB152">
            <v>0</v>
          </cell>
          <cell r="BC152">
            <v>0</v>
          </cell>
          <cell r="BD152">
            <v>0</v>
          </cell>
          <cell r="BE152">
            <v>0</v>
          </cell>
          <cell r="BF152">
            <v>12851</v>
          </cell>
          <cell r="BG152">
            <v>14606</v>
          </cell>
          <cell r="BH152">
            <v>17535</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row>
        <row r="153">
          <cell r="H153">
            <v>1195</v>
          </cell>
          <cell r="I153" t="str">
            <v>YTD Actual</v>
          </cell>
          <cell r="J153">
            <v>6448</v>
          </cell>
          <cell r="K153">
            <v>14097</v>
          </cell>
          <cell r="L153">
            <v>24959</v>
          </cell>
          <cell r="M153">
            <v>31817</v>
          </cell>
          <cell r="N153">
            <v>39389</v>
          </cell>
          <cell r="O153">
            <v>47586</v>
          </cell>
          <cell r="P153">
            <v>56423</v>
          </cell>
          <cell r="Q153">
            <v>62542</v>
          </cell>
          <cell r="R153">
            <v>96090</v>
          </cell>
          <cell r="S153">
            <v>80855</v>
          </cell>
          <cell r="T153">
            <v>85782</v>
          </cell>
          <cell r="U153">
            <v>94778</v>
          </cell>
          <cell r="V153">
            <v>8140</v>
          </cell>
          <cell r="W153">
            <v>13431</v>
          </cell>
          <cell r="X153">
            <v>20186</v>
          </cell>
          <cell r="Y153">
            <v>30046</v>
          </cell>
          <cell r="Z153">
            <v>39854</v>
          </cell>
          <cell r="AA153">
            <v>48893</v>
          </cell>
          <cell r="AB153">
            <v>55241</v>
          </cell>
          <cell r="AC153">
            <v>63658</v>
          </cell>
          <cell r="AD153">
            <v>69523</v>
          </cell>
          <cell r="AE153">
            <v>77213</v>
          </cell>
          <cell r="AF153">
            <v>79833</v>
          </cell>
          <cell r="AG153">
            <v>90432</v>
          </cell>
          <cell r="AH153">
            <v>6084.18</v>
          </cell>
          <cell r="AI153">
            <v>13641.92</v>
          </cell>
          <cell r="AJ153">
            <v>22429.23</v>
          </cell>
          <cell r="AK153">
            <v>28409.68</v>
          </cell>
          <cell r="AL153">
            <v>34175.339999999997</v>
          </cell>
          <cell r="AM153">
            <v>41568.46</v>
          </cell>
          <cell r="AN153">
            <v>47064.209999999992</v>
          </cell>
          <cell r="AO153">
            <v>52889</v>
          </cell>
          <cell r="AP153">
            <v>63604</v>
          </cell>
          <cell r="AQ153">
            <v>69625</v>
          </cell>
          <cell r="AR153">
            <v>74717</v>
          </cell>
          <cell r="AS153">
            <v>86156</v>
          </cell>
          <cell r="AT153">
            <v>4873.63</v>
          </cell>
          <cell r="AU153">
            <v>10235.779999999999</v>
          </cell>
          <cell r="AV153">
            <v>16846.740000000002</v>
          </cell>
          <cell r="AW153">
            <v>23683.560000000005</v>
          </cell>
          <cell r="AX153">
            <v>49637.39</v>
          </cell>
          <cell r="AY153">
            <v>60387.47</v>
          </cell>
          <cell r="AZ153">
            <v>70247.180000000008</v>
          </cell>
          <cell r="BA153">
            <v>0</v>
          </cell>
          <cell r="BB153">
            <v>0</v>
          </cell>
          <cell r="BC153">
            <v>0</v>
          </cell>
          <cell r="BD153">
            <v>0</v>
          </cell>
          <cell r="BE153">
            <v>0</v>
          </cell>
          <cell r="BF153">
            <v>19401.600000000002</v>
          </cell>
          <cell r="BG153">
            <v>31381.819999999992</v>
          </cell>
          <cell r="BH153">
            <v>50257.71</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row>
        <row r="154">
          <cell r="H154">
            <v>1196</v>
          </cell>
          <cell r="I154" t="str">
            <v>YTD Target (Budget)</v>
          </cell>
          <cell r="J154">
            <v>7557</v>
          </cell>
          <cell r="K154">
            <v>15114</v>
          </cell>
          <cell r="L154">
            <v>23617</v>
          </cell>
          <cell r="M154">
            <v>31174</v>
          </cell>
          <cell r="N154">
            <v>38731</v>
          </cell>
          <cell r="O154">
            <v>47234</v>
          </cell>
          <cell r="P154">
            <v>54791</v>
          </cell>
          <cell r="Q154">
            <v>62348</v>
          </cell>
          <cell r="R154">
            <v>70851</v>
          </cell>
          <cell r="S154">
            <v>78408</v>
          </cell>
          <cell r="T154">
            <v>85965</v>
          </cell>
          <cell r="U154">
            <v>94477</v>
          </cell>
          <cell r="V154">
            <v>6410</v>
          </cell>
          <cell r="W154">
            <v>12820</v>
          </cell>
          <cell r="X154">
            <v>20030</v>
          </cell>
          <cell r="Y154">
            <v>26440</v>
          </cell>
          <cell r="Z154">
            <v>32850</v>
          </cell>
          <cell r="AA154">
            <v>40060</v>
          </cell>
          <cell r="AB154">
            <v>46470</v>
          </cell>
          <cell r="AC154">
            <v>52880</v>
          </cell>
          <cell r="AD154">
            <v>60090</v>
          </cell>
          <cell r="AE154">
            <v>66500</v>
          </cell>
          <cell r="AF154">
            <v>72910</v>
          </cell>
          <cell r="AG154">
            <v>80116</v>
          </cell>
          <cell r="AH154">
            <v>6776</v>
          </cell>
          <cell r="AI154">
            <v>13552</v>
          </cell>
          <cell r="AJ154">
            <v>21174</v>
          </cell>
          <cell r="AK154">
            <v>27950</v>
          </cell>
          <cell r="AL154">
            <v>34726</v>
          </cell>
          <cell r="AM154">
            <v>42348</v>
          </cell>
          <cell r="AN154">
            <v>49124</v>
          </cell>
          <cell r="AO154">
            <v>55900</v>
          </cell>
          <cell r="AP154">
            <v>63522</v>
          </cell>
          <cell r="AQ154">
            <v>70298</v>
          </cell>
          <cell r="AR154">
            <v>77074</v>
          </cell>
          <cell r="AS154">
            <v>84697</v>
          </cell>
          <cell r="AT154">
            <v>13815</v>
          </cell>
          <cell r="AU154">
            <v>28776</v>
          </cell>
          <cell r="AV154">
            <v>47403</v>
          </cell>
          <cell r="AW154">
            <v>64422</v>
          </cell>
          <cell r="AX154">
            <v>81097</v>
          </cell>
          <cell r="AY154">
            <v>98533</v>
          </cell>
          <cell r="AZ154">
            <v>114351</v>
          </cell>
          <cell r="BA154">
            <v>0</v>
          </cell>
          <cell r="BB154">
            <v>0</v>
          </cell>
          <cell r="BC154">
            <v>0</v>
          </cell>
          <cell r="BD154">
            <v>0</v>
          </cell>
          <cell r="BE154">
            <v>0</v>
          </cell>
          <cell r="BF154">
            <v>12851</v>
          </cell>
          <cell r="BG154">
            <v>27457</v>
          </cell>
          <cell r="BH154">
            <v>44992</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row>
        <row r="155">
          <cell r="H155">
            <v>1215</v>
          </cell>
          <cell r="I155" t="str">
            <v>Empl_Benefits</v>
          </cell>
          <cell r="J155">
            <v>606</v>
          </cell>
          <cell r="K155">
            <v>606</v>
          </cell>
          <cell r="L155">
            <v>643</v>
          </cell>
          <cell r="M155">
            <v>643</v>
          </cell>
          <cell r="N155">
            <v>643</v>
          </cell>
          <cell r="O155">
            <v>643</v>
          </cell>
          <cell r="P155">
            <v>643</v>
          </cell>
          <cell r="Q155">
            <v>643</v>
          </cell>
          <cell r="R155">
            <v>643</v>
          </cell>
          <cell r="S155">
            <v>643</v>
          </cell>
          <cell r="T155">
            <v>643</v>
          </cell>
          <cell r="U155">
            <v>643</v>
          </cell>
          <cell r="V155">
            <v>643</v>
          </cell>
          <cell r="W155">
            <v>643</v>
          </cell>
          <cell r="X155">
            <v>661</v>
          </cell>
          <cell r="Y155">
            <v>661</v>
          </cell>
          <cell r="Z155">
            <v>661</v>
          </cell>
          <cell r="AA155">
            <v>661</v>
          </cell>
          <cell r="AB155">
            <v>661</v>
          </cell>
          <cell r="AC155">
            <v>661</v>
          </cell>
          <cell r="AD155">
            <v>661</v>
          </cell>
          <cell r="AE155">
            <v>661</v>
          </cell>
          <cell r="AF155">
            <v>661</v>
          </cell>
          <cell r="AG155">
            <v>661</v>
          </cell>
          <cell r="AH155">
            <v>661.16</v>
          </cell>
          <cell r="AI155">
            <v>661.16</v>
          </cell>
          <cell r="AJ155">
            <v>689.73</v>
          </cell>
          <cell r="AK155">
            <v>689.73</v>
          </cell>
          <cell r="AL155">
            <v>689.73</v>
          </cell>
          <cell r="AM155">
            <v>689.73</v>
          </cell>
          <cell r="AN155">
            <v>689.73</v>
          </cell>
          <cell r="AO155">
            <v>690</v>
          </cell>
          <cell r="AP155">
            <v>690</v>
          </cell>
          <cell r="AQ155">
            <v>690</v>
          </cell>
          <cell r="AR155">
            <v>690</v>
          </cell>
          <cell r="AS155">
            <v>690</v>
          </cell>
          <cell r="AT155">
            <v>689.73</v>
          </cell>
          <cell r="AU155">
            <v>689.73</v>
          </cell>
          <cell r="AV155">
            <v>723.07</v>
          </cell>
          <cell r="AW155">
            <v>723.07</v>
          </cell>
          <cell r="AX155">
            <v>6059.43</v>
          </cell>
          <cell r="AY155">
            <v>1798.78</v>
          </cell>
          <cell r="AZ155">
            <v>1798.78</v>
          </cell>
          <cell r="BA155">
            <v>0</v>
          </cell>
          <cell r="BB155">
            <v>0</v>
          </cell>
          <cell r="BC155">
            <v>0</v>
          </cell>
          <cell r="BD155">
            <v>0</v>
          </cell>
          <cell r="BE155">
            <v>0</v>
          </cell>
          <cell r="BF155">
            <v>1798.78</v>
          </cell>
          <cell r="BG155">
            <v>1798.78</v>
          </cell>
          <cell r="BH155">
            <v>1771.72</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row>
        <row r="156">
          <cell r="H156">
            <v>1216</v>
          </cell>
          <cell r="I156" t="str">
            <v>Total Personnel</v>
          </cell>
          <cell r="J156">
            <v>2401</v>
          </cell>
          <cell r="K156">
            <v>2401</v>
          </cell>
          <cell r="L156">
            <v>2484</v>
          </cell>
          <cell r="M156">
            <v>2484</v>
          </cell>
          <cell r="N156">
            <v>2484</v>
          </cell>
          <cell r="O156">
            <v>2484</v>
          </cell>
          <cell r="P156">
            <v>2484</v>
          </cell>
          <cell r="Q156">
            <v>2484</v>
          </cell>
          <cell r="R156">
            <v>2484</v>
          </cell>
          <cell r="S156">
            <v>2484</v>
          </cell>
          <cell r="T156">
            <v>2484</v>
          </cell>
          <cell r="U156">
            <v>2484</v>
          </cell>
          <cell r="V156">
            <v>2484</v>
          </cell>
          <cell r="W156">
            <v>2484</v>
          </cell>
          <cell r="X156">
            <v>2539</v>
          </cell>
          <cell r="Y156">
            <v>2539</v>
          </cell>
          <cell r="Z156">
            <v>2539</v>
          </cell>
          <cell r="AA156">
            <v>2539</v>
          </cell>
          <cell r="AB156">
            <v>2539</v>
          </cell>
          <cell r="AC156">
            <v>2539</v>
          </cell>
          <cell r="AD156">
            <v>2539</v>
          </cell>
          <cell r="AE156">
            <v>2539</v>
          </cell>
          <cell r="AF156">
            <v>2539</v>
          </cell>
          <cell r="AG156">
            <v>2539</v>
          </cell>
          <cell r="AH156">
            <v>2539.4499999999998</v>
          </cell>
          <cell r="AI156">
            <v>2539.4499999999998</v>
          </cell>
          <cell r="AJ156">
            <v>2605.65</v>
          </cell>
          <cell r="AK156">
            <v>2605.65</v>
          </cell>
          <cell r="AL156">
            <v>2605.66</v>
          </cell>
          <cell r="AM156">
            <v>2605.65</v>
          </cell>
          <cell r="AN156">
            <v>2605.65</v>
          </cell>
          <cell r="AO156">
            <v>2606</v>
          </cell>
          <cell r="AP156">
            <v>2606</v>
          </cell>
          <cell r="AQ156">
            <v>2606</v>
          </cell>
          <cell r="AR156">
            <v>2606</v>
          </cell>
          <cell r="AS156">
            <v>2606</v>
          </cell>
          <cell r="AT156">
            <v>2605.65</v>
          </cell>
          <cell r="AU156">
            <v>2605.65</v>
          </cell>
          <cell r="AV156">
            <v>2677.32</v>
          </cell>
          <cell r="AW156">
            <v>2677.32</v>
          </cell>
          <cell r="AX156">
            <v>22619.72</v>
          </cell>
          <cell r="AY156">
            <v>6697.03</v>
          </cell>
          <cell r="AZ156">
            <v>6697.03</v>
          </cell>
          <cell r="BA156">
            <v>0</v>
          </cell>
          <cell r="BB156">
            <v>0</v>
          </cell>
          <cell r="BC156">
            <v>0</v>
          </cell>
          <cell r="BD156">
            <v>0</v>
          </cell>
          <cell r="BE156">
            <v>0</v>
          </cell>
          <cell r="BF156">
            <v>6697.03</v>
          </cell>
          <cell r="BG156">
            <v>6697.03</v>
          </cell>
          <cell r="BH156">
            <v>7808.62</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row>
        <row r="157">
          <cell r="H157">
            <v>1217</v>
          </cell>
          <cell r="I157" t="str">
            <v>Target (Budget) Empl_Benefits</v>
          </cell>
          <cell r="J157">
            <v>616</v>
          </cell>
          <cell r="K157">
            <v>616</v>
          </cell>
          <cell r="L157">
            <v>693</v>
          </cell>
          <cell r="M157">
            <v>616</v>
          </cell>
          <cell r="N157">
            <v>616</v>
          </cell>
          <cell r="O157">
            <v>693</v>
          </cell>
          <cell r="P157">
            <v>616</v>
          </cell>
          <cell r="Q157">
            <v>616</v>
          </cell>
          <cell r="R157">
            <v>693</v>
          </cell>
          <cell r="S157">
            <v>616</v>
          </cell>
          <cell r="T157">
            <v>616</v>
          </cell>
          <cell r="U157">
            <v>695</v>
          </cell>
          <cell r="V157">
            <v>634</v>
          </cell>
          <cell r="W157">
            <v>634</v>
          </cell>
          <cell r="X157">
            <v>713</v>
          </cell>
          <cell r="Y157">
            <v>634</v>
          </cell>
          <cell r="Z157">
            <v>634</v>
          </cell>
          <cell r="AA157">
            <v>713</v>
          </cell>
          <cell r="AB157">
            <v>634</v>
          </cell>
          <cell r="AC157">
            <v>634</v>
          </cell>
          <cell r="AD157">
            <v>713</v>
          </cell>
          <cell r="AE157">
            <v>634</v>
          </cell>
          <cell r="AF157">
            <v>634</v>
          </cell>
          <cell r="AG157">
            <v>711</v>
          </cell>
          <cell r="AH157">
            <v>667</v>
          </cell>
          <cell r="AI157">
            <v>667</v>
          </cell>
          <cell r="AJ157">
            <v>750</v>
          </cell>
          <cell r="AK157">
            <v>667</v>
          </cell>
          <cell r="AL157">
            <v>667</v>
          </cell>
          <cell r="AM157">
            <v>750</v>
          </cell>
          <cell r="AN157">
            <v>667</v>
          </cell>
          <cell r="AO157">
            <v>667</v>
          </cell>
          <cell r="AP157">
            <v>750</v>
          </cell>
          <cell r="AQ157">
            <v>667</v>
          </cell>
          <cell r="AR157">
            <v>667</v>
          </cell>
          <cell r="AS157">
            <v>748</v>
          </cell>
          <cell r="AT157">
            <v>1713</v>
          </cell>
          <cell r="AU157">
            <v>1713</v>
          </cell>
          <cell r="AV157">
            <v>1927</v>
          </cell>
          <cell r="AW157">
            <v>1713</v>
          </cell>
          <cell r="AX157">
            <v>1713</v>
          </cell>
          <cell r="AY157">
            <v>1927</v>
          </cell>
          <cell r="AZ157">
            <v>1713</v>
          </cell>
          <cell r="BA157">
            <v>0</v>
          </cell>
          <cell r="BB157">
            <v>0</v>
          </cell>
          <cell r="BC157">
            <v>0</v>
          </cell>
          <cell r="BD157">
            <v>0</v>
          </cell>
          <cell r="BE157">
            <v>0</v>
          </cell>
          <cell r="BF157">
            <v>1707</v>
          </cell>
          <cell r="BG157">
            <v>1707</v>
          </cell>
          <cell r="BH157">
            <v>1920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row>
        <row r="158">
          <cell r="H158">
            <v>1218</v>
          </cell>
          <cell r="I158" t="str">
            <v>Target (Budget) Total Personnel</v>
          </cell>
          <cell r="J158">
            <v>2382</v>
          </cell>
          <cell r="K158">
            <v>2382</v>
          </cell>
          <cell r="L158">
            <v>2680</v>
          </cell>
          <cell r="M158">
            <v>2382</v>
          </cell>
          <cell r="N158">
            <v>2382</v>
          </cell>
          <cell r="O158">
            <v>2680</v>
          </cell>
          <cell r="P158">
            <v>2382</v>
          </cell>
          <cell r="Q158">
            <v>2382</v>
          </cell>
          <cell r="R158">
            <v>2680</v>
          </cell>
          <cell r="S158">
            <v>2382</v>
          </cell>
          <cell r="T158">
            <v>2382</v>
          </cell>
          <cell r="U158">
            <v>2683</v>
          </cell>
          <cell r="V158">
            <v>2431</v>
          </cell>
          <cell r="W158">
            <v>2431</v>
          </cell>
          <cell r="X158">
            <v>2735</v>
          </cell>
          <cell r="Y158">
            <v>2431</v>
          </cell>
          <cell r="Z158">
            <v>2431</v>
          </cell>
          <cell r="AA158">
            <v>2735</v>
          </cell>
          <cell r="AB158">
            <v>2431</v>
          </cell>
          <cell r="AC158">
            <v>2431</v>
          </cell>
          <cell r="AD158">
            <v>2735</v>
          </cell>
          <cell r="AE158">
            <v>2431</v>
          </cell>
          <cell r="AF158">
            <v>2431</v>
          </cell>
          <cell r="AG158">
            <v>2733</v>
          </cell>
          <cell r="AH158">
            <v>2500</v>
          </cell>
          <cell r="AI158">
            <v>2500</v>
          </cell>
          <cell r="AJ158">
            <v>2812</v>
          </cell>
          <cell r="AK158">
            <v>2500</v>
          </cell>
          <cell r="AL158">
            <v>2500</v>
          </cell>
          <cell r="AM158">
            <v>2812</v>
          </cell>
          <cell r="AN158">
            <v>2500</v>
          </cell>
          <cell r="AO158">
            <v>2500</v>
          </cell>
          <cell r="AP158">
            <v>2812</v>
          </cell>
          <cell r="AQ158">
            <v>2500</v>
          </cell>
          <cell r="AR158">
            <v>2500</v>
          </cell>
          <cell r="AS158">
            <v>2813</v>
          </cell>
          <cell r="AT158">
            <v>6364</v>
          </cell>
          <cell r="AU158">
            <v>6364</v>
          </cell>
          <cell r="AV158">
            <v>7159</v>
          </cell>
          <cell r="AW158">
            <v>6364</v>
          </cell>
          <cell r="AX158">
            <v>6364</v>
          </cell>
          <cell r="AY158">
            <v>7159</v>
          </cell>
          <cell r="AZ158">
            <v>6364</v>
          </cell>
          <cell r="BA158">
            <v>0</v>
          </cell>
          <cell r="BB158">
            <v>0</v>
          </cell>
          <cell r="BC158">
            <v>0</v>
          </cell>
          <cell r="BD158">
            <v>0</v>
          </cell>
          <cell r="BE158">
            <v>0</v>
          </cell>
          <cell r="BF158">
            <v>7211</v>
          </cell>
          <cell r="BG158">
            <v>7211</v>
          </cell>
          <cell r="BH158">
            <v>8112</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row>
        <row r="159">
          <cell r="H159">
            <v>1219</v>
          </cell>
          <cell r="I159" t="str">
            <v>YTD Empl_Benefits</v>
          </cell>
          <cell r="J159">
            <v>606</v>
          </cell>
          <cell r="K159">
            <v>1213</v>
          </cell>
          <cell r="L159">
            <v>1855</v>
          </cell>
          <cell r="M159">
            <v>2498</v>
          </cell>
          <cell r="N159">
            <v>3141</v>
          </cell>
          <cell r="O159">
            <v>3783</v>
          </cell>
          <cell r="P159">
            <v>4426</v>
          </cell>
          <cell r="Q159">
            <v>5069</v>
          </cell>
          <cell r="R159">
            <v>5711</v>
          </cell>
          <cell r="S159">
            <v>6354</v>
          </cell>
          <cell r="T159">
            <v>6996</v>
          </cell>
          <cell r="U159">
            <v>7639</v>
          </cell>
          <cell r="V159">
            <v>643</v>
          </cell>
          <cell r="W159">
            <v>1285</v>
          </cell>
          <cell r="X159">
            <v>1946</v>
          </cell>
          <cell r="Y159">
            <v>2608</v>
          </cell>
          <cell r="Z159">
            <v>3269</v>
          </cell>
          <cell r="AA159">
            <v>3930</v>
          </cell>
          <cell r="AB159">
            <v>4591</v>
          </cell>
          <cell r="AC159">
            <v>5252</v>
          </cell>
          <cell r="AD159">
            <v>5913</v>
          </cell>
          <cell r="AE159">
            <v>6575</v>
          </cell>
          <cell r="AF159">
            <v>7236</v>
          </cell>
          <cell r="AG159">
            <v>7897</v>
          </cell>
          <cell r="AH159">
            <v>661.16</v>
          </cell>
          <cell r="AI159">
            <v>1322.32</v>
          </cell>
          <cell r="AJ159">
            <v>2012.05</v>
          </cell>
          <cell r="AK159">
            <v>2701.78</v>
          </cell>
          <cell r="AL159">
            <v>3391.51</v>
          </cell>
          <cell r="AM159">
            <v>4081.24</v>
          </cell>
          <cell r="AN159">
            <v>4770.97</v>
          </cell>
          <cell r="AO159">
            <v>5461</v>
          </cell>
          <cell r="AP159">
            <v>6150</v>
          </cell>
          <cell r="AQ159">
            <v>6840</v>
          </cell>
          <cell r="AR159">
            <v>7530</v>
          </cell>
          <cell r="AS159">
            <v>8220</v>
          </cell>
          <cell r="AT159">
            <v>689.73</v>
          </cell>
          <cell r="AU159">
            <v>1379.46</v>
          </cell>
          <cell r="AV159">
            <v>2102.5300000000002</v>
          </cell>
          <cell r="AW159">
            <v>2825.6</v>
          </cell>
          <cell r="AX159">
            <v>8885.0300000000007</v>
          </cell>
          <cell r="AY159">
            <v>10683.81</v>
          </cell>
          <cell r="AZ159">
            <v>12482.59</v>
          </cell>
          <cell r="BA159">
            <v>0</v>
          </cell>
          <cell r="BB159">
            <v>0</v>
          </cell>
          <cell r="BC159">
            <v>0</v>
          </cell>
          <cell r="BD159">
            <v>0</v>
          </cell>
          <cell r="BE159">
            <v>0</v>
          </cell>
          <cell r="BF159">
            <v>1798.78</v>
          </cell>
          <cell r="BG159">
            <v>3597.56</v>
          </cell>
          <cell r="BH159">
            <v>5369.28</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row>
        <row r="160">
          <cell r="H160">
            <v>1220</v>
          </cell>
          <cell r="I160" t="str">
            <v>YTD Total Benefits</v>
          </cell>
          <cell r="J160">
            <v>2401</v>
          </cell>
          <cell r="K160">
            <v>4801</v>
          </cell>
          <cell r="L160">
            <v>7285</v>
          </cell>
          <cell r="M160">
            <v>9869</v>
          </cell>
          <cell r="N160">
            <v>12253</v>
          </cell>
          <cell r="O160">
            <v>14737</v>
          </cell>
          <cell r="P160">
            <v>17221</v>
          </cell>
          <cell r="Q160">
            <v>19705</v>
          </cell>
          <cell r="R160">
            <v>22189</v>
          </cell>
          <cell r="S160">
            <v>24673</v>
          </cell>
          <cell r="T160">
            <v>27157</v>
          </cell>
          <cell r="U160">
            <v>29641</v>
          </cell>
          <cell r="V160">
            <v>2484</v>
          </cell>
          <cell r="W160">
            <v>4968</v>
          </cell>
          <cell r="X160">
            <v>7507</v>
          </cell>
          <cell r="Y160">
            <v>10047</v>
          </cell>
          <cell r="Z160">
            <v>12586</v>
          </cell>
          <cell r="AA160">
            <v>15126</v>
          </cell>
          <cell r="AB160">
            <v>17665</v>
          </cell>
          <cell r="AC160">
            <v>20205</v>
          </cell>
          <cell r="AD160">
            <v>22744</v>
          </cell>
          <cell r="AE160">
            <v>25284</v>
          </cell>
          <cell r="AF160">
            <v>27823</v>
          </cell>
          <cell r="AG160">
            <v>30362</v>
          </cell>
          <cell r="AH160">
            <v>2539.4499999999998</v>
          </cell>
          <cell r="AI160">
            <v>5078.8999999999996</v>
          </cell>
          <cell r="AJ160">
            <v>7684.55</v>
          </cell>
          <cell r="AK160">
            <v>10290.200000000001</v>
          </cell>
          <cell r="AL160">
            <v>12895.86</v>
          </cell>
          <cell r="AM160">
            <v>15501.51</v>
          </cell>
          <cell r="AN160">
            <v>18107.16</v>
          </cell>
          <cell r="AO160">
            <v>20713</v>
          </cell>
          <cell r="AP160">
            <v>23318</v>
          </cell>
          <cell r="AQ160">
            <v>25924</v>
          </cell>
          <cell r="AR160">
            <v>28530</v>
          </cell>
          <cell r="AS160">
            <v>31135</v>
          </cell>
          <cell r="AT160">
            <v>2605.65</v>
          </cell>
          <cell r="AU160">
            <v>5211.3</v>
          </cell>
          <cell r="AV160">
            <v>7888.6200000000008</v>
          </cell>
          <cell r="AW160">
            <v>10565.94</v>
          </cell>
          <cell r="AX160">
            <v>33185.660000000003</v>
          </cell>
          <cell r="AY160">
            <v>39882.69</v>
          </cell>
          <cell r="AZ160">
            <v>46579.72</v>
          </cell>
          <cell r="BA160">
            <v>0</v>
          </cell>
          <cell r="BB160">
            <v>0</v>
          </cell>
          <cell r="BC160">
            <v>0</v>
          </cell>
          <cell r="BD160">
            <v>0</v>
          </cell>
          <cell r="BE160">
            <v>0</v>
          </cell>
          <cell r="BF160">
            <v>6697.03</v>
          </cell>
          <cell r="BG160">
            <v>13394.06</v>
          </cell>
          <cell r="BH160">
            <v>21202.68</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row>
        <row r="161">
          <cell r="H161">
            <v>1221</v>
          </cell>
          <cell r="I161" t="str">
            <v>YTD Target (Budget) Empl_Benefits</v>
          </cell>
          <cell r="J161">
            <v>616</v>
          </cell>
          <cell r="K161">
            <v>1232</v>
          </cell>
          <cell r="L161">
            <v>1925</v>
          </cell>
          <cell r="M161">
            <v>2541</v>
          </cell>
          <cell r="N161">
            <v>3157</v>
          </cell>
          <cell r="O161">
            <v>3850</v>
          </cell>
          <cell r="P161">
            <v>4466</v>
          </cell>
          <cell r="Q161">
            <v>5082</v>
          </cell>
          <cell r="R161">
            <v>5775</v>
          </cell>
          <cell r="S161">
            <v>6391</v>
          </cell>
          <cell r="T161">
            <v>7007</v>
          </cell>
          <cell r="U161">
            <v>7702</v>
          </cell>
          <cell r="V161">
            <v>634</v>
          </cell>
          <cell r="W161">
            <v>1268</v>
          </cell>
          <cell r="X161">
            <v>1981</v>
          </cell>
          <cell r="Y161">
            <v>2615</v>
          </cell>
          <cell r="Z161">
            <v>3249</v>
          </cell>
          <cell r="AA161">
            <v>3962</v>
          </cell>
          <cell r="AB161">
            <v>4596</v>
          </cell>
          <cell r="AC161">
            <v>5230</v>
          </cell>
          <cell r="AD161">
            <v>5943</v>
          </cell>
          <cell r="AE161">
            <v>6577</v>
          </cell>
          <cell r="AF161">
            <v>7211</v>
          </cell>
          <cell r="AG161">
            <v>7922</v>
          </cell>
          <cell r="AH161">
            <v>667</v>
          </cell>
          <cell r="AI161">
            <v>1334</v>
          </cell>
          <cell r="AJ161">
            <v>2084</v>
          </cell>
          <cell r="AK161">
            <v>2751</v>
          </cell>
          <cell r="AL161">
            <v>3418</v>
          </cell>
          <cell r="AM161">
            <v>4168</v>
          </cell>
          <cell r="AN161">
            <v>4835</v>
          </cell>
          <cell r="AO161">
            <v>5502</v>
          </cell>
          <cell r="AP161">
            <v>6252</v>
          </cell>
          <cell r="AQ161">
            <v>6919</v>
          </cell>
          <cell r="AR161">
            <v>7586</v>
          </cell>
          <cell r="AS161">
            <v>8334</v>
          </cell>
          <cell r="AT161">
            <v>1713</v>
          </cell>
          <cell r="AU161">
            <v>3426</v>
          </cell>
          <cell r="AV161">
            <v>5353</v>
          </cell>
          <cell r="AW161">
            <v>7066</v>
          </cell>
          <cell r="AX161">
            <v>8779</v>
          </cell>
          <cell r="AY161">
            <v>10706</v>
          </cell>
          <cell r="AZ161">
            <v>12419</v>
          </cell>
          <cell r="BA161">
            <v>0</v>
          </cell>
          <cell r="BB161">
            <v>0</v>
          </cell>
          <cell r="BC161">
            <v>0</v>
          </cell>
          <cell r="BD161">
            <v>0</v>
          </cell>
          <cell r="BE161">
            <v>0</v>
          </cell>
          <cell r="BF161">
            <v>1707</v>
          </cell>
          <cell r="BG161">
            <v>3414</v>
          </cell>
          <cell r="BH161">
            <v>5334</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row>
        <row r="162">
          <cell r="H162">
            <v>1222</v>
          </cell>
          <cell r="I162" t="str">
            <v>YTD Target (Budget) Total Benefits</v>
          </cell>
          <cell r="J162">
            <v>2382</v>
          </cell>
          <cell r="K162">
            <v>4764</v>
          </cell>
          <cell r="L162">
            <v>7444</v>
          </cell>
          <cell r="M162">
            <v>9826</v>
          </cell>
          <cell r="N162">
            <v>12208</v>
          </cell>
          <cell r="O162">
            <v>14888</v>
          </cell>
          <cell r="P162">
            <v>17270</v>
          </cell>
          <cell r="Q162">
            <v>19652</v>
          </cell>
          <cell r="R162">
            <v>22332</v>
          </cell>
          <cell r="S162">
            <v>24714</v>
          </cell>
          <cell r="T162">
            <v>27096</v>
          </cell>
          <cell r="U162">
            <v>29779</v>
          </cell>
          <cell r="V162">
            <v>2431</v>
          </cell>
          <cell r="W162">
            <v>4862</v>
          </cell>
          <cell r="X162">
            <v>7597</v>
          </cell>
          <cell r="Y162">
            <v>10028</v>
          </cell>
          <cell r="Z162">
            <v>12459</v>
          </cell>
          <cell r="AA162">
            <v>15194</v>
          </cell>
          <cell r="AB162">
            <v>17665</v>
          </cell>
          <cell r="AC162">
            <v>20056</v>
          </cell>
          <cell r="AD162">
            <v>22791</v>
          </cell>
          <cell r="AE162">
            <v>25222</v>
          </cell>
          <cell r="AF162">
            <v>27653</v>
          </cell>
          <cell r="AG162">
            <v>30386</v>
          </cell>
          <cell r="AH162">
            <v>2500</v>
          </cell>
          <cell r="AI162">
            <v>5000</v>
          </cell>
          <cell r="AJ162">
            <v>7812</v>
          </cell>
          <cell r="AK162">
            <v>10312</v>
          </cell>
          <cell r="AL162">
            <v>12812</v>
          </cell>
          <cell r="AM162">
            <v>15624</v>
          </cell>
          <cell r="AN162">
            <v>18124</v>
          </cell>
          <cell r="AO162">
            <v>20624</v>
          </cell>
          <cell r="AP162">
            <v>23436</v>
          </cell>
          <cell r="AQ162">
            <v>25936</v>
          </cell>
          <cell r="AR162">
            <v>28436</v>
          </cell>
          <cell r="AS162">
            <v>31249</v>
          </cell>
          <cell r="AT162">
            <v>6364</v>
          </cell>
          <cell r="AU162">
            <v>12728</v>
          </cell>
          <cell r="AV162">
            <v>19887</v>
          </cell>
          <cell r="AW162">
            <v>26251</v>
          </cell>
          <cell r="AX162">
            <v>32615</v>
          </cell>
          <cell r="AY162">
            <v>39774</v>
          </cell>
          <cell r="AZ162">
            <v>46138</v>
          </cell>
          <cell r="BA162">
            <v>0</v>
          </cell>
          <cell r="BB162">
            <v>0</v>
          </cell>
          <cell r="BC162">
            <v>0</v>
          </cell>
          <cell r="BD162">
            <v>0</v>
          </cell>
          <cell r="BE162">
            <v>0</v>
          </cell>
          <cell r="BF162">
            <v>7211</v>
          </cell>
          <cell r="BG162">
            <v>14422</v>
          </cell>
          <cell r="BH162">
            <v>22534</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row>
        <row r="163">
          <cell r="H163">
            <v>1223</v>
          </cell>
          <cell r="I163" t="str">
            <v>Actual</v>
          </cell>
          <cell r="J163">
            <v>-3612</v>
          </cell>
          <cell r="K163">
            <v>8021</v>
          </cell>
          <cell r="L163">
            <v>8748</v>
          </cell>
          <cell r="M163">
            <v>13834</v>
          </cell>
          <cell r="N163">
            <v>10046</v>
          </cell>
          <cell r="O163">
            <v>1450</v>
          </cell>
          <cell r="P163">
            <v>9851</v>
          </cell>
          <cell r="Q163">
            <v>13163</v>
          </cell>
          <cell r="R163">
            <v>-16819</v>
          </cell>
          <cell r="S163">
            <v>37449</v>
          </cell>
          <cell r="T163">
            <v>227</v>
          </cell>
          <cell r="U163">
            <v>-12299</v>
          </cell>
          <cell r="V163">
            <v>-2926</v>
          </cell>
          <cell r="W163">
            <v>4217</v>
          </cell>
          <cell r="X163">
            <v>13183</v>
          </cell>
          <cell r="Y163">
            <v>9755</v>
          </cell>
          <cell r="Z163">
            <v>5786</v>
          </cell>
          <cell r="AA163">
            <v>3130</v>
          </cell>
          <cell r="AB163">
            <v>6433</v>
          </cell>
          <cell r="AC163">
            <v>11884</v>
          </cell>
          <cell r="AD163">
            <v>7608</v>
          </cell>
          <cell r="AE163">
            <v>9588</v>
          </cell>
          <cell r="AF163">
            <v>-7105</v>
          </cell>
          <cell r="AG163">
            <v>165</v>
          </cell>
          <cell r="AH163">
            <v>-2629.3</v>
          </cell>
          <cell r="AI163">
            <v>-3690.5499999999997</v>
          </cell>
          <cell r="AJ163">
            <v>3957.5499999999993</v>
          </cell>
          <cell r="AK163">
            <v>7438.2699999999986</v>
          </cell>
          <cell r="AL163">
            <v>5548.7100000000009</v>
          </cell>
          <cell r="AM163">
            <v>874.95999999999913</v>
          </cell>
          <cell r="AN163">
            <v>3528.5200000000004</v>
          </cell>
          <cell r="AO163">
            <v>5260</v>
          </cell>
          <cell r="AP163">
            <v>346</v>
          </cell>
          <cell r="AQ163">
            <v>7754</v>
          </cell>
          <cell r="AR163">
            <v>-30405</v>
          </cell>
          <cell r="AS163">
            <v>-8962</v>
          </cell>
          <cell r="AT163">
            <v>-2097.9300000000003</v>
          </cell>
          <cell r="AU163">
            <v>42.690000000000509</v>
          </cell>
          <cell r="AV163">
            <v>6625.1899999999987</v>
          </cell>
          <cell r="AW163">
            <v>4510.5400000000009</v>
          </cell>
          <cell r="AX163">
            <v>-16321.410000000002</v>
          </cell>
          <cell r="AY163">
            <v>-3605.9700000000003</v>
          </cell>
          <cell r="AZ163">
            <v>-2835.0199999999995</v>
          </cell>
          <cell r="BA163">
            <v>0</v>
          </cell>
          <cell r="BB163">
            <v>0</v>
          </cell>
          <cell r="BC163">
            <v>0</v>
          </cell>
          <cell r="BD163">
            <v>0</v>
          </cell>
          <cell r="BE163">
            <v>0</v>
          </cell>
          <cell r="BF163">
            <v>-15683.830000000002</v>
          </cell>
          <cell r="BG163">
            <v>620.67000000000007</v>
          </cell>
          <cell r="BH163">
            <v>2343</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row>
        <row r="164">
          <cell r="H164">
            <v>1224</v>
          </cell>
          <cell r="I164" t="str">
            <v>Target (Budget)</v>
          </cell>
          <cell r="J164">
            <v>7003</v>
          </cell>
          <cell r="K164">
            <v>19483</v>
          </cell>
          <cell r="L164">
            <v>10217</v>
          </cell>
          <cell r="M164">
            <v>11163</v>
          </cell>
          <cell r="N164">
            <v>9083</v>
          </cell>
          <cell r="O164">
            <v>6057</v>
          </cell>
          <cell r="P164">
            <v>19483</v>
          </cell>
          <cell r="Q164">
            <v>7003</v>
          </cell>
          <cell r="R164">
            <v>3977</v>
          </cell>
          <cell r="S164">
            <v>7003</v>
          </cell>
          <cell r="T164">
            <v>7003</v>
          </cell>
          <cell r="U164">
            <v>6048</v>
          </cell>
          <cell r="V164">
            <v>5375</v>
          </cell>
          <cell r="W164">
            <v>15575</v>
          </cell>
          <cell r="X164">
            <v>7960</v>
          </cell>
          <cell r="Y164">
            <v>8775</v>
          </cell>
          <cell r="Z164">
            <v>7075</v>
          </cell>
          <cell r="AA164">
            <v>4560</v>
          </cell>
          <cell r="AB164">
            <v>15575</v>
          </cell>
          <cell r="AC164">
            <v>5375</v>
          </cell>
          <cell r="AD164">
            <v>2860</v>
          </cell>
          <cell r="AE164">
            <v>5375</v>
          </cell>
          <cell r="AF164">
            <v>5375</v>
          </cell>
          <cell r="AG164">
            <v>4562</v>
          </cell>
          <cell r="AH164">
            <v>3960</v>
          </cell>
          <cell r="AI164">
            <v>3960</v>
          </cell>
          <cell r="AJ164">
            <v>4456</v>
          </cell>
          <cell r="AK164">
            <v>3960</v>
          </cell>
          <cell r="AL164">
            <v>3960</v>
          </cell>
          <cell r="AM164">
            <v>4456</v>
          </cell>
          <cell r="AN164">
            <v>3960</v>
          </cell>
          <cell r="AO164">
            <v>3960</v>
          </cell>
          <cell r="AP164">
            <v>4456</v>
          </cell>
          <cell r="AQ164">
            <v>3960</v>
          </cell>
          <cell r="AR164">
            <v>3960</v>
          </cell>
          <cell r="AS164">
            <v>4453</v>
          </cell>
          <cell r="AT164">
            <v>-10215</v>
          </cell>
          <cell r="AU164">
            <v>-7761</v>
          </cell>
          <cell r="AV164">
            <v>-5576</v>
          </cell>
          <cell r="AW164">
            <v>-3968</v>
          </cell>
          <cell r="AX164">
            <v>-4824</v>
          </cell>
          <cell r="AY164">
            <v>-7985</v>
          </cell>
          <cell r="AZ164">
            <v>-6367</v>
          </cell>
          <cell r="BA164">
            <v>0</v>
          </cell>
          <cell r="BB164">
            <v>0</v>
          </cell>
          <cell r="BC164">
            <v>0</v>
          </cell>
          <cell r="BD164">
            <v>0</v>
          </cell>
          <cell r="BE164">
            <v>0</v>
          </cell>
          <cell r="BF164">
            <v>-6896</v>
          </cell>
          <cell r="BG164">
            <v>-2697</v>
          </cell>
          <cell r="BH164">
            <v>31253</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row>
        <row r="165">
          <cell r="H165">
            <v>1227</v>
          </cell>
          <cell r="I165" t="str">
            <v>YTD Actual</v>
          </cell>
          <cell r="J165">
            <v>-3612</v>
          </cell>
          <cell r="K165">
            <v>4409</v>
          </cell>
          <cell r="L165">
            <v>13157</v>
          </cell>
          <cell r="M165">
            <v>26991</v>
          </cell>
          <cell r="N165">
            <v>37036</v>
          </cell>
          <cell r="O165">
            <v>38487</v>
          </cell>
          <cell r="P165">
            <v>48338</v>
          </cell>
          <cell r="Q165">
            <v>61501</v>
          </cell>
          <cell r="R165">
            <v>44681</v>
          </cell>
          <cell r="S165">
            <v>82130</v>
          </cell>
          <cell r="T165">
            <v>82358</v>
          </cell>
          <cell r="U165">
            <v>70059</v>
          </cell>
          <cell r="V165">
            <v>-2926</v>
          </cell>
          <cell r="W165">
            <v>1291</v>
          </cell>
          <cell r="X165">
            <v>14474</v>
          </cell>
          <cell r="Y165">
            <v>24229</v>
          </cell>
          <cell r="Z165">
            <v>30016</v>
          </cell>
          <cell r="AA165">
            <v>33146</v>
          </cell>
          <cell r="AB165">
            <v>39579</v>
          </cell>
          <cell r="AC165">
            <v>51463</v>
          </cell>
          <cell r="AD165">
            <v>59071</v>
          </cell>
          <cell r="AE165">
            <v>68658</v>
          </cell>
          <cell r="AF165">
            <v>61553</v>
          </cell>
          <cell r="AG165">
            <v>61718</v>
          </cell>
          <cell r="AH165">
            <v>-2629.3</v>
          </cell>
          <cell r="AI165">
            <v>-6319.85</v>
          </cell>
          <cell r="AJ165">
            <v>-2362.2999999999993</v>
          </cell>
          <cell r="AK165">
            <v>5075.9700000000012</v>
          </cell>
          <cell r="AL165">
            <v>10624.68</v>
          </cell>
          <cell r="AM165">
            <v>11499.64</v>
          </cell>
          <cell r="AN165">
            <v>15028.160000000011</v>
          </cell>
          <cell r="AO165">
            <v>20288</v>
          </cell>
          <cell r="AP165">
            <v>20635</v>
          </cell>
          <cell r="AQ165">
            <v>23388</v>
          </cell>
          <cell r="AR165">
            <v>-2017</v>
          </cell>
          <cell r="AS165">
            <v>-10979</v>
          </cell>
          <cell r="AT165">
            <v>-2097.9300000000003</v>
          </cell>
          <cell r="AU165">
            <v>-2055.2399999999989</v>
          </cell>
          <cell r="AV165">
            <v>4569.9499999999971</v>
          </cell>
          <cell r="AW165">
            <v>9080.4899999999943</v>
          </cell>
          <cell r="AX165">
            <v>-7240.9199999999983</v>
          </cell>
          <cell r="AY165">
            <v>-10846.89</v>
          </cell>
          <cell r="AZ165">
            <v>-13681.910000000011</v>
          </cell>
          <cell r="BA165">
            <v>0</v>
          </cell>
          <cell r="BB165">
            <v>0</v>
          </cell>
          <cell r="BC165">
            <v>0</v>
          </cell>
          <cell r="BD165">
            <v>0</v>
          </cell>
          <cell r="BE165">
            <v>0</v>
          </cell>
          <cell r="BF165">
            <v>-15683.830000000002</v>
          </cell>
          <cell r="BG165">
            <v>-15063.159999999993</v>
          </cell>
          <cell r="BH165">
            <v>-12720.159999999996</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row>
        <row r="166">
          <cell r="H166">
            <v>1228</v>
          </cell>
          <cell r="I166" t="str">
            <v>YTD Target (Budget)</v>
          </cell>
          <cell r="J166">
            <v>7003</v>
          </cell>
          <cell r="K166">
            <v>26486</v>
          </cell>
          <cell r="L166">
            <v>36703</v>
          </cell>
          <cell r="M166">
            <v>47866</v>
          </cell>
          <cell r="N166">
            <v>56949</v>
          </cell>
          <cell r="O166">
            <v>63006</v>
          </cell>
          <cell r="P166">
            <v>82489</v>
          </cell>
          <cell r="Q166">
            <v>89492</v>
          </cell>
          <cell r="R166">
            <v>93469</v>
          </cell>
          <cell r="S166">
            <v>100472</v>
          </cell>
          <cell r="T166">
            <v>107475</v>
          </cell>
          <cell r="U166">
            <v>113523</v>
          </cell>
          <cell r="V166">
            <v>5375</v>
          </cell>
          <cell r="W166">
            <v>20950</v>
          </cell>
          <cell r="X166">
            <v>28910</v>
          </cell>
          <cell r="Y166">
            <v>37685</v>
          </cell>
          <cell r="Z166">
            <v>44760</v>
          </cell>
          <cell r="AA166">
            <v>49320</v>
          </cell>
          <cell r="AB166">
            <v>64895</v>
          </cell>
          <cell r="AC166">
            <v>70270</v>
          </cell>
          <cell r="AD166">
            <v>73130</v>
          </cell>
          <cell r="AE166">
            <v>78505</v>
          </cell>
          <cell r="AF166">
            <v>83880</v>
          </cell>
          <cell r="AG166">
            <v>88442</v>
          </cell>
          <cell r="AH166">
            <v>3960</v>
          </cell>
          <cell r="AI166">
            <v>7920</v>
          </cell>
          <cell r="AJ166">
            <v>12376</v>
          </cell>
          <cell r="AK166">
            <v>16336</v>
          </cell>
          <cell r="AL166">
            <v>20296</v>
          </cell>
          <cell r="AM166">
            <v>24752</v>
          </cell>
          <cell r="AN166">
            <v>28712</v>
          </cell>
          <cell r="AO166">
            <v>32672</v>
          </cell>
          <cell r="AP166">
            <v>37128</v>
          </cell>
          <cell r="AQ166">
            <v>41088</v>
          </cell>
          <cell r="AR166">
            <v>45048</v>
          </cell>
          <cell r="AS166">
            <v>49501</v>
          </cell>
          <cell r="AT166">
            <v>-10215</v>
          </cell>
          <cell r="AU166">
            <v>-17976</v>
          </cell>
          <cell r="AV166">
            <v>-23552</v>
          </cell>
          <cell r="AW166">
            <v>-27520</v>
          </cell>
          <cell r="AX166">
            <v>-32344</v>
          </cell>
          <cell r="AY166">
            <v>-40329</v>
          </cell>
          <cell r="AZ166">
            <v>-46696</v>
          </cell>
          <cell r="BA166">
            <v>0</v>
          </cell>
          <cell r="BB166">
            <v>0</v>
          </cell>
          <cell r="BC166">
            <v>0</v>
          </cell>
          <cell r="BD166">
            <v>0</v>
          </cell>
          <cell r="BE166">
            <v>0</v>
          </cell>
          <cell r="BF166">
            <v>-6896</v>
          </cell>
          <cell r="BG166">
            <v>-9593</v>
          </cell>
          <cell r="BH166">
            <v>21660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row>
        <row r="167">
          <cell r="H167">
            <v>1235</v>
          </cell>
          <cell r="I167" t="str">
            <v>Actual</v>
          </cell>
          <cell r="J167">
            <v>-9549</v>
          </cell>
          <cell r="K167">
            <v>1402</v>
          </cell>
          <cell r="L167">
            <v>706</v>
          </cell>
          <cell r="M167">
            <v>6459</v>
          </cell>
          <cell r="N167">
            <v>2630</v>
          </cell>
          <cell r="O167">
            <v>-6114</v>
          </cell>
          <cell r="P167">
            <v>2578</v>
          </cell>
          <cell r="Q167">
            <v>5771</v>
          </cell>
          <cell r="R167">
            <v>-23381</v>
          </cell>
          <cell r="S167">
            <v>27934</v>
          </cell>
          <cell r="T167">
            <v>-6566</v>
          </cell>
          <cell r="U167">
            <v>-19239</v>
          </cell>
          <cell r="V167">
            <v>-9769</v>
          </cell>
          <cell r="W167">
            <v>-3035</v>
          </cell>
          <cell r="X167">
            <v>5344</v>
          </cell>
          <cell r="Y167">
            <v>2197</v>
          </cell>
          <cell r="Z167">
            <v>-1797</v>
          </cell>
          <cell r="AA167">
            <v>-4230</v>
          </cell>
          <cell r="AB167">
            <v>-990</v>
          </cell>
          <cell r="AC167">
            <v>4331</v>
          </cell>
          <cell r="AD167">
            <v>42</v>
          </cell>
          <cell r="AE167">
            <v>1939</v>
          </cell>
          <cell r="AF167">
            <v>-13740</v>
          </cell>
          <cell r="AG167">
            <v>-6828</v>
          </cell>
          <cell r="AH167">
            <v>-3463.77</v>
          </cell>
          <cell r="AI167">
            <v>-10466.539999999999</v>
          </cell>
          <cell r="AJ167">
            <v>-604.16000000000076</v>
          </cell>
          <cell r="AK167">
            <v>3027.3399999999983</v>
          </cell>
          <cell r="AL167">
            <v>1368.4000000000015</v>
          </cell>
          <cell r="AM167">
            <v>-3141.7100000000009</v>
          </cell>
          <cell r="AN167">
            <v>-534.83999999999969</v>
          </cell>
          <cell r="AO167">
            <v>1139</v>
          </cell>
          <cell r="AP167">
            <v>-3299</v>
          </cell>
          <cell r="AQ167">
            <v>3540</v>
          </cell>
          <cell r="AR167">
            <v>-32457</v>
          </cell>
          <cell r="AS167">
            <v>-11775</v>
          </cell>
          <cell r="AT167">
            <v>-5238.7299999999996</v>
          </cell>
          <cell r="AU167">
            <v>-3353.9099999999994</v>
          </cell>
          <cell r="AV167">
            <v>2736.329999999999</v>
          </cell>
          <cell r="AW167">
            <v>606.99000000000069</v>
          </cell>
          <cell r="AX167">
            <v>-20155.850000000002</v>
          </cell>
          <cell r="AY167">
            <v>-6975.7000000000007</v>
          </cell>
          <cell r="AZ167">
            <v>-6318.7199999999993</v>
          </cell>
          <cell r="BA167">
            <v>0</v>
          </cell>
          <cell r="BB167">
            <v>0</v>
          </cell>
          <cell r="BC167">
            <v>0</v>
          </cell>
          <cell r="BD167">
            <v>0</v>
          </cell>
          <cell r="BE167">
            <v>0</v>
          </cell>
          <cell r="BF167">
            <v>-18970.210000000003</v>
          </cell>
          <cell r="BG167">
            <v>-3426.4300000000003</v>
          </cell>
          <cell r="BH167">
            <v>-2084.1000000000004</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row>
        <row r="168">
          <cell r="H168">
            <v>1236</v>
          </cell>
          <cell r="I168" t="str">
            <v>Target (Budget)</v>
          </cell>
          <cell r="J168">
            <v>2</v>
          </cell>
          <cell r="K168">
            <v>12482</v>
          </cell>
          <cell r="L168">
            <v>2339</v>
          </cell>
          <cell r="M168">
            <v>4162</v>
          </cell>
          <cell r="N168">
            <v>2082</v>
          </cell>
          <cell r="O168">
            <v>-1821</v>
          </cell>
          <cell r="P168">
            <v>12482</v>
          </cell>
          <cell r="Q168">
            <v>2</v>
          </cell>
          <cell r="R168">
            <v>-3901</v>
          </cell>
          <cell r="S168">
            <v>2</v>
          </cell>
          <cell r="T168">
            <v>2</v>
          </cell>
          <cell r="U168">
            <v>-1836</v>
          </cell>
          <cell r="V168">
            <v>-1666</v>
          </cell>
          <cell r="W168">
            <v>8534</v>
          </cell>
          <cell r="X168">
            <v>38</v>
          </cell>
          <cell r="Y168">
            <v>1734</v>
          </cell>
          <cell r="Z168">
            <v>34</v>
          </cell>
          <cell r="AA168">
            <v>-3362</v>
          </cell>
          <cell r="AB168">
            <v>8534</v>
          </cell>
          <cell r="AC168">
            <v>-1666</v>
          </cell>
          <cell r="AD168">
            <v>-5062</v>
          </cell>
          <cell r="AE168">
            <v>-1666</v>
          </cell>
          <cell r="AF168">
            <v>-1666</v>
          </cell>
          <cell r="AG168">
            <v>-3363</v>
          </cell>
          <cell r="AH168">
            <v>9</v>
          </cell>
          <cell r="AI168">
            <v>9</v>
          </cell>
          <cell r="AJ168">
            <v>10</v>
          </cell>
          <cell r="AK168">
            <v>9</v>
          </cell>
          <cell r="AL168">
            <v>9</v>
          </cell>
          <cell r="AM168">
            <v>10</v>
          </cell>
          <cell r="AN168">
            <v>9</v>
          </cell>
          <cell r="AO168">
            <v>9</v>
          </cell>
          <cell r="AP168">
            <v>10</v>
          </cell>
          <cell r="AQ168">
            <v>9</v>
          </cell>
          <cell r="AR168">
            <v>9</v>
          </cell>
          <cell r="AS168">
            <v>5</v>
          </cell>
          <cell r="AT168">
            <v>-14880</v>
          </cell>
          <cell r="AU168">
            <v>-12905</v>
          </cell>
          <cell r="AV168">
            <v>-11695</v>
          </cell>
          <cell r="AW168">
            <v>-9454</v>
          </cell>
          <cell r="AX168">
            <v>-10396</v>
          </cell>
          <cell r="AY168">
            <v>-13712</v>
          </cell>
          <cell r="AZ168">
            <v>88284</v>
          </cell>
          <cell r="BA168">
            <v>0</v>
          </cell>
          <cell r="BB168">
            <v>0</v>
          </cell>
          <cell r="BC168">
            <v>0</v>
          </cell>
          <cell r="BD168">
            <v>0</v>
          </cell>
          <cell r="BE168">
            <v>0</v>
          </cell>
          <cell r="BF168">
            <v>-8319</v>
          </cell>
          <cell r="BG168">
            <v>-5582</v>
          </cell>
          <cell r="BH168">
            <v>25683</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row>
        <row r="169">
          <cell r="H169">
            <v>1239</v>
          </cell>
          <cell r="I169" t="str">
            <v>YTD Actual</v>
          </cell>
          <cell r="J169">
            <v>-9549</v>
          </cell>
          <cell r="K169">
            <v>-8147</v>
          </cell>
          <cell r="L169">
            <v>-7441</v>
          </cell>
          <cell r="M169">
            <v>-981</v>
          </cell>
          <cell r="N169">
            <v>1649</v>
          </cell>
          <cell r="O169">
            <v>-4465</v>
          </cell>
          <cell r="P169">
            <v>-1887</v>
          </cell>
          <cell r="Q169">
            <v>3884</v>
          </cell>
          <cell r="R169">
            <v>-19497</v>
          </cell>
          <cell r="S169">
            <v>8437</v>
          </cell>
          <cell r="T169">
            <v>1872</v>
          </cell>
          <cell r="U169">
            <v>-17368</v>
          </cell>
          <cell r="V169">
            <v>-9769</v>
          </cell>
          <cell r="W169">
            <v>-12805</v>
          </cell>
          <cell r="X169">
            <v>-7461</v>
          </cell>
          <cell r="Y169">
            <v>-5264</v>
          </cell>
          <cell r="Z169">
            <v>-7061</v>
          </cell>
          <cell r="AA169">
            <v>-11291</v>
          </cell>
          <cell r="AB169">
            <v>-12280</v>
          </cell>
          <cell r="AC169">
            <v>-7949</v>
          </cell>
          <cell r="AD169">
            <v>-7907</v>
          </cell>
          <cell r="AE169">
            <v>-5968</v>
          </cell>
          <cell r="AF169">
            <v>-19708</v>
          </cell>
          <cell r="AG169">
            <v>-26536</v>
          </cell>
          <cell r="AH169">
            <v>-3463.77</v>
          </cell>
          <cell r="AI169">
            <v>-13930.310000000001</v>
          </cell>
          <cell r="AJ169">
            <v>-14534.47</v>
          </cell>
          <cell r="AK169">
            <v>-11507.129999999997</v>
          </cell>
          <cell r="AL169">
            <v>-10138.73</v>
          </cell>
          <cell r="AM169">
            <v>-13280.440000000002</v>
          </cell>
          <cell r="AN169">
            <v>-13815.279999999992</v>
          </cell>
          <cell r="AO169">
            <v>-12676</v>
          </cell>
          <cell r="AP169">
            <v>-15975</v>
          </cell>
          <cell r="AQ169">
            <v>-12435</v>
          </cell>
          <cell r="AR169">
            <v>-44892</v>
          </cell>
          <cell r="AS169">
            <v>-56667</v>
          </cell>
          <cell r="AT169">
            <v>-5238.7299999999996</v>
          </cell>
          <cell r="AU169">
            <v>-8592.64</v>
          </cell>
          <cell r="AV169">
            <v>-5856.3100000000031</v>
          </cell>
          <cell r="AW169">
            <v>-5249.3200000000052</v>
          </cell>
          <cell r="AX169">
            <v>-25405.17</v>
          </cell>
          <cell r="AY169">
            <v>-32380.87</v>
          </cell>
          <cell r="AZ169">
            <v>-38699.590000000011</v>
          </cell>
          <cell r="BA169">
            <v>0</v>
          </cell>
          <cell r="BB169">
            <v>0</v>
          </cell>
          <cell r="BC169">
            <v>0</v>
          </cell>
          <cell r="BD169">
            <v>0</v>
          </cell>
          <cell r="BE169">
            <v>0</v>
          </cell>
          <cell r="BF169">
            <v>-18970.210000000003</v>
          </cell>
          <cell r="BG169">
            <v>-22396.639999999992</v>
          </cell>
          <cell r="BH169">
            <v>-24480.739999999998</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row>
        <row r="170">
          <cell r="H170">
            <v>1240</v>
          </cell>
          <cell r="I170" t="str">
            <v>YTD Target (Budget)</v>
          </cell>
          <cell r="J170">
            <v>2</v>
          </cell>
          <cell r="K170">
            <v>12484</v>
          </cell>
          <cell r="L170">
            <v>14823</v>
          </cell>
          <cell r="M170">
            <v>18985</v>
          </cell>
          <cell r="N170">
            <v>21067</v>
          </cell>
          <cell r="O170">
            <v>19246</v>
          </cell>
          <cell r="P170">
            <v>31728</v>
          </cell>
          <cell r="Q170">
            <v>31730</v>
          </cell>
          <cell r="R170">
            <v>27829</v>
          </cell>
          <cell r="S170">
            <v>27831</v>
          </cell>
          <cell r="T170">
            <v>27833</v>
          </cell>
          <cell r="U170">
            <v>25997</v>
          </cell>
          <cell r="V170">
            <v>-1666</v>
          </cell>
          <cell r="W170">
            <v>6868</v>
          </cell>
          <cell r="X170">
            <v>6906</v>
          </cell>
          <cell r="Y170">
            <v>8640</v>
          </cell>
          <cell r="Z170">
            <v>8674</v>
          </cell>
          <cell r="AA170">
            <v>5312</v>
          </cell>
          <cell r="AB170">
            <v>13846</v>
          </cell>
          <cell r="AC170">
            <v>12180</v>
          </cell>
          <cell r="AD170">
            <v>7118</v>
          </cell>
          <cell r="AE170">
            <v>5452</v>
          </cell>
          <cell r="AF170">
            <v>3786</v>
          </cell>
          <cell r="AG170">
            <v>423</v>
          </cell>
          <cell r="AH170">
            <v>9</v>
          </cell>
          <cell r="AI170">
            <v>18</v>
          </cell>
          <cell r="AJ170">
            <v>28</v>
          </cell>
          <cell r="AK170">
            <v>37</v>
          </cell>
          <cell r="AL170">
            <v>46</v>
          </cell>
          <cell r="AM170">
            <v>56</v>
          </cell>
          <cell r="AN170">
            <v>65</v>
          </cell>
          <cell r="AO170">
            <v>74</v>
          </cell>
          <cell r="AP170">
            <v>84</v>
          </cell>
          <cell r="AQ170">
            <v>93</v>
          </cell>
          <cell r="AR170">
            <v>102</v>
          </cell>
          <cell r="AS170">
            <v>107</v>
          </cell>
          <cell r="AT170">
            <v>-14880</v>
          </cell>
          <cell r="AU170">
            <v>-27785</v>
          </cell>
          <cell r="AV170">
            <v>-39480</v>
          </cell>
          <cell r="AW170">
            <v>-48934</v>
          </cell>
          <cell r="AX170">
            <v>-59330</v>
          </cell>
          <cell r="AY170">
            <v>-73042</v>
          </cell>
          <cell r="AZ170">
            <v>15242</v>
          </cell>
          <cell r="BA170">
            <v>0</v>
          </cell>
          <cell r="BB170">
            <v>0</v>
          </cell>
          <cell r="BC170">
            <v>0</v>
          </cell>
          <cell r="BD170">
            <v>0</v>
          </cell>
          <cell r="BE170">
            <v>0</v>
          </cell>
          <cell r="BF170">
            <v>-8319</v>
          </cell>
          <cell r="BG170">
            <v>-13901</v>
          </cell>
          <cell r="BH170">
            <v>11782</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row>
        <row r="171">
          <cell r="H171">
            <v>1271</v>
          </cell>
          <cell r="I171" t="str">
            <v>Actual</v>
          </cell>
          <cell r="J171">
            <v>2105</v>
          </cell>
          <cell r="K171">
            <v>4340</v>
          </cell>
          <cell r="L171">
            <v>6969</v>
          </cell>
          <cell r="M171">
            <v>2757</v>
          </cell>
          <cell r="N171">
            <v>3678</v>
          </cell>
          <cell r="O171">
            <v>4976</v>
          </cell>
          <cell r="P171">
            <v>5044</v>
          </cell>
          <cell r="Q171">
            <v>2383</v>
          </cell>
          <cell r="R171">
            <v>29591</v>
          </cell>
          <cell r="S171">
            <v>-19224</v>
          </cell>
          <cell r="T171">
            <v>2032</v>
          </cell>
          <cell r="U171">
            <v>3611</v>
          </cell>
          <cell r="V171">
            <v>5276</v>
          </cell>
          <cell r="W171">
            <v>2067</v>
          </cell>
          <cell r="X171">
            <v>2748</v>
          </cell>
          <cell r="Y171">
            <v>5955</v>
          </cell>
          <cell r="Z171">
            <v>4728</v>
          </cell>
          <cell r="AA171">
            <v>4481</v>
          </cell>
          <cell r="AB171">
            <v>2105</v>
          </cell>
          <cell r="AC171">
            <v>4587</v>
          </cell>
          <cell r="AD171">
            <v>2305</v>
          </cell>
          <cell r="AE171">
            <v>3963</v>
          </cell>
          <cell r="AF171">
            <v>37</v>
          </cell>
          <cell r="AG171">
            <v>7586</v>
          </cell>
          <cell r="AH171">
            <v>3255.08</v>
          </cell>
          <cell r="AI171">
            <v>4628.75</v>
          </cell>
          <cell r="AJ171">
            <v>4788.5200000000004</v>
          </cell>
          <cell r="AK171">
            <v>2148.39</v>
          </cell>
          <cell r="AL171">
            <v>2072.11</v>
          </cell>
          <cell r="AM171">
            <v>3925.81</v>
          </cell>
          <cell r="AN171">
            <v>2033.97</v>
          </cell>
          <cell r="AO171">
            <v>2187</v>
          </cell>
          <cell r="AP171">
            <v>6961</v>
          </cell>
          <cell r="AQ171">
            <v>2148</v>
          </cell>
          <cell r="AR171">
            <v>2072</v>
          </cell>
          <cell r="AS171">
            <v>8517</v>
          </cell>
          <cell r="AT171">
            <v>1995.83</v>
          </cell>
          <cell r="AU171">
            <v>2033.97</v>
          </cell>
          <cell r="AV171">
            <v>2609.04</v>
          </cell>
          <cell r="AW171">
            <v>3003.25</v>
          </cell>
          <cell r="AX171">
            <v>2278.41</v>
          </cell>
          <cell r="AY171">
            <v>3211.73</v>
          </cell>
          <cell r="AZ171">
            <v>2227.79</v>
          </cell>
          <cell r="BA171">
            <v>0</v>
          </cell>
          <cell r="BB171">
            <v>0</v>
          </cell>
          <cell r="BC171">
            <v>0</v>
          </cell>
          <cell r="BD171">
            <v>0</v>
          </cell>
          <cell r="BE171">
            <v>0</v>
          </cell>
          <cell r="BF171">
            <v>12153.62</v>
          </cell>
          <cell r="BG171">
            <v>3982.5</v>
          </cell>
          <cell r="BH171">
            <v>8098.77</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row>
        <row r="172">
          <cell r="H172">
            <v>1272</v>
          </cell>
          <cell r="I172" t="str">
            <v>Target (Budget)</v>
          </cell>
          <cell r="J172">
            <v>4021</v>
          </cell>
          <cell r="K172">
            <v>4021</v>
          </cell>
          <cell r="L172">
            <v>4524</v>
          </cell>
          <cell r="M172">
            <v>4021</v>
          </cell>
          <cell r="N172">
            <v>4021</v>
          </cell>
          <cell r="O172">
            <v>4524</v>
          </cell>
          <cell r="P172">
            <v>4021</v>
          </cell>
          <cell r="Q172">
            <v>4021</v>
          </cell>
          <cell r="R172">
            <v>4524</v>
          </cell>
          <cell r="S172">
            <v>4021</v>
          </cell>
          <cell r="T172">
            <v>4021</v>
          </cell>
          <cell r="U172">
            <v>4527</v>
          </cell>
          <cell r="V172">
            <v>2943</v>
          </cell>
          <cell r="W172">
            <v>2943</v>
          </cell>
          <cell r="X172">
            <v>3310</v>
          </cell>
          <cell r="Y172">
            <v>2943</v>
          </cell>
          <cell r="Z172">
            <v>2943</v>
          </cell>
          <cell r="AA172">
            <v>3310</v>
          </cell>
          <cell r="AB172">
            <v>2943</v>
          </cell>
          <cell r="AC172">
            <v>2943</v>
          </cell>
          <cell r="AD172">
            <v>3310</v>
          </cell>
          <cell r="AE172">
            <v>2943</v>
          </cell>
          <cell r="AF172">
            <v>2943</v>
          </cell>
          <cell r="AG172">
            <v>3303</v>
          </cell>
          <cell r="AH172">
            <v>3224</v>
          </cell>
          <cell r="AI172">
            <v>3224</v>
          </cell>
          <cell r="AJ172">
            <v>3627</v>
          </cell>
          <cell r="AK172">
            <v>3224</v>
          </cell>
          <cell r="AL172">
            <v>3224</v>
          </cell>
          <cell r="AM172">
            <v>3627</v>
          </cell>
          <cell r="AN172">
            <v>3224</v>
          </cell>
          <cell r="AO172">
            <v>3224</v>
          </cell>
          <cell r="AP172">
            <v>3627</v>
          </cell>
          <cell r="AQ172">
            <v>3224</v>
          </cell>
          <cell r="AR172">
            <v>3224</v>
          </cell>
          <cell r="AS172">
            <v>3627</v>
          </cell>
          <cell r="AT172">
            <v>7106</v>
          </cell>
          <cell r="AU172">
            <v>8083</v>
          </cell>
          <cell r="AV172">
            <v>10479</v>
          </cell>
          <cell r="AW172">
            <v>9713</v>
          </cell>
          <cell r="AX172">
            <v>9387</v>
          </cell>
          <cell r="AY172">
            <v>9501</v>
          </cell>
          <cell r="AZ172">
            <v>8735</v>
          </cell>
          <cell r="BA172">
            <v>0</v>
          </cell>
          <cell r="BB172">
            <v>0</v>
          </cell>
          <cell r="BC172">
            <v>0</v>
          </cell>
          <cell r="BD172">
            <v>0</v>
          </cell>
          <cell r="BE172">
            <v>0</v>
          </cell>
          <cell r="BF172">
            <v>5310</v>
          </cell>
          <cell r="BG172">
            <v>6060</v>
          </cell>
          <cell r="BH172">
            <v>8160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row>
        <row r="173">
          <cell r="H173">
            <v>1275</v>
          </cell>
          <cell r="I173" t="str">
            <v>YTD Actual</v>
          </cell>
          <cell r="J173">
            <v>-9549</v>
          </cell>
          <cell r="K173">
            <v>-17696</v>
          </cell>
          <cell r="L173">
            <v>-25137</v>
          </cell>
          <cell r="M173">
            <v>-26118</v>
          </cell>
          <cell r="N173">
            <v>19849</v>
          </cell>
          <cell r="O173">
            <v>24825</v>
          </cell>
          <cell r="P173">
            <v>29869</v>
          </cell>
          <cell r="Q173">
            <v>32252</v>
          </cell>
          <cell r="R173">
            <v>61843</v>
          </cell>
          <cell r="S173">
            <v>42619</v>
          </cell>
          <cell r="T173">
            <v>44651</v>
          </cell>
          <cell r="U173">
            <v>48262</v>
          </cell>
          <cell r="V173">
            <v>5276</v>
          </cell>
          <cell r="W173">
            <v>7343</v>
          </cell>
          <cell r="X173">
            <v>10091</v>
          </cell>
          <cell r="Y173">
            <v>16046</v>
          </cell>
          <cell r="Z173">
            <v>20773</v>
          </cell>
          <cell r="AA173">
            <v>25255</v>
          </cell>
          <cell r="AB173">
            <v>27359</v>
          </cell>
          <cell r="AC173">
            <v>31946</v>
          </cell>
          <cell r="AD173">
            <v>34251</v>
          </cell>
          <cell r="AE173">
            <v>38214</v>
          </cell>
          <cell r="AF173">
            <v>38251</v>
          </cell>
          <cell r="AG173">
            <v>45837</v>
          </cell>
          <cell r="AH173">
            <v>3255.08</v>
          </cell>
          <cell r="AI173">
            <v>7883.83</v>
          </cell>
          <cell r="AJ173">
            <v>12672.35</v>
          </cell>
          <cell r="AK173">
            <v>14820.74</v>
          </cell>
          <cell r="AL173">
            <v>16892.849999999999</v>
          </cell>
          <cell r="AM173">
            <v>20818.66</v>
          </cell>
          <cell r="AN173">
            <v>22852.629999999997</v>
          </cell>
          <cell r="AO173">
            <v>25039</v>
          </cell>
          <cell r="AP173">
            <v>32000</v>
          </cell>
          <cell r="AQ173">
            <v>34149</v>
          </cell>
          <cell r="AR173">
            <v>36221</v>
          </cell>
          <cell r="AS173">
            <v>44738</v>
          </cell>
          <cell r="AT173">
            <v>1995.83</v>
          </cell>
          <cell r="AU173">
            <v>4029.7999999999997</v>
          </cell>
          <cell r="AV173">
            <v>6638.84</v>
          </cell>
          <cell r="AW173">
            <v>9642.09</v>
          </cell>
          <cell r="AX173">
            <v>11920.5</v>
          </cell>
          <cell r="AY173">
            <v>15132.23</v>
          </cell>
          <cell r="AZ173">
            <v>17360.02</v>
          </cell>
          <cell r="BA173">
            <v>0</v>
          </cell>
          <cell r="BB173">
            <v>0</v>
          </cell>
          <cell r="BC173">
            <v>0</v>
          </cell>
          <cell r="BD173">
            <v>0</v>
          </cell>
          <cell r="BE173">
            <v>0</v>
          </cell>
          <cell r="BF173">
            <v>12153.62</v>
          </cell>
          <cell r="BG173">
            <v>16136.119999999999</v>
          </cell>
          <cell r="BH173">
            <v>24234.89</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row>
        <row r="174">
          <cell r="H174">
            <v>1276</v>
          </cell>
          <cell r="I174" t="str">
            <v>YTD Target (Budget)</v>
          </cell>
          <cell r="J174">
            <v>2</v>
          </cell>
          <cell r="K174">
            <v>12486</v>
          </cell>
          <cell r="L174">
            <v>27309</v>
          </cell>
          <cell r="M174">
            <v>46294</v>
          </cell>
          <cell r="N174">
            <v>20608</v>
          </cell>
          <cell r="O174">
            <v>25132</v>
          </cell>
          <cell r="P174">
            <v>29153</v>
          </cell>
          <cell r="Q174">
            <v>33174</v>
          </cell>
          <cell r="R174">
            <v>37698</v>
          </cell>
          <cell r="S174">
            <v>41719</v>
          </cell>
          <cell r="T174">
            <v>45740</v>
          </cell>
          <cell r="U174">
            <v>50267</v>
          </cell>
          <cell r="V174">
            <v>2943</v>
          </cell>
          <cell r="W174">
            <v>5886</v>
          </cell>
          <cell r="X174">
            <v>9196</v>
          </cell>
          <cell r="Y174">
            <v>12139</v>
          </cell>
          <cell r="Z174">
            <v>15082</v>
          </cell>
          <cell r="AA174">
            <v>18392</v>
          </cell>
          <cell r="AB174">
            <v>21335</v>
          </cell>
          <cell r="AC174">
            <v>24278</v>
          </cell>
          <cell r="AD174">
            <v>27588</v>
          </cell>
          <cell r="AE174">
            <v>30531</v>
          </cell>
          <cell r="AF174">
            <v>33474</v>
          </cell>
          <cell r="AG174">
            <v>36777</v>
          </cell>
          <cell r="AH174">
            <v>3224</v>
          </cell>
          <cell r="AI174">
            <v>6448</v>
          </cell>
          <cell r="AJ174">
            <v>10075</v>
          </cell>
          <cell r="AK174">
            <v>13299</v>
          </cell>
          <cell r="AL174">
            <v>16523</v>
          </cell>
          <cell r="AM174">
            <v>20150</v>
          </cell>
          <cell r="AN174">
            <v>23374</v>
          </cell>
          <cell r="AO174">
            <v>26598</v>
          </cell>
          <cell r="AP174">
            <v>30225</v>
          </cell>
          <cell r="AQ174">
            <v>33449</v>
          </cell>
          <cell r="AR174">
            <v>36673</v>
          </cell>
          <cell r="AS174">
            <v>40300</v>
          </cell>
          <cell r="AT174">
            <v>7106</v>
          </cell>
          <cell r="AU174">
            <v>15189</v>
          </cell>
          <cell r="AV174">
            <v>25668</v>
          </cell>
          <cell r="AW174">
            <v>35381</v>
          </cell>
          <cell r="AX174">
            <v>44768</v>
          </cell>
          <cell r="AY174">
            <v>54269</v>
          </cell>
          <cell r="AZ174">
            <v>63004</v>
          </cell>
          <cell r="BA174">
            <v>0</v>
          </cell>
          <cell r="BB174">
            <v>0</v>
          </cell>
          <cell r="BC174">
            <v>0</v>
          </cell>
          <cell r="BD174">
            <v>0</v>
          </cell>
          <cell r="BE174">
            <v>0</v>
          </cell>
          <cell r="BF174">
            <v>5310</v>
          </cell>
          <cell r="BG174">
            <v>11370</v>
          </cell>
          <cell r="BH174">
            <v>19530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row>
        <row r="176">
          <cell r="W176">
            <v>0</v>
          </cell>
          <cell r="X176">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H1">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Dat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Definitions"/>
      <sheetName val="Consol GF"/>
      <sheetName val="Consol EF"/>
      <sheetName val="Key Graphic"/>
      <sheetName val="Worked Hours"/>
      <sheetName val="FinancialData"/>
      <sheetName val="Financial Worksheet"/>
      <sheetName val="ConsolEF"/>
    </sheetNames>
    <sheetDataSet>
      <sheetData sheetId="0" refreshError="1">
        <row r="1">
          <cell r="G1">
            <v>0</v>
          </cell>
          <cell r="H1">
            <v>0</v>
          </cell>
          <cell r="I1">
            <v>0</v>
          </cell>
          <cell r="J1">
            <v>0</v>
          </cell>
          <cell r="K1">
            <v>0</v>
          </cell>
          <cell r="L1" t="str">
            <v>FY14-Jul</v>
          </cell>
          <cell r="M1" t="str">
            <v>FY14-Aug</v>
          </cell>
          <cell r="N1" t="str">
            <v>FY14-Sept</v>
          </cell>
          <cell r="O1" t="str">
            <v>FY14-Oct</v>
          </cell>
          <cell r="P1" t="str">
            <v>FY14-Nov</v>
          </cell>
          <cell r="Q1" t="str">
            <v>FY14-Dec</v>
          </cell>
          <cell r="R1" t="str">
            <v>FY14-Jan</v>
          </cell>
          <cell r="S1" t="str">
            <v>FY14-Feb</v>
          </cell>
          <cell r="T1" t="str">
            <v>FY14-Mar</v>
          </cell>
          <cell r="U1" t="str">
            <v>FY14-Apr</v>
          </cell>
          <cell r="V1" t="str">
            <v>FY14-May</v>
          </cell>
          <cell r="W1" t="str">
            <v>FY14-Jun</v>
          </cell>
          <cell r="X1" t="str">
            <v>FY15-Jul</v>
          </cell>
          <cell r="Y1" t="str">
            <v>FY15-Aug</v>
          </cell>
          <cell r="Z1" t="str">
            <v>FY15-Sept</v>
          </cell>
          <cell r="AA1" t="str">
            <v>FY15-Oct</v>
          </cell>
          <cell r="AB1" t="str">
            <v>FY15-Nov</v>
          </cell>
          <cell r="AC1" t="str">
            <v>FY15-Dec</v>
          </cell>
          <cell r="AD1" t="str">
            <v>FY15-Jan</v>
          </cell>
          <cell r="AE1" t="str">
            <v>FY15-Feb</v>
          </cell>
          <cell r="AF1" t="str">
            <v>FY15-Mar</v>
          </cell>
          <cell r="AG1" t="str">
            <v>FY15-Apr</v>
          </cell>
          <cell r="AH1" t="str">
            <v>FY15-May</v>
          </cell>
          <cell r="AI1" t="str">
            <v>FY15-Jun</v>
          </cell>
          <cell r="AJ1" t="str">
            <v>FY16-Jul</v>
          </cell>
          <cell r="AK1" t="str">
            <v>FY16-Aug</v>
          </cell>
          <cell r="AL1" t="str">
            <v>FY16-Sep</v>
          </cell>
          <cell r="AM1" t="str">
            <v>FY16-Oct</v>
          </cell>
          <cell r="AN1" t="str">
            <v>FY16-Nov</v>
          </cell>
          <cell r="AO1" t="str">
            <v>FY16-Dec</v>
          </cell>
          <cell r="AP1" t="str">
            <v>FY16-Jan</v>
          </cell>
          <cell r="AQ1" t="str">
            <v>FY16-Feb</v>
          </cell>
          <cell r="AR1" t="str">
            <v>FY16-Mar</v>
          </cell>
          <cell r="AS1" t="str">
            <v>FY16-Apr</v>
          </cell>
          <cell r="AT1" t="str">
            <v>FY16-May</v>
          </cell>
          <cell r="AU1" t="str">
            <v>FY16-June</v>
          </cell>
          <cell r="AV1">
            <v>0</v>
          </cell>
          <cell r="AW1">
            <v>0</v>
          </cell>
          <cell r="AX1">
            <v>0</v>
          </cell>
          <cell r="AY1">
            <v>0</v>
          </cell>
          <cell r="AZ1">
            <v>0</v>
          </cell>
          <cell r="BA1">
            <v>0</v>
          </cell>
          <cell r="BB1">
            <v>0</v>
          </cell>
          <cell r="BC1">
            <v>0</v>
          </cell>
          <cell r="BD1">
            <v>0</v>
          </cell>
          <cell r="BE1">
            <v>0</v>
          </cell>
          <cell r="BF1">
            <v>0</v>
          </cell>
          <cell r="BG1">
            <v>0</v>
          </cell>
          <cell r="BH1">
            <v>0</v>
          </cell>
          <cell r="BI1">
            <v>0</v>
          </cell>
          <cell r="BJ1">
            <v>0</v>
          </cell>
          <cell r="BK1">
            <v>0</v>
          </cell>
          <cell r="BL1">
            <v>0</v>
          </cell>
        </row>
        <row r="2">
          <cell r="G2" t="str">
            <v>LUNo</v>
          </cell>
          <cell r="H2" t="str">
            <v>MetricDetail</v>
          </cell>
          <cell r="I2">
            <v>0</v>
          </cell>
          <cell r="J2">
            <v>0</v>
          </cell>
          <cell r="K2">
            <v>0</v>
          </cell>
          <cell r="L2">
            <v>201401</v>
          </cell>
          <cell r="M2">
            <v>201402</v>
          </cell>
          <cell r="N2">
            <v>201403</v>
          </cell>
          <cell r="O2">
            <v>201404</v>
          </cell>
          <cell r="P2">
            <v>201405</v>
          </cell>
          <cell r="Q2">
            <v>201406</v>
          </cell>
          <cell r="R2">
            <v>201407</v>
          </cell>
          <cell r="S2">
            <v>201408</v>
          </cell>
          <cell r="T2">
            <v>201409</v>
          </cell>
          <cell r="U2">
            <v>201410</v>
          </cell>
          <cell r="V2">
            <v>201411</v>
          </cell>
          <cell r="W2">
            <v>201412</v>
          </cell>
          <cell r="X2">
            <v>201501</v>
          </cell>
          <cell r="Y2">
            <v>201502</v>
          </cell>
          <cell r="Z2">
            <v>201503</v>
          </cell>
          <cell r="AA2">
            <v>201504</v>
          </cell>
          <cell r="AB2">
            <v>201505</v>
          </cell>
          <cell r="AC2">
            <v>201506</v>
          </cell>
          <cell r="AD2">
            <v>201507</v>
          </cell>
          <cell r="AE2">
            <v>201508</v>
          </cell>
          <cell r="AF2">
            <v>201509</v>
          </cell>
          <cell r="AG2">
            <v>201510</v>
          </cell>
          <cell r="AH2">
            <v>201511</v>
          </cell>
          <cell r="AI2">
            <v>201512</v>
          </cell>
          <cell r="AJ2">
            <v>201601</v>
          </cell>
          <cell r="AK2">
            <v>201602</v>
          </cell>
          <cell r="AL2">
            <v>201603</v>
          </cell>
          <cell r="AM2">
            <v>201604</v>
          </cell>
          <cell r="AN2">
            <v>201605</v>
          </cell>
          <cell r="AO2">
            <v>201606</v>
          </cell>
          <cell r="AP2">
            <v>201607</v>
          </cell>
          <cell r="AQ2">
            <v>201608</v>
          </cell>
          <cell r="AR2">
            <v>201609</v>
          </cell>
          <cell r="AS2">
            <v>201610</v>
          </cell>
          <cell r="AT2">
            <v>201611</v>
          </cell>
          <cell r="AU2">
            <v>201612</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row>
        <row r="3">
          <cell r="G3">
            <v>1</v>
          </cell>
          <cell r="H3" t="str">
            <v>Actual</v>
          </cell>
          <cell r="I3">
            <v>0</v>
          </cell>
          <cell r="J3">
            <v>0</v>
          </cell>
          <cell r="K3">
            <v>0</v>
          </cell>
          <cell r="L3">
            <v>8523243</v>
          </cell>
          <cell r="M3">
            <v>11909250</v>
          </cell>
          <cell r="N3">
            <v>9642330</v>
          </cell>
          <cell r="O3">
            <v>9242244</v>
          </cell>
          <cell r="P3">
            <v>11549612</v>
          </cell>
          <cell r="Q3">
            <v>10021833</v>
          </cell>
          <cell r="R3">
            <v>8907834</v>
          </cell>
          <cell r="S3">
            <v>9339539</v>
          </cell>
          <cell r="T3">
            <v>9498547</v>
          </cell>
          <cell r="U3">
            <v>9510691</v>
          </cell>
          <cell r="V3">
            <v>11147817</v>
          </cell>
          <cell r="W3">
            <v>9666635</v>
          </cell>
          <cell r="X3">
            <v>10112599</v>
          </cell>
          <cell r="Y3">
            <v>10061094</v>
          </cell>
          <cell r="Z3">
            <v>13007336</v>
          </cell>
          <cell r="AA3">
            <v>12427603</v>
          </cell>
          <cell r="AB3">
            <v>9360745</v>
          </cell>
          <cell r="AC3">
            <v>10338783</v>
          </cell>
          <cell r="AD3">
            <v>10501264</v>
          </cell>
          <cell r="AE3">
            <v>9296219</v>
          </cell>
          <cell r="AF3">
            <v>11000506</v>
          </cell>
          <cell r="AG3">
            <v>11015001</v>
          </cell>
          <cell r="AH3">
            <v>11335204</v>
          </cell>
          <cell r="AI3">
            <v>11181278</v>
          </cell>
          <cell r="AJ3">
            <v>9447753</v>
          </cell>
          <cell r="AK3">
            <v>10110469</v>
          </cell>
          <cell r="AL3">
            <v>10330032</v>
          </cell>
          <cell r="AM3">
            <v>13239725</v>
          </cell>
          <cell r="AN3">
            <v>9398547</v>
          </cell>
          <cell r="AO3">
            <v>12735440</v>
          </cell>
          <cell r="AP3">
            <v>9141039</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row>
        <row r="4">
          <cell r="G4">
            <v>2</v>
          </cell>
          <cell r="H4" t="str">
            <v>Target (Budget)</v>
          </cell>
          <cell r="I4">
            <v>0</v>
          </cell>
          <cell r="J4">
            <v>0</v>
          </cell>
          <cell r="K4">
            <v>0</v>
          </cell>
          <cell r="L4">
            <v>8811074</v>
          </cell>
          <cell r="M4">
            <v>12026005</v>
          </cell>
          <cell r="N4">
            <v>11483761</v>
          </cell>
          <cell r="O4">
            <v>10750154</v>
          </cell>
          <cell r="P4">
            <v>12769941</v>
          </cell>
          <cell r="Q4">
            <v>10771135</v>
          </cell>
          <cell r="R4">
            <v>10217749</v>
          </cell>
          <cell r="S4">
            <v>9830875</v>
          </cell>
          <cell r="T4">
            <v>10410068</v>
          </cell>
          <cell r="U4">
            <v>9920941</v>
          </cell>
          <cell r="V4">
            <v>11007990</v>
          </cell>
          <cell r="W4">
            <v>13838408</v>
          </cell>
          <cell r="X4">
            <v>10064438</v>
          </cell>
          <cell r="Y4">
            <v>10625794</v>
          </cell>
          <cell r="Z4">
            <v>12469853</v>
          </cell>
          <cell r="AA4">
            <v>12527918</v>
          </cell>
          <cell r="AB4">
            <v>10567961</v>
          </cell>
          <cell r="AC4">
            <v>11781686</v>
          </cell>
          <cell r="AD4">
            <v>10407553</v>
          </cell>
          <cell r="AE4">
            <v>10439310</v>
          </cell>
          <cell r="AF4">
            <v>11450251</v>
          </cell>
          <cell r="AG4">
            <v>10489930</v>
          </cell>
          <cell r="AH4">
            <v>13767174</v>
          </cell>
          <cell r="AI4">
            <v>13356758</v>
          </cell>
          <cell r="AJ4">
            <v>10202379</v>
          </cell>
          <cell r="AK4">
            <v>10342803</v>
          </cell>
          <cell r="AL4">
            <v>11378299</v>
          </cell>
          <cell r="AM4">
            <v>12556570</v>
          </cell>
          <cell r="AN4">
            <v>10073019</v>
          </cell>
          <cell r="AO4">
            <v>10884991</v>
          </cell>
          <cell r="AP4">
            <v>9902761</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row>
        <row r="5">
          <cell r="G5">
            <v>3</v>
          </cell>
          <cell r="H5" t="str">
            <v>Target (Budget) Variance</v>
          </cell>
          <cell r="I5">
            <v>0</v>
          </cell>
          <cell r="J5">
            <v>0</v>
          </cell>
          <cell r="K5">
            <v>0</v>
          </cell>
          <cell r="L5">
            <v>-287831</v>
          </cell>
          <cell r="M5">
            <v>-116755</v>
          </cell>
          <cell r="N5">
            <v>-1841431</v>
          </cell>
          <cell r="O5">
            <v>-1507910</v>
          </cell>
          <cell r="P5">
            <v>-1220329</v>
          </cell>
          <cell r="Q5">
            <v>-749302</v>
          </cell>
          <cell r="R5">
            <v>-1309915</v>
          </cell>
          <cell r="S5">
            <v>-491336</v>
          </cell>
          <cell r="T5">
            <v>-911521</v>
          </cell>
          <cell r="U5">
            <v>-410250</v>
          </cell>
          <cell r="V5">
            <v>139827</v>
          </cell>
          <cell r="W5">
            <v>-4171773</v>
          </cell>
          <cell r="X5">
            <v>48161</v>
          </cell>
          <cell r="Y5">
            <v>-564700</v>
          </cell>
          <cell r="Z5">
            <v>537483</v>
          </cell>
          <cell r="AA5">
            <v>-100315</v>
          </cell>
          <cell r="AB5">
            <v>-1207216</v>
          </cell>
          <cell r="AC5">
            <v>-1442903</v>
          </cell>
          <cell r="AD5">
            <v>93711</v>
          </cell>
          <cell r="AE5">
            <v>-1143091</v>
          </cell>
          <cell r="AF5">
            <v>-449745</v>
          </cell>
          <cell r="AG5">
            <v>525071</v>
          </cell>
          <cell r="AH5">
            <v>-2431970</v>
          </cell>
          <cell r="AI5">
            <v>-2175480</v>
          </cell>
          <cell r="AJ5">
            <v>-754626</v>
          </cell>
          <cell r="AK5">
            <v>-232334</v>
          </cell>
          <cell r="AL5">
            <v>-1048267</v>
          </cell>
          <cell r="AM5">
            <v>683155</v>
          </cell>
          <cell r="AN5">
            <v>-674472</v>
          </cell>
          <cell r="AO5">
            <v>1850449</v>
          </cell>
          <cell r="AP5">
            <v>-761722</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row>
        <row r="6">
          <cell r="G6">
            <v>4</v>
          </cell>
          <cell r="H6" t="str">
            <v>Target (Budget) %Var</v>
          </cell>
          <cell r="I6">
            <v>0</v>
          </cell>
          <cell r="J6">
            <v>0</v>
          </cell>
          <cell r="K6">
            <v>0</v>
          </cell>
          <cell r="L6">
            <v>-3.2666959782655325E-2</v>
          </cell>
          <cell r="M6">
            <v>-9.7085441092033473E-3</v>
          </cell>
          <cell r="N6">
            <v>-0.16035086414633673</v>
          </cell>
          <cell r="O6">
            <v>-0.14026868824390795</v>
          </cell>
          <cell r="P6">
            <v>-9.5562618496044735E-2</v>
          </cell>
          <cell r="Q6">
            <v>-6.9565742143237463E-2</v>
          </cell>
          <cell r="R6">
            <v>-0.128199958718892</v>
          </cell>
          <cell r="S6">
            <v>-4.9978867598255497E-2</v>
          </cell>
          <cell r="T6">
            <v>-8.7561483748232957E-2</v>
          </cell>
          <cell r="U6">
            <v>-4.1351924177353741E-2</v>
          </cell>
          <cell r="V6">
            <v>1.2702318951961257E-2</v>
          </cell>
          <cell r="W6">
            <v>-0.3014633619705388</v>
          </cell>
          <cell r="X6">
            <v>4.7852647112536237E-3</v>
          </cell>
          <cell r="Y6">
            <v>-5.3144263854541129E-2</v>
          </cell>
          <cell r="Z6">
            <v>4.3102593109958877E-2</v>
          </cell>
          <cell r="AA6">
            <v>-8.0073161398406343E-3</v>
          </cell>
          <cell r="AB6">
            <v>-0.11423357826547618</v>
          </cell>
          <cell r="AC6">
            <v>-0.12246999283464183</v>
          </cell>
          <cell r="AD6">
            <v>9.0041338247328646E-3</v>
          </cell>
          <cell r="AE6">
            <v>-0.10949871207962979</v>
          </cell>
          <cell r="AF6">
            <v>-3.9278178268755855E-2</v>
          </cell>
          <cell r="AG6">
            <v>5.0054766809692723E-2</v>
          </cell>
          <cell r="AH6">
            <v>-0.17664990650949861</v>
          </cell>
          <cell r="AI6">
            <v>-0.16287485331395538</v>
          </cell>
          <cell r="AJ6">
            <v>-7.396568976706315E-2</v>
          </cell>
          <cell r="AK6">
            <v>-2.2463349635490494E-2</v>
          </cell>
          <cell r="AL6">
            <v>-9.2128621334348834E-2</v>
          </cell>
          <cell r="AM6">
            <v>5.4406179394532107E-2</v>
          </cell>
          <cell r="AN6">
            <v>-6.6958277354584553E-2</v>
          </cell>
          <cell r="AO6">
            <v>0.17000004869089924</v>
          </cell>
          <cell r="AP6">
            <v>-7.6920163982549916E-2</v>
          </cell>
          <cell r="AQ6" t="e">
            <v>#DIV/0!</v>
          </cell>
          <cell r="AR6" t="e">
            <v>#DIV/0!</v>
          </cell>
          <cell r="AS6" t="e">
            <v>#DIV/0!</v>
          </cell>
          <cell r="AT6" t="e">
            <v>#DIV/0!</v>
          </cell>
          <cell r="AU6" t="e">
            <v>#DIV/0!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row>
        <row r="7">
          <cell r="G7">
            <v>5</v>
          </cell>
          <cell r="H7" t="str">
            <v>YTD Actual</v>
          </cell>
          <cell r="I7">
            <v>0</v>
          </cell>
          <cell r="J7">
            <v>0</v>
          </cell>
          <cell r="K7">
            <v>0</v>
          </cell>
          <cell r="L7">
            <v>8523243</v>
          </cell>
          <cell r="M7">
            <v>17132493</v>
          </cell>
          <cell r="N7">
            <v>30074823</v>
          </cell>
          <cell r="O7">
            <v>40317068</v>
          </cell>
          <cell r="P7">
            <v>51857680</v>
          </cell>
          <cell r="Q7">
            <v>61888513</v>
          </cell>
          <cell r="R7">
            <v>70796348</v>
          </cell>
          <cell r="S7">
            <v>80135887</v>
          </cell>
          <cell r="T7">
            <v>89634434</v>
          </cell>
          <cell r="U7">
            <v>99145125</v>
          </cell>
          <cell r="V7">
            <v>110292942</v>
          </cell>
          <cell r="W7">
            <v>119857251</v>
          </cell>
          <cell r="X7">
            <v>10112599</v>
          </cell>
          <cell r="Y7">
            <v>19960776</v>
          </cell>
          <cell r="Z7">
            <v>32968112</v>
          </cell>
          <cell r="AA7">
            <v>45395715</v>
          </cell>
          <cell r="AB7">
            <v>54756460</v>
          </cell>
          <cell r="AC7">
            <v>65095244</v>
          </cell>
          <cell r="AD7">
            <v>75808016</v>
          </cell>
          <cell r="AE7">
            <v>84620615</v>
          </cell>
          <cell r="AF7">
            <v>95621129</v>
          </cell>
          <cell r="AG7">
            <v>106636131</v>
          </cell>
          <cell r="AH7">
            <v>117971334</v>
          </cell>
          <cell r="AI7">
            <v>129152624</v>
          </cell>
          <cell r="AJ7">
            <v>9447753</v>
          </cell>
          <cell r="AK7">
            <v>19359318</v>
          </cell>
          <cell r="AL7">
            <v>29689351</v>
          </cell>
          <cell r="AM7">
            <v>42929076</v>
          </cell>
          <cell r="AN7">
            <v>52327623</v>
          </cell>
          <cell r="AO7">
            <v>65063063</v>
          </cell>
          <cell r="AP7">
            <v>74364542</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G8">
            <v>6</v>
          </cell>
          <cell r="H8" t="str">
            <v>YTD Target (Budget)</v>
          </cell>
          <cell r="I8">
            <v>0</v>
          </cell>
          <cell r="J8">
            <v>0</v>
          </cell>
          <cell r="K8">
            <v>0</v>
          </cell>
          <cell r="L8">
            <v>8811074</v>
          </cell>
          <cell r="M8">
            <v>20815874</v>
          </cell>
          <cell r="N8">
            <v>32273670</v>
          </cell>
          <cell r="O8">
            <v>42002906</v>
          </cell>
          <cell r="P8">
            <v>54747186</v>
          </cell>
          <cell r="Q8">
            <v>65535627</v>
          </cell>
          <cell r="R8">
            <v>75753376</v>
          </cell>
          <cell r="S8">
            <v>85584251</v>
          </cell>
          <cell r="T8">
            <v>95994319</v>
          </cell>
          <cell r="U8">
            <v>105915260</v>
          </cell>
          <cell r="V8">
            <v>116923251</v>
          </cell>
          <cell r="W8">
            <v>130761659</v>
          </cell>
          <cell r="X8">
            <v>10064438</v>
          </cell>
          <cell r="Y8">
            <v>21142781</v>
          </cell>
          <cell r="Z8">
            <v>33056926</v>
          </cell>
          <cell r="AA8">
            <v>44919621</v>
          </cell>
          <cell r="AB8">
            <v>55349008</v>
          </cell>
          <cell r="AC8">
            <v>67384855</v>
          </cell>
          <cell r="AD8">
            <v>77812667</v>
          </cell>
          <cell r="AE8">
            <v>88251977</v>
          </cell>
          <cell r="AF8">
            <v>99702228</v>
          </cell>
          <cell r="AG8">
            <v>110186484</v>
          </cell>
          <cell r="AH8">
            <v>123953658</v>
          </cell>
          <cell r="AI8">
            <v>137305836</v>
          </cell>
          <cell r="AJ8">
            <v>10202379</v>
          </cell>
          <cell r="AK8">
            <v>20383904</v>
          </cell>
          <cell r="AL8">
            <v>31752797</v>
          </cell>
          <cell r="AM8">
            <v>44023188</v>
          </cell>
          <cell r="AN8">
            <v>54768452</v>
          </cell>
          <cell r="AO8">
            <v>65707073</v>
          </cell>
          <cell r="AP8">
            <v>75575295</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G9">
            <v>7</v>
          </cell>
          <cell r="H9" t="str">
            <v>YTD Target (Budget) Var</v>
          </cell>
          <cell r="I9">
            <v>0</v>
          </cell>
          <cell r="J9">
            <v>0</v>
          </cell>
          <cell r="K9">
            <v>0</v>
          </cell>
          <cell r="L9">
            <v>-287831</v>
          </cell>
          <cell r="M9">
            <v>-3683381</v>
          </cell>
          <cell r="N9">
            <v>-2198847</v>
          </cell>
          <cell r="O9">
            <v>-1685838</v>
          </cell>
          <cell r="P9">
            <v>-2889506</v>
          </cell>
          <cell r="Q9">
            <v>-3647114</v>
          </cell>
          <cell r="R9">
            <v>-4957028</v>
          </cell>
          <cell r="S9">
            <v>-5448364</v>
          </cell>
          <cell r="T9">
            <v>-6359885</v>
          </cell>
          <cell r="U9">
            <v>-6770135</v>
          </cell>
          <cell r="V9">
            <v>-6630309</v>
          </cell>
          <cell r="W9">
            <v>-10904408</v>
          </cell>
          <cell r="X9">
            <v>48161</v>
          </cell>
          <cell r="Y9">
            <v>-1182005</v>
          </cell>
          <cell r="Z9">
            <v>-88814</v>
          </cell>
          <cell r="AA9">
            <v>476094</v>
          </cell>
          <cell r="AB9">
            <v>-592548</v>
          </cell>
          <cell r="AC9">
            <v>-2289611</v>
          </cell>
          <cell r="AD9">
            <v>-2004651</v>
          </cell>
          <cell r="AE9">
            <v>-3631362</v>
          </cell>
          <cell r="AF9">
            <v>-4081099</v>
          </cell>
          <cell r="AG9">
            <v>-3550353</v>
          </cell>
          <cell r="AH9">
            <v>-5982324</v>
          </cell>
          <cell r="AI9">
            <v>-8153212</v>
          </cell>
          <cell r="AJ9">
            <v>-754626</v>
          </cell>
          <cell r="AK9">
            <v>-1024586</v>
          </cell>
          <cell r="AL9">
            <v>-2063446</v>
          </cell>
          <cell r="AM9">
            <v>-1094112</v>
          </cell>
          <cell r="AN9">
            <v>-2440829</v>
          </cell>
          <cell r="AO9">
            <v>-644010</v>
          </cell>
          <cell r="AP9">
            <v>-1210753</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G10">
            <v>8</v>
          </cell>
          <cell r="H10" t="str">
            <v>YTD %Var</v>
          </cell>
          <cell r="I10">
            <v>0</v>
          </cell>
          <cell r="J10">
            <v>0</v>
          </cell>
          <cell r="K10">
            <v>0</v>
          </cell>
          <cell r="L10">
            <v>-3.2666959782655325E-2</v>
          </cell>
          <cell r="M10">
            <v>-0.1769505810805734</v>
          </cell>
          <cell r="N10">
            <v>-6.8131297122391105E-2</v>
          </cell>
          <cell r="O10">
            <v>-4.0136222955621213E-2</v>
          </cell>
          <cell r="P10">
            <v>-5.2779077996812473E-2</v>
          </cell>
          <cell r="Q10">
            <v>-5.565085995133609E-2</v>
          </cell>
          <cell r="R10">
            <v>-6.5436397184463438E-2</v>
          </cell>
          <cell r="S10">
            <v>-6.3660824700095819E-2</v>
          </cell>
          <cell r="T10">
            <v>-6.6252722726227162E-2</v>
          </cell>
          <cell r="U10">
            <v>-6.3920298170443049E-2</v>
          </cell>
          <cell r="V10">
            <v>-5.6706505706037885E-2</v>
          </cell>
          <cell r="W10">
            <v>-8.3391477925498017E-2</v>
          </cell>
          <cell r="X10">
            <v>4.7852647112536237E-3</v>
          </cell>
          <cell r="Y10">
            <v>-5.590584322847595E-2</v>
          </cell>
          <cell r="Z10">
            <v>-2.6866986966664719E-3</v>
          </cell>
          <cell r="AA10">
            <v>1.0598798240083102E-2</v>
          </cell>
          <cell r="AB10">
            <v>-1.0705666125036966E-2</v>
          </cell>
          <cell r="AC10">
            <v>-3.3978124609750956E-2</v>
          </cell>
          <cell r="AD10">
            <v>-2.5762527841386031E-2</v>
          </cell>
          <cell r="AE10">
            <v>-4.1147656102933534E-2</v>
          </cell>
          <cell r="AF10">
            <v>-4.0932876645444677E-2</v>
          </cell>
          <cell r="AG10">
            <v>-3.2221311281699486E-2</v>
          </cell>
          <cell r="AH10">
            <v>-4.8262585360732156E-2</v>
          </cell>
          <cell r="AI10">
            <v>-5.9379937790845251E-2</v>
          </cell>
          <cell r="AJ10">
            <v>-7.396568976706315E-2</v>
          </cell>
          <cell r="AK10">
            <v>-5.0264463568902205E-2</v>
          </cell>
          <cell r="AL10">
            <v>-6.498470040292828E-2</v>
          </cell>
          <cell r="AM10">
            <v>-2.4853084242785869E-2</v>
          </cell>
          <cell r="AN10">
            <v>-4.45663317268854E-2</v>
          </cell>
          <cell r="AO10">
            <v>-9.8012279439079562E-3</v>
          </cell>
          <cell r="AP10">
            <v>-1.6020486588904481E-2</v>
          </cell>
          <cell r="AQ10" t="e">
            <v>#DIV/0!</v>
          </cell>
          <cell r="AR10" t="e">
            <v>#DIV/0!</v>
          </cell>
          <cell r="AS10" t="e">
            <v>#DIV/0!</v>
          </cell>
          <cell r="AT10" t="e">
            <v>#DIV/0!</v>
          </cell>
          <cell r="AU10" t="e">
            <v>#DIV/0!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G11">
            <v>9</v>
          </cell>
          <cell r="H11" t="str">
            <v>4 Month Actual</v>
          </cell>
          <cell r="I11">
            <v>0</v>
          </cell>
          <cell r="J11">
            <v>0</v>
          </cell>
          <cell r="K11">
            <v>0</v>
          </cell>
          <cell r="L11">
            <v>8523243</v>
          </cell>
          <cell r="M11">
            <v>20432493</v>
          </cell>
          <cell r="N11">
            <v>30074823</v>
          </cell>
          <cell r="O11">
            <v>39317067</v>
          </cell>
          <cell r="P11">
            <v>42343436</v>
          </cell>
          <cell r="Q11">
            <v>40456019</v>
          </cell>
          <cell r="R11">
            <v>39721523</v>
          </cell>
          <cell r="S11">
            <v>39818818</v>
          </cell>
          <cell r="T11">
            <v>37767753</v>
          </cell>
          <cell r="U11">
            <v>37256611</v>
          </cell>
          <cell r="V11">
            <v>39496594</v>
          </cell>
          <cell r="W11">
            <v>39823690</v>
          </cell>
          <cell r="X11">
            <v>40437742</v>
          </cell>
          <cell r="Y11">
            <v>40988145</v>
          </cell>
          <cell r="Z11">
            <v>42847664</v>
          </cell>
          <cell r="AA11">
            <v>45608632</v>
          </cell>
          <cell r="AB11">
            <v>44856778</v>
          </cell>
          <cell r="AC11">
            <v>45134467</v>
          </cell>
          <cell r="AD11">
            <v>42628395</v>
          </cell>
          <cell r="AE11">
            <v>39497011</v>
          </cell>
          <cell r="AF11">
            <v>41136772</v>
          </cell>
          <cell r="AG11">
            <v>41812990</v>
          </cell>
          <cell r="AH11">
            <v>42646930</v>
          </cell>
          <cell r="AI11">
            <v>44531989</v>
          </cell>
          <cell r="AJ11">
            <v>42979236</v>
          </cell>
          <cell r="AK11">
            <v>42074704</v>
          </cell>
          <cell r="AL11">
            <v>41069532</v>
          </cell>
          <cell r="AM11">
            <v>43127979</v>
          </cell>
          <cell r="AN11">
            <v>43078773</v>
          </cell>
          <cell r="AO11">
            <v>45703744</v>
          </cell>
          <cell r="AP11">
            <v>44514751</v>
          </cell>
          <cell r="AQ11">
            <v>31275026</v>
          </cell>
          <cell r="AR11">
            <v>21876479</v>
          </cell>
          <cell r="AS11">
            <v>9141039</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G12">
            <v>10</v>
          </cell>
          <cell r="H12" t="str">
            <v>4 Month Target (Budget)</v>
          </cell>
          <cell r="I12">
            <v>0</v>
          </cell>
          <cell r="J12">
            <v>0</v>
          </cell>
          <cell r="K12">
            <v>0</v>
          </cell>
          <cell r="L12">
            <v>8811074</v>
          </cell>
          <cell r="M12">
            <v>20837079</v>
          </cell>
          <cell r="N12">
            <v>32320840</v>
          </cell>
          <cell r="O12">
            <v>43070994</v>
          </cell>
          <cell r="P12">
            <v>47029861</v>
          </cell>
          <cell r="Q12">
            <v>45774991</v>
          </cell>
          <cell r="R12">
            <v>44508979</v>
          </cell>
          <cell r="S12">
            <v>43589700</v>
          </cell>
          <cell r="T12">
            <v>41229827</v>
          </cell>
          <cell r="U12">
            <v>40379633</v>
          </cell>
          <cell r="V12">
            <v>41169874</v>
          </cell>
          <cell r="W12">
            <v>45177407</v>
          </cell>
          <cell r="X12">
            <v>44831777</v>
          </cell>
          <cell r="Y12">
            <v>45536630</v>
          </cell>
          <cell r="Z12">
            <v>46998493</v>
          </cell>
          <cell r="AA12">
            <v>45688003</v>
          </cell>
          <cell r="AB12">
            <v>46191526</v>
          </cell>
          <cell r="AC12">
            <v>47347418</v>
          </cell>
          <cell r="AD12">
            <v>45285118</v>
          </cell>
          <cell r="AE12">
            <v>43196510</v>
          </cell>
          <cell r="AF12">
            <v>44078800</v>
          </cell>
          <cell r="AG12">
            <v>42787044</v>
          </cell>
          <cell r="AH12">
            <v>46146665</v>
          </cell>
          <cell r="AI12">
            <v>49064113</v>
          </cell>
          <cell r="AJ12">
            <v>47816241</v>
          </cell>
          <cell r="AK12">
            <v>47669114</v>
          </cell>
          <cell r="AL12">
            <v>45280239</v>
          </cell>
          <cell r="AM12">
            <v>44480051</v>
          </cell>
          <cell r="AN12">
            <v>44350691</v>
          </cell>
          <cell r="AO12">
            <v>44892879</v>
          </cell>
          <cell r="AP12">
            <v>43417341</v>
          </cell>
          <cell r="AQ12">
            <v>30860771</v>
          </cell>
          <cell r="AR12">
            <v>20787752</v>
          </cell>
          <cell r="AS12">
            <v>9902761</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G13">
            <v>11</v>
          </cell>
          <cell r="H13" t="str">
            <v>4 Month Target (Budget) Var</v>
          </cell>
          <cell r="I13">
            <v>0</v>
          </cell>
          <cell r="J13">
            <v>0</v>
          </cell>
          <cell r="K13">
            <v>0</v>
          </cell>
          <cell r="L13">
            <v>-287831</v>
          </cell>
          <cell r="M13">
            <v>-404586</v>
          </cell>
          <cell r="N13">
            <v>-2246017</v>
          </cell>
          <cell r="O13">
            <v>-3753927</v>
          </cell>
          <cell r="P13">
            <v>-4686425</v>
          </cell>
          <cell r="Q13">
            <v>-5318972</v>
          </cell>
          <cell r="R13">
            <v>-4787456</v>
          </cell>
          <cell r="S13">
            <v>-3770882</v>
          </cell>
          <cell r="T13">
            <v>-3462074</v>
          </cell>
          <cell r="U13">
            <v>-3123022</v>
          </cell>
          <cell r="V13">
            <v>-1673280</v>
          </cell>
          <cell r="W13">
            <v>-5353717</v>
          </cell>
          <cell r="X13">
            <v>-4394035</v>
          </cell>
          <cell r="Y13">
            <v>-4548485</v>
          </cell>
          <cell r="Z13">
            <v>-4150829</v>
          </cell>
          <cell r="AA13">
            <v>-79371</v>
          </cell>
          <cell r="AB13">
            <v>-1334748</v>
          </cell>
          <cell r="AC13">
            <v>-2212951</v>
          </cell>
          <cell r="AD13">
            <v>-2656723</v>
          </cell>
          <cell r="AE13">
            <v>-3699499</v>
          </cell>
          <cell r="AF13">
            <v>-2942028</v>
          </cell>
          <cell r="AG13">
            <v>-974054</v>
          </cell>
          <cell r="AH13">
            <v>-3499735</v>
          </cell>
          <cell r="AI13">
            <v>-4532124</v>
          </cell>
          <cell r="AJ13">
            <v>-4837005</v>
          </cell>
          <cell r="AK13">
            <v>-5594410</v>
          </cell>
          <cell r="AL13">
            <v>-4210707</v>
          </cell>
          <cell r="AM13">
            <v>-1352072</v>
          </cell>
          <cell r="AN13">
            <v>-1271918</v>
          </cell>
          <cell r="AO13">
            <v>810865</v>
          </cell>
          <cell r="AP13">
            <v>1097410</v>
          </cell>
          <cell r="AQ13">
            <v>414255</v>
          </cell>
          <cell r="AR13">
            <v>1088727</v>
          </cell>
          <cell r="AS13">
            <v>-761722</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G14">
            <v>12</v>
          </cell>
          <cell r="H14" t="str">
            <v>4 Month Target (Budget) % Var</v>
          </cell>
          <cell r="I14">
            <v>0</v>
          </cell>
          <cell r="J14">
            <v>0</v>
          </cell>
          <cell r="K14">
            <v>0</v>
          </cell>
          <cell r="L14">
            <v>-3.2666959782655325E-2</v>
          </cell>
          <cell r="M14">
            <v>-1.9416637043992588E-2</v>
          </cell>
          <cell r="N14">
            <v>-6.9491294161909162E-2</v>
          </cell>
          <cell r="O14">
            <v>-8.7156730118650147E-2</v>
          </cell>
          <cell r="P14">
            <v>-9.964785989905435E-2</v>
          </cell>
          <cell r="Q14">
            <v>-0.11619820962935853</v>
          </cell>
          <cell r="R14">
            <v>-0.10756157763133592</v>
          </cell>
          <cell r="S14">
            <v>-8.6508555920320626E-2</v>
          </cell>
          <cell r="T14">
            <v>-8.3970131623399724E-2</v>
          </cell>
          <cell r="U14">
            <v>-7.7341515213870324E-2</v>
          </cell>
          <cell r="V14">
            <v>-4.0643311174573912E-2</v>
          </cell>
          <cell r="W14">
            <v>-0.11850430016933021</v>
          </cell>
          <cell r="X14">
            <v>-9.8011617964641459E-2</v>
          </cell>
          <cell r="Y14">
            <v>-9.9886289345522489E-2</v>
          </cell>
          <cell r="Z14">
            <v>-8.831834246259769E-2</v>
          </cell>
          <cell r="AA14">
            <v>-1.7372394236622687E-3</v>
          </cell>
          <cell r="AB14">
            <v>-2.8895949443194409E-2</v>
          </cell>
          <cell r="AC14">
            <v>-4.6738578226166422E-2</v>
          </cell>
          <cell r="AD14">
            <v>-5.8666580045126523E-2</v>
          </cell>
          <cell r="AE14">
            <v>-8.5643469808093287E-2</v>
          </cell>
          <cell r="AF14">
            <v>-6.6744738967485506E-2</v>
          </cell>
          <cell r="AG14">
            <v>-2.2765162276692917E-2</v>
          </cell>
          <cell r="AH14">
            <v>-7.5839391644011545E-2</v>
          </cell>
          <cell r="AI14">
            <v>-9.2371465066534472E-2</v>
          </cell>
          <cell r="AJ14">
            <v>-0.10115820271191958</v>
          </cell>
          <cell r="AK14">
            <v>-0.11735921922106629</v>
          </cell>
          <cell r="AL14">
            <v>-9.2992154922150475E-2</v>
          </cell>
          <cell r="AM14">
            <v>-3.0397267305291534E-2</v>
          </cell>
          <cell r="AN14">
            <v>-2.8678651252581386E-2</v>
          </cell>
          <cell r="AO14">
            <v>1.806221873183941E-2</v>
          </cell>
          <cell r="AP14">
            <v>2.5275845427752013E-2</v>
          </cell>
          <cell r="AQ14">
            <v>1.3423352255198031E-2</v>
          </cell>
          <cell r="AR14">
            <v>5.2373484155477705E-2</v>
          </cell>
          <cell r="AS14">
            <v>-7.6920163982549916E-2</v>
          </cell>
          <cell r="AT14" t="e">
            <v>#DIV/0!</v>
          </cell>
          <cell r="AU14" t="e">
            <v>#DIV/0!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G15">
            <v>13</v>
          </cell>
          <cell r="H15" t="str">
            <v>Actual</v>
          </cell>
          <cell r="I15">
            <v>0</v>
          </cell>
          <cell r="J15">
            <v>0</v>
          </cell>
          <cell r="K15">
            <v>0</v>
          </cell>
          <cell r="L15">
            <v>6901110</v>
          </cell>
          <cell r="M15">
            <v>9915720</v>
          </cell>
          <cell r="N15">
            <v>6829422</v>
          </cell>
          <cell r="O15">
            <v>7752778</v>
          </cell>
          <cell r="P15">
            <v>8768937</v>
          </cell>
          <cell r="Q15">
            <v>7355953</v>
          </cell>
          <cell r="R15">
            <v>6974005</v>
          </cell>
          <cell r="S15">
            <v>7220269</v>
          </cell>
          <cell r="T15">
            <v>7121621</v>
          </cell>
          <cell r="U15">
            <v>7402617</v>
          </cell>
          <cell r="V15">
            <v>8926586</v>
          </cell>
          <cell r="W15">
            <v>6888230</v>
          </cell>
          <cell r="X15">
            <v>8100206</v>
          </cell>
          <cell r="Y15">
            <v>7998243</v>
          </cell>
          <cell r="Z15">
            <v>9816998</v>
          </cell>
          <cell r="AA15">
            <v>9336111</v>
          </cell>
          <cell r="AB15">
            <v>7113350</v>
          </cell>
          <cell r="AC15">
            <v>7317305</v>
          </cell>
          <cell r="AD15">
            <v>8141911</v>
          </cell>
          <cell r="AE15">
            <v>7118493</v>
          </cell>
          <cell r="AF15">
            <v>8349550</v>
          </cell>
          <cell r="AG15">
            <v>8814643</v>
          </cell>
          <cell r="AH15">
            <v>9028498</v>
          </cell>
          <cell r="AI15">
            <v>7713336</v>
          </cell>
          <cell r="AJ15">
            <v>7133727</v>
          </cell>
          <cell r="AK15">
            <v>8093793</v>
          </cell>
          <cell r="AL15">
            <v>7668342</v>
          </cell>
          <cell r="AM15">
            <v>9953981</v>
          </cell>
          <cell r="AN15">
            <v>7119696</v>
          </cell>
          <cell r="AO15">
            <v>9747925</v>
          </cell>
          <cell r="AP15">
            <v>6888138</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G16">
            <v>14</v>
          </cell>
          <cell r="H16" t="str">
            <v>Target (Budget)</v>
          </cell>
          <cell r="I16">
            <v>0</v>
          </cell>
          <cell r="J16">
            <v>0</v>
          </cell>
          <cell r="K16">
            <v>0</v>
          </cell>
          <cell r="L16">
            <v>6971920</v>
          </cell>
          <cell r="M16">
            <v>9700578</v>
          </cell>
          <cell r="N16">
            <v>8361575</v>
          </cell>
          <cell r="O16">
            <v>8047548</v>
          </cell>
          <cell r="P16">
            <v>10392160</v>
          </cell>
          <cell r="Q16">
            <v>8083868</v>
          </cell>
          <cell r="R16">
            <v>7940165</v>
          </cell>
          <cell r="S16">
            <v>7690039</v>
          </cell>
          <cell r="T16">
            <v>7743972</v>
          </cell>
          <cell r="U16">
            <v>7815781</v>
          </cell>
          <cell r="V16">
            <v>8878972</v>
          </cell>
          <cell r="W16">
            <v>11161407</v>
          </cell>
          <cell r="X16">
            <v>8232066</v>
          </cell>
          <cell r="Y16">
            <v>8383850</v>
          </cell>
          <cell r="Z16">
            <v>8625425</v>
          </cell>
          <cell r="AA16">
            <v>9885454</v>
          </cell>
          <cell r="AB16">
            <v>8088549</v>
          </cell>
          <cell r="AC16">
            <v>8571648</v>
          </cell>
          <cell r="AD16">
            <v>8009692</v>
          </cell>
          <cell r="AE16">
            <v>8194856</v>
          </cell>
          <cell r="AF16">
            <v>8275567</v>
          </cell>
          <cell r="AG16">
            <v>8096102</v>
          </cell>
          <cell r="AH16">
            <v>11366187</v>
          </cell>
          <cell r="AI16">
            <v>10211399</v>
          </cell>
          <cell r="AJ16">
            <v>7950693</v>
          </cell>
          <cell r="AK16">
            <v>8203047</v>
          </cell>
          <cell r="AL16">
            <v>8542824</v>
          </cell>
          <cell r="AM16">
            <v>8891528</v>
          </cell>
          <cell r="AN16">
            <v>7861198</v>
          </cell>
          <cell r="AO16">
            <v>7917491</v>
          </cell>
          <cell r="AP16">
            <v>7693430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G17">
            <v>15</v>
          </cell>
          <cell r="H17" t="str">
            <v>Target (Budget) Variance</v>
          </cell>
          <cell r="I17">
            <v>0</v>
          </cell>
          <cell r="J17">
            <v>0</v>
          </cell>
          <cell r="K17">
            <v>0</v>
          </cell>
          <cell r="L17">
            <v>-70810</v>
          </cell>
          <cell r="M17">
            <v>215142</v>
          </cell>
          <cell r="N17">
            <v>-1532153</v>
          </cell>
          <cell r="O17">
            <v>-294770</v>
          </cell>
          <cell r="P17">
            <v>-1623223</v>
          </cell>
          <cell r="Q17">
            <v>-727915</v>
          </cell>
          <cell r="R17">
            <v>-966160</v>
          </cell>
          <cell r="S17">
            <v>-469770</v>
          </cell>
          <cell r="T17">
            <v>-622351</v>
          </cell>
          <cell r="U17">
            <v>-413164</v>
          </cell>
          <cell r="V17">
            <v>47614</v>
          </cell>
          <cell r="W17">
            <v>-4273177</v>
          </cell>
          <cell r="X17">
            <v>-131860</v>
          </cell>
          <cell r="Y17">
            <v>-385607</v>
          </cell>
          <cell r="Z17">
            <v>1191573</v>
          </cell>
          <cell r="AA17">
            <v>-549343</v>
          </cell>
          <cell r="AB17">
            <v>-975199</v>
          </cell>
          <cell r="AC17">
            <v>-1254343</v>
          </cell>
          <cell r="AD17">
            <v>132219</v>
          </cell>
          <cell r="AE17">
            <v>-1076363</v>
          </cell>
          <cell r="AF17">
            <v>73983</v>
          </cell>
          <cell r="AG17">
            <v>718541</v>
          </cell>
          <cell r="AH17">
            <v>-2337689</v>
          </cell>
          <cell r="AI17">
            <v>-2498063</v>
          </cell>
          <cell r="AJ17">
            <v>-816966</v>
          </cell>
          <cell r="AK17">
            <v>-109254</v>
          </cell>
          <cell r="AL17">
            <v>-874482</v>
          </cell>
          <cell r="AM17">
            <v>1062453</v>
          </cell>
          <cell r="AN17">
            <v>-741502</v>
          </cell>
          <cell r="AO17">
            <v>1830434</v>
          </cell>
          <cell r="AP17">
            <v>-805292</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G18">
            <v>16</v>
          </cell>
          <cell r="H18" t="str">
            <v>Target (Budget) %Var</v>
          </cell>
          <cell r="I18">
            <v>0</v>
          </cell>
          <cell r="J18">
            <v>0</v>
          </cell>
          <cell r="K18">
            <v>0</v>
          </cell>
          <cell r="L18">
            <v>-1.0156456184236193E-2</v>
          </cell>
          <cell r="M18">
            <v>2.2178266078577997E-2</v>
          </cell>
          <cell r="N18">
            <v>-0.18323736855795708</v>
          </cell>
          <cell r="O18">
            <v>-3.6628548223632838E-2</v>
          </cell>
          <cell r="P18">
            <v>-0.15619688303490323</v>
          </cell>
          <cell r="Q18">
            <v>-9.0045384214586383E-2</v>
          </cell>
          <cell r="R18">
            <v>-0.12168009103085389</v>
          </cell>
          <cell r="S18">
            <v>-6.1088116718263717E-2</v>
          </cell>
          <cell r="T18">
            <v>-8.0365863926160894E-2</v>
          </cell>
          <cell r="U18">
            <v>-5.2862791319255233E-2</v>
          </cell>
          <cell r="V18">
            <v>5.3625577375398864E-3</v>
          </cell>
          <cell r="W18">
            <v>-0.38285289659269661</v>
          </cell>
          <cell r="X18">
            <v>-1.6017850197022229E-2</v>
          </cell>
          <cell r="Y18">
            <v>-4.5994024225147159E-2</v>
          </cell>
          <cell r="Z18">
            <v>0.1381465840813641</v>
          </cell>
          <cell r="AA18">
            <v>-5.5570841764070726E-2</v>
          </cell>
          <cell r="AB18">
            <v>-0.12056538199867492</v>
          </cell>
          <cell r="AC18">
            <v>-0.14633627045814293</v>
          </cell>
          <cell r="AD18">
            <v>1.6507376313596077E-2</v>
          </cell>
          <cell r="AE18">
            <v>-0.13134617618662245</v>
          </cell>
          <cell r="AF18">
            <v>8.9399312457986262E-3</v>
          </cell>
          <cell r="AG18">
            <v>8.8751475710162744E-2</v>
          </cell>
          <cell r="AH18">
            <v>-0.20567046802942798</v>
          </cell>
          <cell r="AI18">
            <v>-0.24463474593442094</v>
          </cell>
          <cell r="AJ18">
            <v>-0.10275406181574361</v>
          </cell>
          <cell r="AK18">
            <v>-1.3318709499043466E-2</v>
          </cell>
          <cell r="AL18">
            <v>-0.10236451084559392</v>
          </cell>
          <cell r="AM18">
            <v>0.11949048577477347</v>
          </cell>
          <cell r="AN18">
            <v>-9.4324300189360458E-2</v>
          </cell>
          <cell r="AO18">
            <v>0.23118864296782907</v>
          </cell>
          <cell r="AP18">
            <v>-0.10467268825478362</v>
          </cell>
          <cell r="AQ18" t="e">
            <v>#DIV/0!</v>
          </cell>
          <cell r="AR18" t="e">
            <v>#DIV/0!</v>
          </cell>
          <cell r="AS18" t="e">
            <v>#DIV/0!</v>
          </cell>
          <cell r="AT18" t="e">
            <v>#DIV/0!</v>
          </cell>
          <cell r="AU18" t="e">
            <v>#DIV/0!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G19">
            <v>17</v>
          </cell>
          <cell r="H19" t="str">
            <v>YTD Actual</v>
          </cell>
          <cell r="I19">
            <v>0</v>
          </cell>
          <cell r="J19">
            <v>0</v>
          </cell>
          <cell r="K19">
            <v>0</v>
          </cell>
          <cell r="L19">
            <v>6901110</v>
          </cell>
          <cell r="M19">
            <v>16816830</v>
          </cell>
          <cell r="N19">
            <v>23646252</v>
          </cell>
          <cell r="O19">
            <v>31399031</v>
          </cell>
          <cell r="P19">
            <v>40167968</v>
          </cell>
          <cell r="Q19">
            <v>47523921</v>
          </cell>
          <cell r="R19">
            <v>54497926</v>
          </cell>
          <cell r="S19">
            <v>61718195</v>
          </cell>
          <cell r="T19">
            <v>68839816</v>
          </cell>
          <cell r="U19">
            <v>76242433</v>
          </cell>
          <cell r="V19">
            <v>85169019</v>
          </cell>
          <cell r="W19">
            <v>91954923</v>
          </cell>
          <cell r="X19">
            <v>8100206</v>
          </cell>
          <cell r="Y19">
            <v>15955833</v>
          </cell>
          <cell r="Z19">
            <v>25772831</v>
          </cell>
          <cell r="AA19">
            <v>35108942</v>
          </cell>
          <cell r="AB19">
            <v>42222292</v>
          </cell>
          <cell r="AC19">
            <v>49539598</v>
          </cell>
          <cell r="AD19">
            <v>57893017</v>
          </cell>
          <cell r="AE19">
            <v>64753481</v>
          </cell>
          <cell r="AF19">
            <v>73103039</v>
          </cell>
          <cell r="AG19">
            <v>81917683</v>
          </cell>
          <cell r="AH19">
            <v>90946181</v>
          </cell>
          <cell r="AI19">
            <v>98659528</v>
          </cell>
          <cell r="AJ19">
            <v>7133727</v>
          </cell>
          <cell r="AK19">
            <v>15119157</v>
          </cell>
          <cell r="AL19">
            <v>22787499</v>
          </cell>
          <cell r="AM19">
            <v>32741481</v>
          </cell>
          <cell r="AN19">
            <v>39861177</v>
          </cell>
          <cell r="AO19">
            <v>49609102</v>
          </cell>
          <cell r="AP19">
            <v>56657680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G20">
            <v>18</v>
          </cell>
          <cell r="H20" t="str">
            <v>YTD Target (Budget)</v>
          </cell>
          <cell r="I20">
            <v>0</v>
          </cell>
          <cell r="J20">
            <v>0</v>
          </cell>
          <cell r="K20">
            <v>0</v>
          </cell>
          <cell r="L20">
            <v>6971920</v>
          </cell>
          <cell r="M20">
            <v>16636533</v>
          </cell>
          <cell r="N20">
            <v>25011375</v>
          </cell>
          <cell r="O20">
            <v>32058038</v>
          </cell>
          <cell r="P20">
            <v>42457537</v>
          </cell>
          <cell r="Q20">
            <v>50544776</v>
          </cell>
          <cell r="R20">
            <v>58484941</v>
          </cell>
          <cell r="S20">
            <v>66174980</v>
          </cell>
          <cell r="T20">
            <v>73918952</v>
          </cell>
          <cell r="U20">
            <v>81734733</v>
          </cell>
          <cell r="V20">
            <v>90613706</v>
          </cell>
          <cell r="W20">
            <v>101775113</v>
          </cell>
          <cell r="X20">
            <v>8232066</v>
          </cell>
          <cell r="Y20">
            <v>17089247</v>
          </cell>
          <cell r="Z20">
            <v>25158964</v>
          </cell>
          <cell r="AA20">
            <v>34751413</v>
          </cell>
          <cell r="AB20">
            <v>42701388</v>
          </cell>
          <cell r="AC20">
            <v>51527197</v>
          </cell>
          <cell r="AD20">
            <v>59557148</v>
          </cell>
          <cell r="AE20">
            <v>67752004</v>
          </cell>
          <cell r="AF20">
            <v>76027571</v>
          </cell>
          <cell r="AG20">
            <v>84117999</v>
          </cell>
          <cell r="AH20">
            <v>95484186</v>
          </cell>
          <cell r="AI20">
            <v>105691005</v>
          </cell>
          <cell r="AJ20">
            <v>7950693</v>
          </cell>
          <cell r="AK20">
            <v>16223989</v>
          </cell>
          <cell r="AL20">
            <v>24755341</v>
          </cell>
          <cell r="AM20">
            <v>33360690</v>
          </cell>
          <cell r="AN20">
            <v>41894133</v>
          </cell>
          <cell r="AO20">
            <v>49865254</v>
          </cell>
          <cell r="AP20">
            <v>57524145</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G21">
            <v>19</v>
          </cell>
          <cell r="H21" t="str">
            <v>YTD Target (Budget) Var</v>
          </cell>
          <cell r="I21">
            <v>0</v>
          </cell>
          <cell r="J21">
            <v>0</v>
          </cell>
          <cell r="K21">
            <v>0</v>
          </cell>
          <cell r="L21">
            <v>-70810</v>
          </cell>
          <cell r="M21">
            <v>180297</v>
          </cell>
          <cell r="N21">
            <v>-1365123</v>
          </cell>
          <cell r="O21">
            <v>-659007</v>
          </cell>
          <cell r="P21">
            <v>-2289569</v>
          </cell>
          <cell r="Q21">
            <v>-3020855</v>
          </cell>
          <cell r="R21">
            <v>-3987015</v>
          </cell>
          <cell r="S21">
            <v>-4456785</v>
          </cell>
          <cell r="T21">
            <v>-5079136</v>
          </cell>
          <cell r="U21">
            <v>-5492300</v>
          </cell>
          <cell r="V21">
            <v>-5444687</v>
          </cell>
          <cell r="W21">
            <v>-9820190</v>
          </cell>
          <cell r="X21">
            <v>-131860</v>
          </cell>
          <cell r="Y21">
            <v>-1133414</v>
          </cell>
          <cell r="Z21">
            <v>613867</v>
          </cell>
          <cell r="AA21">
            <v>357529</v>
          </cell>
          <cell r="AB21">
            <v>-479096</v>
          </cell>
          <cell r="AC21">
            <v>-1987599</v>
          </cell>
          <cell r="AD21">
            <v>-1664131</v>
          </cell>
          <cell r="AE21">
            <v>-2998523</v>
          </cell>
          <cell r="AF21">
            <v>-2924532</v>
          </cell>
          <cell r="AG21">
            <v>-2200316</v>
          </cell>
          <cell r="AH21">
            <v>-4538005</v>
          </cell>
          <cell r="AI21">
            <v>-7031477</v>
          </cell>
          <cell r="AJ21">
            <v>-816966</v>
          </cell>
          <cell r="AK21">
            <v>-1104832</v>
          </cell>
          <cell r="AL21">
            <v>-1967842</v>
          </cell>
          <cell r="AM21">
            <v>-619209</v>
          </cell>
          <cell r="AN21">
            <v>-2032956</v>
          </cell>
          <cell r="AO21">
            <v>-256152</v>
          </cell>
          <cell r="AP21">
            <v>-866465</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G22">
            <v>20</v>
          </cell>
          <cell r="H22" t="str">
            <v>YTD %Var</v>
          </cell>
          <cell r="I22">
            <v>0</v>
          </cell>
          <cell r="J22">
            <v>0</v>
          </cell>
          <cell r="K22">
            <v>0</v>
          </cell>
          <cell r="L22">
            <v>-1.0156456184236193E-2</v>
          </cell>
          <cell r="M22">
            <v>1.08374142617335E-2</v>
          </cell>
          <cell r="N22">
            <v>-5.4580086060842317E-2</v>
          </cell>
          <cell r="O22">
            <v>-2.0556685346745176E-2</v>
          </cell>
          <cell r="P22">
            <v>-5.3926090908193759E-2</v>
          </cell>
          <cell r="Q22">
            <v>-5.9765919231692707E-2</v>
          </cell>
          <cell r="R22">
            <v>-6.8171651228989008E-2</v>
          </cell>
          <cell r="S22">
            <v>-6.734849032066198E-2</v>
          </cell>
          <cell r="T22">
            <v>-6.8712229578146614E-2</v>
          </cell>
          <cell r="U22">
            <v>-6.7196646987272846E-2</v>
          </cell>
          <cell r="V22">
            <v>-6.008679305093205E-2</v>
          </cell>
          <cell r="W22">
            <v>-9.6489109277628604E-2</v>
          </cell>
          <cell r="X22">
            <v>-1.6017850197022229E-2</v>
          </cell>
          <cell r="Y22">
            <v>-6.6323226529524673E-2</v>
          </cell>
          <cell r="Z22">
            <v>2.4399534098462877E-2</v>
          </cell>
          <cell r="AA22">
            <v>1.0288185979660741E-2</v>
          </cell>
          <cell r="AB22">
            <v>-1.1219682133049165E-2</v>
          </cell>
          <cell r="AC22">
            <v>-3.8573784636490124E-2</v>
          </cell>
          <cell r="AD22">
            <v>-2.7941751005269761E-2</v>
          </cell>
          <cell r="AE22">
            <v>-4.4257332963907603E-2</v>
          </cell>
          <cell r="AF22">
            <v>-3.8466729392156958E-2</v>
          </cell>
          <cell r="AG22">
            <v>-2.6157493356445627E-2</v>
          </cell>
          <cell r="AH22">
            <v>-4.7526246911713733E-2</v>
          </cell>
          <cell r="AI22">
            <v>-6.6528622752712027E-2</v>
          </cell>
          <cell r="AJ22">
            <v>-0.10275406181574361</v>
          </cell>
          <cell r="AK22">
            <v>-6.809866550082104E-2</v>
          </cell>
          <cell r="AL22">
            <v>-7.9491613547153325E-2</v>
          </cell>
          <cell r="AM22">
            <v>-1.8561036956969416E-2</v>
          </cell>
          <cell r="AN22">
            <v>-4.8526031079339914E-2</v>
          </cell>
          <cell r="AO22">
            <v>-5.1368834900550192E-3</v>
          </cell>
          <cell r="AP22">
            <v>-1.5062631526292133E-2</v>
          </cell>
          <cell r="AQ22" t="e">
            <v>#DIV/0!</v>
          </cell>
          <cell r="AR22" t="e">
            <v>#DIV/0!</v>
          </cell>
          <cell r="AS22" t="e">
            <v>#DIV/0!</v>
          </cell>
          <cell r="AT22" t="e">
            <v>#DIV/0!</v>
          </cell>
          <cell r="AU22" t="e">
            <v>#DIV/0!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G23">
            <v>21</v>
          </cell>
          <cell r="H23" t="str">
            <v>4 Month Actual</v>
          </cell>
          <cell r="I23">
            <v>0</v>
          </cell>
          <cell r="J23">
            <v>0</v>
          </cell>
          <cell r="K23">
            <v>0</v>
          </cell>
          <cell r="L23">
            <v>6901110</v>
          </cell>
          <cell r="M23">
            <v>16816830</v>
          </cell>
          <cell r="N23">
            <v>23646252</v>
          </cell>
          <cell r="O23">
            <v>31399030</v>
          </cell>
          <cell r="P23">
            <v>33266857</v>
          </cell>
          <cell r="Q23">
            <v>30707090</v>
          </cell>
          <cell r="R23">
            <v>30851673</v>
          </cell>
          <cell r="S23">
            <v>30319164</v>
          </cell>
          <cell r="T23">
            <v>28671848</v>
          </cell>
          <cell r="U23">
            <v>28718512</v>
          </cell>
          <cell r="V23">
            <v>30671093</v>
          </cell>
          <cell r="W23">
            <v>30339054</v>
          </cell>
          <cell r="X23">
            <v>31317639</v>
          </cell>
          <cell r="Y23">
            <v>31913265</v>
          </cell>
          <cell r="Z23">
            <v>32803677</v>
          </cell>
          <cell r="AA23">
            <v>35251558</v>
          </cell>
          <cell r="AB23">
            <v>34264702</v>
          </cell>
          <cell r="AC23">
            <v>33583764</v>
          </cell>
          <cell r="AD23">
            <v>31908677</v>
          </cell>
          <cell r="AE23">
            <v>29691059</v>
          </cell>
          <cell r="AF23">
            <v>30927259</v>
          </cell>
          <cell r="AG23">
            <v>32424597</v>
          </cell>
          <cell r="AH23">
            <v>33311184</v>
          </cell>
          <cell r="AI23">
            <v>33906027</v>
          </cell>
          <cell r="AJ23">
            <v>32690204</v>
          </cell>
          <cell r="AK23">
            <v>31969354</v>
          </cell>
          <cell r="AL23">
            <v>30609198</v>
          </cell>
          <cell r="AM23">
            <v>32849843</v>
          </cell>
          <cell r="AN23">
            <v>32835812</v>
          </cell>
          <cell r="AO23">
            <v>34489944</v>
          </cell>
          <cell r="AP23">
            <v>33709740</v>
          </cell>
          <cell r="AQ23">
            <v>23755759</v>
          </cell>
          <cell r="AR23">
            <v>16636063</v>
          </cell>
          <cell r="AS23">
            <v>6888138</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G24">
            <v>22</v>
          </cell>
          <cell r="H24" t="str">
            <v>4 Month Target (Budget)</v>
          </cell>
          <cell r="I24">
            <v>0</v>
          </cell>
          <cell r="J24">
            <v>0</v>
          </cell>
          <cell r="K24">
            <v>0</v>
          </cell>
          <cell r="L24">
            <v>6971920</v>
          </cell>
          <cell r="M24">
            <v>16672498</v>
          </cell>
          <cell r="N24">
            <v>25034073</v>
          </cell>
          <cell r="O24">
            <v>33081621</v>
          </cell>
          <cell r="P24">
            <v>36501861</v>
          </cell>
          <cell r="Q24">
            <v>34885151</v>
          </cell>
          <cell r="R24">
            <v>34463741</v>
          </cell>
          <cell r="S24">
            <v>34106232</v>
          </cell>
          <cell r="T24">
            <v>31458044</v>
          </cell>
          <cell r="U24">
            <v>31189957</v>
          </cell>
          <cell r="V24">
            <v>32128764</v>
          </cell>
          <cell r="W24">
            <v>35600132</v>
          </cell>
          <cell r="X24">
            <v>36088226</v>
          </cell>
          <cell r="Y24">
            <v>36656295</v>
          </cell>
          <cell r="Z24">
            <v>36402748</v>
          </cell>
          <cell r="AA24">
            <v>35126795</v>
          </cell>
          <cell r="AB24">
            <v>34983278</v>
          </cell>
          <cell r="AC24">
            <v>35171076</v>
          </cell>
          <cell r="AD24">
            <v>34555343</v>
          </cell>
          <cell r="AE24">
            <v>32864745</v>
          </cell>
          <cell r="AF24">
            <v>33051763</v>
          </cell>
          <cell r="AG24">
            <v>32576217</v>
          </cell>
          <cell r="AH24">
            <v>35932712</v>
          </cell>
          <cell r="AI24">
            <v>37949255</v>
          </cell>
          <cell r="AJ24">
            <v>37624381</v>
          </cell>
          <cell r="AK24">
            <v>37731326</v>
          </cell>
          <cell r="AL24">
            <v>34907963</v>
          </cell>
          <cell r="AM24">
            <v>33588092</v>
          </cell>
          <cell r="AN24">
            <v>33498597</v>
          </cell>
          <cell r="AO24">
            <v>33213041</v>
          </cell>
          <cell r="AP24">
            <v>32363647</v>
          </cell>
          <cell r="AQ24">
            <v>23472119</v>
          </cell>
          <cell r="AR24">
            <v>15610921</v>
          </cell>
          <cell r="AS24">
            <v>7693430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G25">
            <v>23</v>
          </cell>
          <cell r="H25" t="str">
            <v>4 Month Target (Budget) Var</v>
          </cell>
          <cell r="I25">
            <v>0</v>
          </cell>
          <cell r="J25">
            <v>0</v>
          </cell>
          <cell r="K25">
            <v>0</v>
          </cell>
          <cell r="L25">
            <v>-70810</v>
          </cell>
          <cell r="M25">
            <v>144332</v>
          </cell>
          <cell r="N25">
            <v>-1387821</v>
          </cell>
          <cell r="O25">
            <v>-1682591</v>
          </cell>
          <cell r="P25">
            <v>-3235004</v>
          </cell>
          <cell r="Q25">
            <v>-4178061</v>
          </cell>
          <cell r="R25">
            <v>-3612068</v>
          </cell>
          <cell r="S25">
            <v>-3787068</v>
          </cell>
          <cell r="T25">
            <v>-2786196</v>
          </cell>
          <cell r="U25">
            <v>-2471445</v>
          </cell>
          <cell r="V25">
            <v>-1457671</v>
          </cell>
          <cell r="W25">
            <v>-5261078</v>
          </cell>
          <cell r="X25">
            <v>-4770587</v>
          </cell>
          <cell r="Y25">
            <v>-4743030</v>
          </cell>
          <cell r="Z25">
            <v>-3599071</v>
          </cell>
          <cell r="AA25">
            <v>124763</v>
          </cell>
          <cell r="AB25">
            <v>-718576</v>
          </cell>
          <cell r="AC25">
            <v>-1587312</v>
          </cell>
          <cell r="AD25">
            <v>-2646666</v>
          </cell>
          <cell r="AE25">
            <v>-3173686</v>
          </cell>
          <cell r="AF25">
            <v>-2124504</v>
          </cell>
          <cell r="AG25">
            <v>-151620</v>
          </cell>
          <cell r="AH25">
            <v>-2621528</v>
          </cell>
          <cell r="AI25">
            <v>-4043228</v>
          </cell>
          <cell r="AJ25">
            <v>-4934177</v>
          </cell>
          <cell r="AK25">
            <v>-5761972</v>
          </cell>
          <cell r="AL25">
            <v>-4298765</v>
          </cell>
          <cell r="AM25">
            <v>-738249</v>
          </cell>
          <cell r="AN25">
            <v>-662785</v>
          </cell>
          <cell r="AO25">
            <v>1276903</v>
          </cell>
          <cell r="AP25">
            <v>1346093</v>
          </cell>
          <cell r="AQ25">
            <v>283640</v>
          </cell>
          <cell r="AR25">
            <v>1025142</v>
          </cell>
          <cell r="AS25">
            <v>-805292</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G26">
            <v>24</v>
          </cell>
          <cell r="H26" t="str">
            <v>4 Month Target (Budget) % Var</v>
          </cell>
          <cell r="I26">
            <v>0</v>
          </cell>
          <cell r="J26">
            <v>0</v>
          </cell>
          <cell r="K26">
            <v>0</v>
          </cell>
          <cell r="L26">
            <v>-1.0156456184236193E-2</v>
          </cell>
          <cell r="M26">
            <v>8.6568911269325095E-3</v>
          </cell>
          <cell r="N26">
            <v>-5.543728341768437E-2</v>
          </cell>
          <cell r="O26">
            <v>-5.0861806318378416E-2</v>
          </cell>
          <cell r="P26">
            <v>-8.8625727877271798E-2</v>
          </cell>
          <cell r="Q26">
            <v>-0.11976617214585082</v>
          </cell>
          <cell r="R26">
            <v>-0.10480777464059982</v>
          </cell>
          <cell r="S26">
            <v>-0.11103741978885266</v>
          </cell>
          <cell r="T26">
            <v>-8.8568634464367843E-2</v>
          </cell>
          <cell r="U26">
            <v>-7.9238486927057969E-2</v>
          </cell>
          <cell r="V26">
            <v>-4.536965692175398E-2</v>
          </cell>
          <cell r="W26">
            <v>-0.1477825419299007</v>
          </cell>
          <cell r="X26">
            <v>-0.13219233885312068</v>
          </cell>
          <cell r="Y26">
            <v>-0.12939196391779365</v>
          </cell>
          <cell r="Z26">
            <v>-9.8868112923782572E-2</v>
          </cell>
          <cell r="AA26">
            <v>3.5517900224031258E-3</v>
          </cell>
          <cell r="AB26">
            <v>-2.0540556548188538E-2</v>
          </cell>
          <cell r="AC26">
            <v>-4.5131175401059667E-2</v>
          </cell>
          <cell r="AD26">
            <v>-7.6592091706339016E-2</v>
          </cell>
          <cell r="AE26">
            <v>-9.6568100558820702E-2</v>
          </cell>
          <cell r="AF26">
            <v>-6.4278084046530293E-2</v>
          </cell>
          <cell r="AG26">
            <v>-4.6543157543431149E-3</v>
          </cell>
          <cell r="AH26">
            <v>-7.2956586188095127E-2</v>
          </cell>
          <cell r="AI26">
            <v>-0.10654301382201047</v>
          </cell>
          <cell r="AJ26">
            <v>-0.1311430744867271</v>
          </cell>
          <cell r="AK26">
            <v>-0.15271056204067676</v>
          </cell>
          <cell r="AL26">
            <v>-0.12314568455340691</v>
          </cell>
          <cell r="AM26">
            <v>-2.197948606309641E-2</v>
          </cell>
          <cell r="AN26">
            <v>-1.9785455492359875E-2</v>
          </cell>
          <cell r="AO26">
            <v>3.8445832165744778E-2</v>
          </cell>
          <cell r="AP26">
            <v>4.1592747566428466E-2</v>
          </cell>
          <cell r="AQ26">
            <v>1.2084124147461931E-2</v>
          </cell>
          <cell r="AR26">
            <v>6.5668258778581998E-2</v>
          </cell>
          <cell r="AS26">
            <v>-0.10467268825478362</v>
          </cell>
          <cell r="AT26" t="e">
            <v>#DIV/0!</v>
          </cell>
          <cell r="AU26" t="e">
            <v>#DIV/0!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G27">
            <v>25</v>
          </cell>
          <cell r="H27" t="str">
            <v>Actual</v>
          </cell>
          <cell r="I27">
            <v>0</v>
          </cell>
          <cell r="J27">
            <v>0</v>
          </cell>
          <cell r="K27">
            <v>0</v>
          </cell>
          <cell r="L27">
            <v>3614147</v>
          </cell>
          <cell r="M27">
            <v>3436616</v>
          </cell>
          <cell r="N27">
            <v>3630778</v>
          </cell>
          <cell r="O27">
            <v>3554791</v>
          </cell>
          <cell r="P27">
            <v>4764143</v>
          </cell>
          <cell r="Q27">
            <v>3599843</v>
          </cell>
          <cell r="R27">
            <v>3581907</v>
          </cell>
          <cell r="S27">
            <v>3602355</v>
          </cell>
          <cell r="T27">
            <v>3440017</v>
          </cell>
          <cell r="U27">
            <v>3456893</v>
          </cell>
          <cell r="V27">
            <v>4685671</v>
          </cell>
          <cell r="W27">
            <v>3430928</v>
          </cell>
          <cell r="X27">
            <v>3710005</v>
          </cell>
          <cell r="Y27">
            <v>3463255</v>
          </cell>
          <cell r="Z27">
            <v>3540558</v>
          </cell>
          <cell r="AA27">
            <v>4750701</v>
          </cell>
          <cell r="AB27">
            <v>3557409</v>
          </cell>
          <cell r="AC27">
            <v>3654016</v>
          </cell>
          <cell r="AD27">
            <v>3532246</v>
          </cell>
          <cell r="AE27">
            <v>3513835</v>
          </cell>
          <cell r="AF27">
            <v>3593183</v>
          </cell>
          <cell r="AG27">
            <v>3642981</v>
          </cell>
          <cell r="AH27">
            <v>4541665</v>
          </cell>
          <cell r="AI27">
            <v>3557822</v>
          </cell>
          <cell r="AJ27">
            <v>3694916</v>
          </cell>
          <cell r="AK27">
            <v>3679731</v>
          </cell>
          <cell r="AL27">
            <v>3573197</v>
          </cell>
          <cell r="AM27">
            <v>4763646</v>
          </cell>
          <cell r="AN27">
            <v>3676496</v>
          </cell>
          <cell r="AO27">
            <v>3596973</v>
          </cell>
          <cell r="AP27">
            <v>3501550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G28">
            <v>26</v>
          </cell>
          <cell r="H28" t="str">
            <v>Target (Budget)</v>
          </cell>
          <cell r="I28">
            <v>0</v>
          </cell>
          <cell r="J28">
            <v>0</v>
          </cell>
          <cell r="K28">
            <v>0</v>
          </cell>
          <cell r="L28">
            <v>3576835</v>
          </cell>
          <cell r="M28">
            <v>3510392</v>
          </cell>
          <cell r="N28">
            <v>3654660</v>
          </cell>
          <cell r="O28">
            <v>3585555</v>
          </cell>
          <cell r="P28">
            <v>4776908</v>
          </cell>
          <cell r="Q28">
            <v>3588590</v>
          </cell>
          <cell r="R28">
            <v>3607041</v>
          </cell>
          <cell r="S28">
            <v>3568149</v>
          </cell>
          <cell r="T28">
            <v>3607695</v>
          </cell>
          <cell r="U28">
            <v>3560161</v>
          </cell>
          <cell r="V28">
            <v>4733390</v>
          </cell>
          <cell r="W28">
            <v>3612189</v>
          </cell>
          <cell r="X28">
            <v>3672205</v>
          </cell>
          <cell r="Y28">
            <v>3645614</v>
          </cell>
          <cell r="Z28">
            <v>3682330</v>
          </cell>
          <cell r="AA28">
            <v>4611791</v>
          </cell>
          <cell r="AB28">
            <v>3795371</v>
          </cell>
          <cell r="AC28">
            <v>3722775</v>
          </cell>
          <cell r="AD28">
            <v>3665924</v>
          </cell>
          <cell r="AE28">
            <v>3676395</v>
          </cell>
          <cell r="AF28">
            <v>3657131</v>
          </cell>
          <cell r="AG28">
            <v>3644857</v>
          </cell>
          <cell r="AH28">
            <v>4648942</v>
          </cell>
          <cell r="AI28">
            <v>3672736</v>
          </cell>
          <cell r="AJ28">
            <v>3715320</v>
          </cell>
          <cell r="AK28">
            <v>3703100</v>
          </cell>
          <cell r="AL28">
            <v>3673233</v>
          </cell>
          <cell r="AM28">
            <v>4453654</v>
          </cell>
          <cell r="AN28">
            <v>3619014</v>
          </cell>
          <cell r="AO28">
            <v>3569621</v>
          </cell>
          <cell r="AP28">
            <v>3603974</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G29">
            <v>27</v>
          </cell>
          <cell r="H29" t="str">
            <v>Target (Budget) Variance</v>
          </cell>
          <cell r="I29">
            <v>0</v>
          </cell>
          <cell r="J29">
            <v>0</v>
          </cell>
          <cell r="K29">
            <v>0</v>
          </cell>
          <cell r="L29">
            <v>37312</v>
          </cell>
          <cell r="M29">
            <v>-73776</v>
          </cell>
          <cell r="N29">
            <v>-23882</v>
          </cell>
          <cell r="O29">
            <v>-30764</v>
          </cell>
          <cell r="P29">
            <v>-12765</v>
          </cell>
          <cell r="Q29">
            <v>11253</v>
          </cell>
          <cell r="R29">
            <v>-25134</v>
          </cell>
          <cell r="S29">
            <v>34206</v>
          </cell>
          <cell r="T29">
            <v>-167678</v>
          </cell>
          <cell r="U29">
            <v>-103268</v>
          </cell>
          <cell r="V29">
            <v>-47719</v>
          </cell>
          <cell r="W29">
            <v>-181261</v>
          </cell>
          <cell r="X29">
            <v>37800</v>
          </cell>
          <cell r="Y29">
            <v>-182359</v>
          </cell>
          <cell r="Z29">
            <v>-141772</v>
          </cell>
          <cell r="AA29">
            <v>138910</v>
          </cell>
          <cell r="AB29">
            <v>-237962</v>
          </cell>
          <cell r="AC29">
            <v>-68759</v>
          </cell>
          <cell r="AD29">
            <v>-133678</v>
          </cell>
          <cell r="AE29">
            <v>-162560</v>
          </cell>
          <cell r="AF29">
            <v>-63948</v>
          </cell>
          <cell r="AG29">
            <v>-1876</v>
          </cell>
          <cell r="AH29">
            <v>-107277</v>
          </cell>
          <cell r="AI29">
            <v>-114914</v>
          </cell>
          <cell r="AJ29">
            <v>-20404</v>
          </cell>
          <cell r="AK29">
            <v>-23369</v>
          </cell>
          <cell r="AL29">
            <v>-100036</v>
          </cell>
          <cell r="AM29">
            <v>309992</v>
          </cell>
          <cell r="AN29">
            <v>57482</v>
          </cell>
          <cell r="AO29">
            <v>27352</v>
          </cell>
          <cell r="AP29">
            <v>-102424</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G30">
            <v>28</v>
          </cell>
          <cell r="H30" t="str">
            <v>Target (Budget) %Var</v>
          </cell>
          <cell r="I30">
            <v>0</v>
          </cell>
          <cell r="J30">
            <v>0</v>
          </cell>
          <cell r="K30">
            <v>0</v>
          </cell>
          <cell r="L30">
            <v>1.0431568691315087E-2</v>
          </cell>
          <cell r="M30">
            <v>-2.1016456281805564E-2</v>
          </cell>
          <cell r="N30">
            <v>-6.5346708038504266E-3</v>
          </cell>
          <cell r="O30">
            <v>-8.5799827362848993E-3</v>
          </cell>
          <cell r="P30">
            <v>-2.6722306563157589E-3</v>
          </cell>
          <cell r="Q30">
            <v>3.1357719884411426E-3</v>
          </cell>
          <cell r="R30">
            <v>-6.9680383450035641E-3</v>
          </cell>
          <cell r="S30">
            <v>9.5864830756787339E-3</v>
          </cell>
          <cell r="T30">
            <v>-4.6477875762779279E-2</v>
          </cell>
          <cell r="U30">
            <v>-2.9006553355311739E-2</v>
          </cell>
          <cell r="V30">
            <v>-1.0081358180923186E-2</v>
          </cell>
          <cell r="W30">
            <v>-5.018037539010279E-2</v>
          </cell>
          <cell r="X30">
            <v>1.0293542980307472E-2</v>
          </cell>
          <cell r="Y30">
            <v>-5.0021477863536841E-2</v>
          </cell>
          <cell r="Z30">
            <v>-3.850062324669435E-2</v>
          </cell>
          <cell r="AA30">
            <v>3.0120619082694772E-2</v>
          </cell>
          <cell r="AB30">
            <v>-6.2697954956182148E-2</v>
          </cell>
          <cell r="AC30">
            <v>-1.8469824257442365E-2</v>
          </cell>
          <cell r="AD30">
            <v>-3.6465022188130469E-2</v>
          </cell>
          <cell r="AE30">
            <v>-4.4217229106230424E-2</v>
          </cell>
          <cell r="AF30">
            <v>-1.7485837942365204E-2</v>
          </cell>
          <cell r="AG30">
            <v>-5.14697833138584E-4</v>
          </cell>
          <cell r="AH30">
            <v>-2.3075572893789597E-2</v>
          </cell>
          <cell r="AI30">
            <v>-3.1288390997882776E-2</v>
          </cell>
          <cell r="AJ30">
            <v>-5.4918553448962673E-3</v>
          </cell>
          <cell r="AK30">
            <v>-6.3106586373578889E-3</v>
          </cell>
          <cell r="AL30">
            <v>-2.7233774715625172E-2</v>
          </cell>
          <cell r="AM30">
            <v>6.9603970133288312E-2</v>
          </cell>
          <cell r="AN30">
            <v>1.5883331758318704E-2</v>
          </cell>
          <cell r="AO30">
            <v>7.6624381131778418E-3</v>
          </cell>
          <cell r="AP30">
            <v>-2.8419738877139514E-2</v>
          </cell>
          <cell r="AQ30" t="e">
            <v>#DIV/0!</v>
          </cell>
          <cell r="AR30" t="e">
            <v>#DIV/0!</v>
          </cell>
          <cell r="AS30" t="e">
            <v>#DIV/0!</v>
          </cell>
          <cell r="AT30" t="e">
            <v>#DIV/0!</v>
          </cell>
          <cell r="AU30" t="e">
            <v>#DIV/0!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G31">
            <v>29</v>
          </cell>
          <cell r="H31" t="str">
            <v>YTD Actual</v>
          </cell>
          <cell r="I31">
            <v>0</v>
          </cell>
          <cell r="J31">
            <v>0</v>
          </cell>
          <cell r="K31">
            <v>0</v>
          </cell>
          <cell r="L31">
            <v>3614147</v>
          </cell>
          <cell r="M31">
            <v>7050764</v>
          </cell>
          <cell r="N31">
            <v>10681541</v>
          </cell>
          <cell r="O31">
            <v>14256332</v>
          </cell>
          <cell r="P31">
            <v>19000476</v>
          </cell>
          <cell r="Q31">
            <v>22600318</v>
          </cell>
          <cell r="R31">
            <v>26182225</v>
          </cell>
          <cell r="S31">
            <v>29784580</v>
          </cell>
          <cell r="T31">
            <v>33224598</v>
          </cell>
          <cell r="U31">
            <v>36681490</v>
          </cell>
          <cell r="V31">
            <v>41367161</v>
          </cell>
          <cell r="W31">
            <v>44798089</v>
          </cell>
          <cell r="X31">
            <v>3710005</v>
          </cell>
          <cell r="Y31">
            <v>7068200</v>
          </cell>
          <cell r="Z31">
            <v>10608758</v>
          </cell>
          <cell r="AA31">
            <v>15359459</v>
          </cell>
          <cell r="AB31">
            <v>18916868</v>
          </cell>
          <cell r="AC31">
            <v>22570884</v>
          </cell>
          <cell r="AD31">
            <v>26232007</v>
          </cell>
          <cell r="AE31">
            <v>29596565</v>
          </cell>
          <cell r="AF31">
            <v>33189748</v>
          </cell>
          <cell r="AG31">
            <v>36832729</v>
          </cell>
          <cell r="AH31">
            <v>41374395</v>
          </cell>
          <cell r="AI31">
            <v>44932217</v>
          </cell>
          <cell r="AJ31">
            <v>3694916</v>
          </cell>
          <cell r="AK31">
            <v>7271992</v>
          </cell>
          <cell r="AL31">
            <v>10845189</v>
          </cell>
          <cell r="AM31">
            <v>15608835</v>
          </cell>
          <cell r="AN31">
            <v>19285332</v>
          </cell>
          <cell r="AO31">
            <v>22882305</v>
          </cell>
          <cell r="AP31">
            <v>26500543</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G32">
            <v>30</v>
          </cell>
          <cell r="H32" t="str">
            <v>YTD Target (Budget)</v>
          </cell>
          <cell r="I32">
            <v>0</v>
          </cell>
          <cell r="J32">
            <v>0</v>
          </cell>
          <cell r="K32">
            <v>0</v>
          </cell>
          <cell r="L32">
            <v>3576835</v>
          </cell>
          <cell r="M32">
            <v>9649353</v>
          </cell>
          <cell r="N32">
            <v>10822160</v>
          </cell>
          <cell r="O32">
            <v>14434601</v>
          </cell>
          <cell r="P32">
            <v>19218789</v>
          </cell>
          <cell r="Q32">
            <v>22805201</v>
          </cell>
          <cell r="R32">
            <v>26412242</v>
          </cell>
          <cell r="S32">
            <v>29980391</v>
          </cell>
          <cell r="T32">
            <v>33588087</v>
          </cell>
          <cell r="U32">
            <v>37148247</v>
          </cell>
          <cell r="V32">
            <v>41881637</v>
          </cell>
          <cell r="W32">
            <v>45493827</v>
          </cell>
          <cell r="X32">
            <v>3672205</v>
          </cell>
          <cell r="Y32">
            <v>7321331</v>
          </cell>
          <cell r="Z32">
            <v>11005313</v>
          </cell>
          <cell r="AA32">
            <v>15616015</v>
          </cell>
          <cell r="AB32">
            <v>19329423</v>
          </cell>
          <cell r="AC32">
            <v>23068141</v>
          </cell>
          <cell r="AD32">
            <v>26734065</v>
          </cell>
          <cell r="AE32">
            <v>30411000</v>
          </cell>
          <cell r="AF32">
            <v>34067591</v>
          </cell>
          <cell r="AG32">
            <v>37706872</v>
          </cell>
          <cell r="AH32">
            <v>42355813</v>
          </cell>
          <cell r="AI32">
            <v>46028550</v>
          </cell>
          <cell r="AJ32">
            <v>3715320</v>
          </cell>
          <cell r="AK32">
            <v>7368622</v>
          </cell>
          <cell r="AL32">
            <v>11020945</v>
          </cell>
          <cell r="AM32">
            <v>15473544</v>
          </cell>
          <cell r="AN32">
            <v>19092558</v>
          </cell>
          <cell r="AO32">
            <v>22686372</v>
          </cell>
          <cell r="AP32">
            <v>26252151</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G33">
            <v>31</v>
          </cell>
          <cell r="H33" t="str">
            <v>YTD Target (Budget) Var</v>
          </cell>
          <cell r="I33">
            <v>0</v>
          </cell>
          <cell r="J33">
            <v>0</v>
          </cell>
          <cell r="K33">
            <v>0</v>
          </cell>
          <cell r="L33">
            <v>37312</v>
          </cell>
          <cell r="M33">
            <v>-2598589</v>
          </cell>
          <cell r="N33">
            <v>-140619</v>
          </cell>
          <cell r="O33">
            <v>-178269</v>
          </cell>
          <cell r="P33">
            <v>-218313</v>
          </cell>
          <cell r="Q33">
            <v>-204883</v>
          </cell>
          <cell r="R33">
            <v>-230017</v>
          </cell>
          <cell r="S33">
            <v>-195811</v>
          </cell>
          <cell r="T33">
            <v>-363489</v>
          </cell>
          <cell r="U33">
            <v>-466757</v>
          </cell>
          <cell r="V33">
            <v>-514476</v>
          </cell>
          <cell r="W33">
            <v>-695738</v>
          </cell>
          <cell r="X33">
            <v>37800</v>
          </cell>
          <cell r="Y33">
            <v>-253131</v>
          </cell>
          <cell r="Z33">
            <v>-396555</v>
          </cell>
          <cell r="AA33">
            <v>-256556</v>
          </cell>
          <cell r="AB33">
            <v>-412555</v>
          </cell>
          <cell r="AC33">
            <v>-497257</v>
          </cell>
          <cell r="AD33">
            <v>-502058</v>
          </cell>
          <cell r="AE33">
            <v>-814435</v>
          </cell>
          <cell r="AF33">
            <v>-877843</v>
          </cell>
          <cell r="AG33">
            <v>-874143</v>
          </cell>
          <cell r="AH33">
            <v>-981418</v>
          </cell>
          <cell r="AI33">
            <v>-1096333</v>
          </cell>
          <cell r="AJ33">
            <v>-20404</v>
          </cell>
          <cell r="AK33">
            <v>-96630</v>
          </cell>
          <cell r="AL33">
            <v>-175756</v>
          </cell>
          <cell r="AM33">
            <v>135291</v>
          </cell>
          <cell r="AN33">
            <v>192774</v>
          </cell>
          <cell r="AO33">
            <v>195933</v>
          </cell>
          <cell r="AP33">
            <v>248392</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G34">
            <v>32</v>
          </cell>
          <cell r="H34" t="str">
            <v>YTD %Var</v>
          </cell>
          <cell r="I34">
            <v>0</v>
          </cell>
          <cell r="J34">
            <v>0</v>
          </cell>
          <cell r="K34">
            <v>0</v>
          </cell>
          <cell r="L34">
            <v>1.0431568691315087E-2</v>
          </cell>
          <cell r="M34">
            <v>-0.26930188998163918</v>
          </cell>
          <cell r="N34">
            <v>-1.2993616801082224E-2</v>
          </cell>
          <cell r="O34">
            <v>-1.2350116224203218E-2</v>
          </cell>
          <cell r="P34">
            <v>-1.1359352558582125E-2</v>
          </cell>
          <cell r="Q34">
            <v>-8.9840471039917599E-3</v>
          </cell>
          <cell r="R34">
            <v>-8.7087268093333382E-3</v>
          </cell>
          <cell r="S34">
            <v>-6.5313024102987846E-3</v>
          </cell>
          <cell r="T34">
            <v>-1.0821961965264649E-2</v>
          </cell>
          <cell r="U34">
            <v>-1.256471133079308E-2</v>
          </cell>
          <cell r="V34">
            <v>-1.2284047063394393E-2</v>
          </cell>
          <cell r="W34">
            <v>-1.5293019863991657E-2</v>
          </cell>
          <cell r="X34">
            <v>1.0293542980307472E-2</v>
          </cell>
          <cell r="Y34">
            <v>-3.457445101170812E-2</v>
          </cell>
          <cell r="Z34">
            <v>-3.6033050582023426E-2</v>
          </cell>
          <cell r="AA34">
            <v>-1.6429031350187612E-2</v>
          </cell>
          <cell r="AB34">
            <v>-2.1343368604432734E-2</v>
          </cell>
          <cell r="AC34">
            <v>-2.1556006615357517E-2</v>
          </cell>
          <cell r="AD34">
            <v>-1.8779710455555487E-2</v>
          </cell>
          <cell r="AE34">
            <v>-2.6780934530268651E-2</v>
          </cell>
          <cell r="AF34">
            <v>-2.5767686362091174E-2</v>
          </cell>
          <cell r="AG34">
            <v>-2.3182591226341979E-2</v>
          </cell>
          <cell r="AH34">
            <v>-2.3170798303411153E-2</v>
          </cell>
          <cell r="AI34">
            <v>-2.3818543056429109E-2</v>
          </cell>
          <cell r="AJ34">
            <v>-5.4918553448962673E-3</v>
          </cell>
          <cell r="AK34">
            <v>-1.3113713798862257E-2</v>
          </cell>
          <cell r="AL34">
            <v>-1.594745278195291E-2</v>
          </cell>
          <cell r="AM34">
            <v>8.743375144052325E-3</v>
          </cell>
          <cell r="AN34">
            <v>1.0096813638067775E-2</v>
          </cell>
          <cell r="AO34">
            <v>8.6365946921790754E-3</v>
          </cell>
          <cell r="AP34">
            <v>9.4617770559067716E-3</v>
          </cell>
          <cell r="AQ34" t="e">
            <v>#DIV/0!</v>
          </cell>
          <cell r="AR34" t="e">
            <v>#DIV/0!</v>
          </cell>
          <cell r="AS34" t="e">
            <v>#DIV/0!</v>
          </cell>
          <cell r="AT34" t="e">
            <v>#DIV/0!</v>
          </cell>
          <cell r="AU34" t="e">
            <v>#DIV/0!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G35">
            <v>33</v>
          </cell>
          <cell r="H35" t="str">
            <v>4 Month Actual</v>
          </cell>
          <cell r="I35">
            <v>0</v>
          </cell>
          <cell r="J35">
            <v>0</v>
          </cell>
          <cell r="K35">
            <v>0</v>
          </cell>
          <cell r="L35">
            <v>3614147</v>
          </cell>
          <cell r="M35">
            <v>7050763</v>
          </cell>
          <cell r="N35">
            <v>10681541</v>
          </cell>
          <cell r="O35">
            <v>14236332</v>
          </cell>
          <cell r="P35">
            <v>15386328</v>
          </cell>
          <cell r="Q35">
            <v>15549555</v>
          </cell>
          <cell r="R35">
            <v>15500684</v>
          </cell>
          <cell r="S35">
            <v>15548248</v>
          </cell>
          <cell r="T35">
            <v>14224122</v>
          </cell>
          <cell r="U35">
            <v>14081172</v>
          </cell>
          <cell r="V35">
            <v>15184936</v>
          </cell>
          <cell r="W35">
            <v>15013509</v>
          </cell>
          <cell r="X35">
            <v>15283497</v>
          </cell>
          <cell r="Y35">
            <v>15289859</v>
          </cell>
          <cell r="Z35">
            <v>14144746</v>
          </cell>
          <cell r="AA35">
            <v>15464519</v>
          </cell>
          <cell r="AB35">
            <v>15311923</v>
          </cell>
          <cell r="AC35">
            <v>15502684</v>
          </cell>
          <cell r="AD35">
            <v>15494372</v>
          </cell>
          <cell r="AE35">
            <v>14257506</v>
          </cell>
          <cell r="AF35">
            <v>14293280</v>
          </cell>
          <cell r="AG35">
            <v>14282245</v>
          </cell>
          <cell r="AH35">
            <v>15291664</v>
          </cell>
          <cell r="AI35">
            <v>15335651</v>
          </cell>
          <cell r="AJ35">
            <v>15437384</v>
          </cell>
          <cell r="AK35">
            <v>15474134</v>
          </cell>
          <cell r="AL35">
            <v>14505666</v>
          </cell>
          <cell r="AM35">
            <v>15711490</v>
          </cell>
          <cell r="AN35">
            <v>15693070</v>
          </cell>
          <cell r="AO35">
            <v>15610312</v>
          </cell>
          <cell r="AP35">
            <v>15538665</v>
          </cell>
          <cell r="AQ35">
            <v>10775019</v>
          </cell>
          <cell r="AR35">
            <v>7098523</v>
          </cell>
          <cell r="AS35">
            <v>3501550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G36">
            <v>34</v>
          </cell>
          <cell r="H36" t="str">
            <v>4 Month Target (Budget)</v>
          </cell>
          <cell r="I36">
            <v>0</v>
          </cell>
          <cell r="J36">
            <v>0</v>
          </cell>
          <cell r="K36">
            <v>0</v>
          </cell>
          <cell r="L36">
            <v>3576835</v>
          </cell>
          <cell r="M36">
            <v>7087227</v>
          </cell>
          <cell r="N36">
            <v>10741887</v>
          </cell>
          <cell r="O36">
            <v>14327442</v>
          </cell>
          <cell r="P36">
            <v>15527515</v>
          </cell>
          <cell r="Q36">
            <v>15605713</v>
          </cell>
          <cell r="R36">
            <v>15558094</v>
          </cell>
          <cell r="S36">
            <v>15540688</v>
          </cell>
          <cell r="T36">
            <v>14371475</v>
          </cell>
          <cell r="U36">
            <v>14343046</v>
          </cell>
          <cell r="V36">
            <v>15469395</v>
          </cell>
          <cell r="W36">
            <v>15513435</v>
          </cell>
          <cell r="X36">
            <v>15577945</v>
          </cell>
          <cell r="Y36">
            <v>15663398</v>
          </cell>
          <cell r="Z36">
            <v>14612338</v>
          </cell>
          <cell r="AA36">
            <v>15611940</v>
          </cell>
          <cell r="AB36">
            <v>15735106</v>
          </cell>
          <cell r="AC36">
            <v>15812267</v>
          </cell>
          <cell r="AD36">
            <v>15795861</v>
          </cell>
          <cell r="AE36">
            <v>14860465</v>
          </cell>
          <cell r="AF36">
            <v>14722225</v>
          </cell>
          <cell r="AG36">
            <v>14644307</v>
          </cell>
          <cell r="AH36">
            <v>15627325</v>
          </cell>
          <cell r="AI36">
            <v>15623666</v>
          </cell>
          <cell r="AJ36">
            <v>15681855</v>
          </cell>
          <cell r="AK36">
            <v>15740098</v>
          </cell>
          <cell r="AL36">
            <v>14764389</v>
          </cell>
          <cell r="AM36">
            <v>15545307</v>
          </cell>
          <cell r="AN36">
            <v>15449001</v>
          </cell>
          <cell r="AO36">
            <v>15315522</v>
          </cell>
          <cell r="AP36">
            <v>15246263</v>
          </cell>
          <cell r="AQ36">
            <v>10792609</v>
          </cell>
          <cell r="AR36">
            <v>7173595</v>
          </cell>
          <cell r="AS36">
            <v>3603974</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G37">
            <v>35</v>
          </cell>
          <cell r="H37" t="str">
            <v>4 Month Target (Budget) Var</v>
          </cell>
          <cell r="I37">
            <v>0</v>
          </cell>
          <cell r="J37">
            <v>0</v>
          </cell>
          <cell r="K37">
            <v>0</v>
          </cell>
          <cell r="L37">
            <v>37312</v>
          </cell>
          <cell r="M37">
            <v>-36464</v>
          </cell>
          <cell r="N37">
            <v>-60346</v>
          </cell>
          <cell r="O37">
            <v>-91110</v>
          </cell>
          <cell r="P37">
            <v>-141187</v>
          </cell>
          <cell r="Q37">
            <v>-56158</v>
          </cell>
          <cell r="R37">
            <v>-57410</v>
          </cell>
          <cell r="S37">
            <v>7560</v>
          </cell>
          <cell r="T37">
            <v>-147353</v>
          </cell>
          <cell r="U37">
            <v>-261874</v>
          </cell>
          <cell r="V37">
            <v>-284459</v>
          </cell>
          <cell r="W37">
            <v>-499926</v>
          </cell>
          <cell r="X37">
            <v>-294448</v>
          </cell>
          <cell r="Y37">
            <v>-373539</v>
          </cell>
          <cell r="Z37">
            <v>-467592</v>
          </cell>
          <cell r="AA37">
            <v>-147421</v>
          </cell>
          <cell r="AB37">
            <v>-423183</v>
          </cell>
          <cell r="AC37">
            <v>-309583</v>
          </cell>
          <cell r="AD37">
            <v>-301489</v>
          </cell>
          <cell r="AE37">
            <v>-602959</v>
          </cell>
          <cell r="AF37">
            <v>-428945</v>
          </cell>
          <cell r="AG37">
            <v>-362062</v>
          </cell>
          <cell r="AH37">
            <v>-335661</v>
          </cell>
          <cell r="AI37">
            <v>-288015</v>
          </cell>
          <cell r="AJ37">
            <v>-244471</v>
          </cell>
          <cell r="AK37">
            <v>-265964</v>
          </cell>
          <cell r="AL37">
            <v>-258723</v>
          </cell>
          <cell r="AM37">
            <v>166183</v>
          </cell>
          <cell r="AN37">
            <v>244069</v>
          </cell>
          <cell r="AO37">
            <v>294790</v>
          </cell>
          <cell r="AP37">
            <v>292402</v>
          </cell>
          <cell r="AQ37">
            <v>-17590</v>
          </cell>
          <cell r="AR37">
            <v>-75072</v>
          </cell>
          <cell r="AS37">
            <v>-102424</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G38">
            <v>36</v>
          </cell>
          <cell r="H38" t="str">
            <v>4 Month Target (Budget) % Var</v>
          </cell>
          <cell r="I38">
            <v>0</v>
          </cell>
          <cell r="J38">
            <v>0</v>
          </cell>
          <cell r="K38">
            <v>0</v>
          </cell>
          <cell r="L38">
            <v>1.0431568691315087E-2</v>
          </cell>
          <cell r="M38">
            <v>-5.1450306304567355E-3</v>
          </cell>
          <cell r="N38">
            <v>-5.6178211519074817E-3</v>
          </cell>
          <cell r="O38">
            <v>-6.3591253763232826E-3</v>
          </cell>
          <cell r="P38">
            <v>-9.0926977046874528E-3</v>
          </cell>
          <cell r="Q38">
            <v>-3.5985539398295996E-3</v>
          </cell>
          <cell r="R38">
            <v>-3.6900406952162651E-3</v>
          </cell>
          <cell r="S38">
            <v>4.8646494929954195E-4</v>
          </cell>
          <cell r="T38">
            <v>-1.0253157730852261E-2</v>
          </cell>
          <cell r="U38">
            <v>-1.8257907002459588E-2</v>
          </cell>
          <cell r="V38">
            <v>-1.8388501942060435E-2</v>
          </cell>
          <cell r="W38">
            <v>-3.2225358213703155E-2</v>
          </cell>
          <cell r="X38">
            <v>-1.8901594529958862E-2</v>
          </cell>
          <cell r="Y38">
            <v>-2.3847890476893965E-2</v>
          </cell>
          <cell r="Z38">
            <v>-3.1999807286144079E-2</v>
          </cell>
          <cell r="AA38">
            <v>-9.4428367006278522E-3</v>
          </cell>
          <cell r="AB38">
            <v>-2.689419442106078E-2</v>
          </cell>
          <cell r="AC38">
            <v>-1.9578660036539984E-2</v>
          </cell>
          <cell r="AD38">
            <v>-1.9086582238220507E-2</v>
          </cell>
          <cell r="AE38">
            <v>-4.0574706107783305E-2</v>
          </cell>
          <cell r="AF38">
            <v>-2.9135881295116735E-2</v>
          </cell>
          <cell r="AG38">
            <v>-2.4723737354044817E-2</v>
          </cell>
          <cell r="AH38">
            <v>-2.1479107908743179E-2</v>
          </cell>
          <cell r="AI38">
            <v>-1.8434533866763411E-2</v>
          </cell>
          <cell r="AJ38">
            <v>-1.55894184712204E-2</v>
          </cell>
          <cell r="AK38">
            <v>-1.6897226434041263E-2</v>
          </cell>
          <cell r="AL38">
            <v>-1.7523447804037133E-2</v>
          </cell>
          <cell r="AM38">
            <v>1.0690235966391657E-2</v>
          </cell>
          <cell r="AN38">
            <v>1.5798367803846993E-2</v>
          </cell>
          <cell r="AO38">
            <v>1.9247793186546302E-2</v>
          </cell>
          <cell r="AP38">
            <v>1.9178601339882435E-2</v>
          </cell>
          <cell r="AQ38">
            <v>-1.6298190734047716E-3</v>
          </cell>
          <cell r="AR38">
            <v>-1.0465045768544224E-2</v>
          </cell>
          <cell r="AS38">
            <v>-2.8419738877139514E-2</v>
          </cell>
          <cell r="AT38" t="e">
            <v>#DIV/0!</v>
          </cell>
          <cell r="AU38" t="e">
            <v>#DIV/0!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G39">
            <v>37</v>
          </cell>
          <cell r="H39" t="str">
            <v>Empl_Benefits</v>
          </cell>
          <cell r="I39">
            <v>0</v>
          </cell>
          <cell r="J39">
            <v>0</v>
          </cell>
          <cell r="K39">
            <v>0</v>
          </cell>
          <cell r="L39">
            <v>1365282</v>
          </cell>
          <cell r="M39">
            <v>1348529</v>
          </cell>
          <cell r="N39">
            <v>1409056</v>
          </cell>
          <cell r="O39">
            <v>1395988</v>
          </cell>
          <cell r="P39">
            <v>1896362</v>
          </cell>
          <cell r="Q39">
            <v>1415735</v>
          </cell>
          <cell r="R39">
            <v>1406065</v>
          </cell>
          <cell r="S39">
            <v>1398125</v>
          </cell>
          <cell r="T39">
            <v>1356530</v>
          </cell>
          <cell r="U39">
            <v>1362385</v>
          </cell>
          <cell r="V39">
            <v>1863920</v>
          </cell>
          <cell r="W39">
            <v>1361290</v>
          </cell>
          <cell r="X39">
            <v>1444050</v>
          </cell>
          <cell r="Y39">
            <v>1372297</v>
          </cell>
          <cell r="Z39">
            <v>1399558</v>
          </cell>
          <cell r="AA39">
            <v>1927394</v>
          </cell>
          <cell r="AB39">
            <v>1416060</v>
          </cell>
          <cell r="AC39">
            <v>1460521</v>
          </cell>
          <cell r="AD39">
            <v>1417436</v>
          </cell>
          <cell r="AE39">
            <v>1412003</v>
          </cell>
          <cell r="AF39">
            <v>1417606</v>
          </cell>
          <cell r="AG39">
            <v>1472221</v>
          </cell>
          <cell r="AH39">
            <v>1839996</v>
          </cell>
          <cell r="AI39">
            <v>1434919</v>
          </cell>
          <cell r="AJ39">
            <v>1468681</v>
          </cell>
          <cell r="AK39">
            <v>1394878</v>
          </cell>
          <cell r="AL39">
            <v>1498229</v>
          </cell>
          <cell r="AM39">
            <v>2041320</v>
          </cell>
          <cell r="AN39">
            <v>1514206</v>
          </cell>
          <cell r="AO39">
            <v>1520144</v>
          </cell>
          <cell r="AP39">
            <v>1503349</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G40">
            <v>38</v>
          </cell>
          <cell r="H40" t="str">
            <v>Total Personnel</v>
          </cell>
          <cell r="I40">
            <v>0</v>
          </cell>
          <cell r="J40">
            <v>0</v>
          </cell>
          <cell r="K40">
            <v>0</v>
          </cell>
          <cell r="L40">
            <v>4979429</v>
          </cell>
          <cell r="M40">
            <v>4785145</v>
          </cell>
          <cell r="N40">
            <v>5039834</v>
          </cell>
          <cell r="O40">
            <v>4950779</v>
          </cell>
          <cell r="P40">
            <v>6660505</v>
          </cell>
          <cell r="Q40">
            <v>5015578</v>
          </cell>
          <cell r="R40">
            <v>4987972</v>
          </cell>
          <cell r="S40">
            <v>5000480</v>
          </cell>
          <cell r="T40">
            <v>4796547</v>
          </cell>
          <cell r="U40">
            <v>4819278</v>
          </cell>
          <cell r="V40">
            <v>6549591</v>
          </cell>
          <cell r="W40">
            <v>4792218</v>
          </cell>
          <cell r="X40">
            <v>5154055</v>
          </cell>
          <cell r="Y40">
            <v>4835552</v>
          </cell>
          <cell r="Z40">
            <v>4940116</v>
          </cell>
          <cell r="AA40">
            <v>6678095</v>
          </cell>
          <cell r="AB40">
            <v>4973469</v>
          </cell>
          <cell r="AC40">
            <v>5114537</v>
          </cell>
          <cell r="AD40">
            <v>4949682</v>
          </cell>
          <cell r="AE40">
            <v>4925838</v>
          </cell>
          <cell r="AF40">
            <v>5010789</v>
          </cell>
          <cell r="AG40">
            <v>5115202</v>
          </cell>
          <cell r="AH40">
            <v>6381661</v>
          </cell>
          <cell r="AI40">
            <v>4992741</v>
          </cell>
          <cell r="AJ40">
            <v>5163597</v>
          </cell>
          <cell r="AK40">
            <v>5074609</v>
          </cell>
          <cell r="AL40">
            <v>5071426</v>
          </cell>
          <cell r="AM40">
            <v>6804966</v>
          </cell>
          <cell r="AN40">
            <v>5190702</v>
          </cell>
          <cell r="AO40">
            <v>5117117</v>
          </cell>
          <cell r="AP40">
            <v>5004899</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G41">
            <v>39</v>
          </cell>
          <cell r="H41" t="str">
            <v>Target Empl_Benefits</v>
          </cell>
          <cell r="I41">
            <v>0</v>
          </cell>
          <cell r="J41">
            <v>0</v>
          </cell>
          <cell r="K41">
            <v>0</v>
          </cell>
          <cell r="L41">
            <v>1420957</v>
          </cell>
          <cell r="M41">
            <v>1378021</v>
          </cell>
          <cell r="N41">
            <v>1439815</v>
          </cell>
          <cell r="O41">
            <v>1425270</v>
          </cell>
          <cell r="P41">
            <v>1930692</v>
          </cell>
          <cell r="Q41">
            <v>1439328</v>
          </cell>
          <cell r="R41">
            <v>1441804</v>
          </cell>
          <cell r="S41">
            <v>1424249</v>
          </cell>
          <cell r="T41">
            <v>1443355</v>
          </cell>
          <cell r="U41">
            <v>1420667</v>
          </cell>
          <cell r="V41">
            <v>1921053</v>
          </cell>
          <cell r="W41">
            <v>1441386</v>
          </cell>
          <cell r="X41">
            <v>1420362</v>
          </cell>
          <cell r="Y41">
            <v>1677551</v>
          </cell>
          <cell r="Z41">
            <v>1461815</v>
          </cell>
          <cell r="AA41">
            <v>1899422</v>
          </cell>
          <cell r="AB41">
            <v>1486697</v>
          </cell>
          <cell r="AC41">
            <v>1478219</v>
          </cell>
          <cell r="AD41">
            <v>1477960</v>
          </cell>
          <cell r="AE41">
            <v>1472326</v>
          </cell>
          <cell r="AF41">
            <v>1470492</v>
          </cell>
          <cell r="AG41">
            <v>1467706</v>
          </cell>
          <cell r="AH41">
            <v>1904259</v>
          </cell>
          <cell r="AI41">
            <v>1479827</v>
          </cell>
          <cell r="AJ41">
            <v>1459542</v>
          </cell>
          <cell r="AK41">
            <v>1449713</v>
          </cell>
          <cell r="AL41">
            <v>1527504</v>
          </cell>
          <cell r="AM41">
            <v>1951043</v>
          </cell>
          <cell r="AN41">
            <v>1520626</v>
          </cell>
          <cell r="AO41">
            <v>1518640</v>
          </cell>
          <cell r="AP41">
            <v>1519318</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G42">
            <v>40</v>
          </cell>
          <cell r="H42" t="str">
            <v>Target Total Personnel</v>
          </cell>
          <cell r="I42">
            <v>0</v>
          </cell>
          <cell r="J42">
            <v>0</v>
          </cell>
          <cell r="K42">
            <v>0</v>
          </cell>
          <cell r="L42">
            <v>4997792</v>
          </cell>
          <cell r="M42">
            <v>4888413</v>
          </cell>
          <cell r="N42">
            <v>5094475</v>
          </cell>
          <cell r="O42">
            <v>5010825</v>
          </cell>
          <cell r="P42">
            <v>6707600</v>
          </cell>
          <cell r="Q42">
            <v>5027918</v>
          </cell>
          <cell r="R42">
            <v>5048845</v>
          </cell>
          <cell r="S42">
            <v>4992398</v>
          </cell>
          <cell r="T42">
            <v>5051050</v>
          </cell>
          <cell r="U42">
            <v>4980828</v>
          </cell>
          <cell r="V42">
            <v>6654443</v>
          </cell>
          <cell r="W42">
            <v>5053575</v>
          </cell>
          <cell r="X42">
            <v>5092567</v>
          </cell>
          <cell r="Y42">
            <v>5323165</v>
          </cell>
          <cell r="Z42">
            <v>5144145</v>
          </cell>
          <cell r="AA42">
            <v>6511213</v>
          </cell>
          <cell r="AB42">
            <v>5282068</v>
          </cell>
          <cell r="AC42">
            <v>5200994</v>
          </cell>
          <cell r="AD42">
            <v>5143884</v>
          </cell>
          <cell r="AE42">
            <v>5148721</v>
          </cell>
          <cell r="AF42">
            <v>5127623</v>
          </cell>
          <cell r="AG42">
            <v>5112563</v>
          </cell>
          <cell r="AH42">
            <v>6553201</v>
          </cell>
          <cell r="AI42">
            <v>5152563</v>
          </cell>
          <cell r="AJ42">
            <v>5174862</v>
          </cell>
          <cell r="AK42">
            <v>5152813</v>
          </cell>
          <cell r="AL42">
            <v>5200737</v>
          </cell>
          <cell r="AM42">
            <v>6404697</v>
          </cell>
          <cell r="AN42">
            <v>5139640</v>
          </cell>
          <cell r="AO42">
            <v>5088261</v>
          </cell>
          <cell r="AP42">
            <v>5123292</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G43">
            <v>41</v>
          </cell>
          <cell r="H43" t="str">
            <v>YTD Empl_Benefits</v>
          </cell>
          <cell r="I43">
            <v>0</v>
          </cell>
          <cell r="J43">
            <v>0</v>
          </cell>
          <cell r="K43">
            <v>0</v>
          </cell>
          <cell r="L43">
            <v>1365282</v>
          </cell>
          <cell r="M43">
            <v>2713811</v>
          </cell>
          <cell r="N43">
            <v>4122867</v>
          </cell>
          <cell r="O43">
            <v>5518855</v>
          </cell>
          <cell r="P43">
            <v>7415217</v>
          </cell>
          <cell r="Q43">
            <v>8830952</v>
          </cell>
          <cell r="R43">
            <v>10237017</v>
          </cell>
          <cell r="S43">
            <v>11635142</v>
          </cell>
          <cell r="T43">
            <v>12991672</v>
          </cell>
          <cell r="U43">
            <v>14354058</v>
          </cell>
          <cell r="V43">
            <v>16217977</v>
          </cell>
          <cell r="W43">
            <v>17579267</v>
          </cell>
          <cell r="X43">
            <v>1444050</v>
          </cell>
          <cell r="Y43">
            <v>2778813</v>
          </cell>
          <cell r="Z43">
            <v>4178371</v>
          </cell>
          <cell r="AA43">
            <v>6105765</v>
          </cell>
          <cell r="AB43">
            <v>7521825</v>
          </cell>
          <cell r="AC43">
            <v>8982346</v>
          </cell>
          <cell r="AD43">
            <v>10447349</v>
          </cell>
          <cell r="AE43">
            <v>11803904</v>
          </cell>
          <cell r="AF43">
            <v>13221510</v>
          </cell>
          <cell r="AG43">
            <v>14693731</v>
          </cell>
          <cell r="AH43">
            <v>16533726</v>
          </cell>
          <cell r="AI43">
            <v>17968645</v>
          </cell>
          <cell r="AJ43">
            <v>1468681</v>
          </cell>
          <cell r="AK43">
            <v>2829034</v>
          </cell>
          <cell r="AL43">
            <v>4327263</v>
          </cell>
          <cell r="AM43">
            <v>6368583</v>
          </cell>
          <cell r="AN43">
            <v>7882788</v>
          </cell>
          <cell r="AO43">
            <v>9402932</v>
          </cell>
          <cell r="AP43">
            <v>10953196</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G44">
            <v>42</v>
          </cell>
          <cell r="H44" t="str">
            <v>YTD Total Personnel</v>
          </cell>
          <cell r="I44">
            <v>0</v>
          </cell>
          <cell r="J44">
            <v>0</v>
          </cell>
          <cell r="K44">
            <v>0</v>
          </cell>
          <cell r="L44">
            <v>4979429</v>
          </cell>
          <cell r="M44">
            <v>9764575</v>
          </cell>
          <cell r="N44">
            <v>14804408</v>
          </cell>
          <cell r="O44">
            <v>19775187</v>
          </cell>
          <cell r="P44">
            <v>26415693</v>
          </cell>
          <cell r="Q44">
            <v>31431270</v>
          </cell>
          <cell r="R44">
            <v>36419242</v>
          </cell>
          <cell r="S44">
            <v>41419722</v>
          </cell>
          <cell r="T44">
            <v>46216270</v>
          </cell>
          <cell r="U44">
            <v>51035548</v>
          </cell>
          <cell r="V44">
            <v>57585138</v>
          </cell>
          <cell r="W44">
            <v>62377356</v>
          </cell>
          <cell r="X44">
            <v>5154055</v>
          </cell>
          <cell r="Y44">
            <v>9847013</v>
          </cell>
          <cell r="Z44">
            <v>14787129</v>
          </cell>
          <cell r="AA44">
            <v>21465224</v>
          </cell>
          <cell r="AB44">
            <v>26438693</v>
          </cell>
          <cell r="AC44">
            <v>31553230</v>
          </cell>
          <cell r="AD44">
            <v>36679356</v>
          </cell>
          <cell r="AE44">
            <v>41400469</v>
          </cell>
          <cell r="AF44">
            <v>46411258</v>
          </cell>
          <cell r="AG44">
            <v>51526460</v>
          </cell>
          <cell r="AH44">
            <v>57908121</v>
          </cell>
          <cell r="AI44">
            <v>62900862</v>
          </cell>
          <cell r="AJ44">
            <v>5163597</v>
          </cell>
          <cell r="AK44">
            <v>10101026</v>
          </cell>
          <cell r="AL44">
            <v>15172452</v>
          </cell>
          <cell r="AM44">
            <v>21977418</v>
          </cell>
          <cell r="AN44">
            <v>27168120</v>
          </cell>
          <cell r="AO44">
            <v>32285237</v>
          </cell>
          <cell r="AP44">
            <v>37453739</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G45">
            <v>43</v>
          </cell>
          <cell r="H45" t="str">
            <v>YTD Target Empl_Benefits</v>
          </cell>
          <cell r="I45">
            <v>0</v>
          </cell>
          <cell r="J45">
            <v>0</v>
          </cell>
          <cell r="K45">
            <v>0</v>
          </cell>
          <cell r="L45">
            <v>1420957</v>
          </cell>
          <cell r="M45">
            <v>278118</v>
          </cell>
          <cell r="N45">
            <v>4220932</v>
          </cell>
          <cell r="O45">
            <v>5659105</v>
          </cell>
          <cell r="P45">
            <v>7589856</v>
          </cell>
          <cell r="Q45">
            <v>9028840</v>
          </cell>
          <cell r="R45">
            <v>10470644</v>
          </cell>
          <cell r="S45">
            <v>11894893</v>
          </cell>
          <cell r="T45">
            <v>13338247</v>
          </cell>
          <cell r="U45">
            <v>14758915</v>
          </cell>
          <cell r="V45">
            <v>16679968</v>
          </cell>
          <cell r="W45">
            <v>18121353</v>
          </cell>
          <cell r="X45">
            <v>1420362</v>
          </cell>
          <cell r="Y45">
            <v>3349209</v>
          </cell>
          <cell r="Z45">
            <v>4315150</v>
          </cell>
          <cell r="AA45">
            <v>6208596</v>
          </cell>
          <cell r="AB45">
            <v>7667351</v>
          </cell>
          <cell r="AC45">
            <v>9145570</v>
          </cell>
          <cell r="AD45">
            <v>10623530</v>
          </cell>
          <cell r="AE45">
            <v>12095316</v>
          </cell>
          <cell r="AF45">
            <v>13566348</v>
          </cell>
          <cell r="AG45">
            <v>15033956</v>
          </cell>
          <cell r="AH45">
            <v>16938216</v>
          </cell>
          <cell r="AI45">
            <v>18418042</v>
          </cell>
          <cell r="AJ45">
            <v>1459542</v>
          </cell>
          <cell r="AK45">
            <v>2901976</v>
          </cell>
          <cell r="AL45">
            <v>4429480</v>
          </cell>
          <cell r="AM45">
            <v>6380523</v>
          </cell>
          <cell r="AN45">
            <v>7901149</v>
          </cell>
          <cell r="AO45">
            <v>9431557</v>
          </cell>
          <cell r="AP45">
            <v>10954530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G46">
            <v>44</v>
          </cell>
          <cell r="H46" t="str">
            <v>YTD Target Total Personnel</v>
          </cell>
          <cell r="I46">
            <v>0</v>
          </cell>
          <cell r="J46">
            <v>0</v>
          </cell>
          <cell r="K46">
            <v>0</v>
          </cell>
          <cell r="L46">
            <v>4997792</v>
          </cell>
          <cell r="M46">
            <v>9927471</v>
          </cell>
          <cell r="N46">
            <v>15043092</v>
          </cell>
          <cell r="O46">
            <v>20093706</v>
          </cell>
          <cell r="P46">
            <v>26808645</v>
          </cell>
          <cell r="Q46">
            <v>31834041</v>
          </cell>
          <cell r="R46">
            <v>36882886</v>
          </cell>
          <cell r="S46">
            <v>41875284</v>
          </cell>
          <cell r="T46">
            <v>46926334</v>
          </cell>
          <cell r="U46">
            <v>51907162</v>
          </cell>
          <cell r="V46">
            <v>58561605</v>
          </cell>
          <cell r="W46">
            <v>63615180</v>
          </cell>
          <cell r="X46">
            <v>5092567</v>
          </cell>
          <cell r="Y46">
            <v>10670540</v>
          </cell>
          <cell r="Z46">
            <v>15320463</v>
          </cell>
          <cell r="AA46">
            <v>21824611</v>
          </cell>
          <cell r="AB46">
            <v>26996774</v>
          </cell>
          <cell r="AC46">
            <v>32213711</v>
          </cell>
          <cell r="AD46">
            <v>37357595</v>
          </cell>
          <cell r="AE46">
            <v>42506316</v>
          </cell>
          <cell r="AF46">
            <v>47633939</v>
          </cell>
          <cell r="AG46">
            <v>52740828</v>
          </cell>
          <cell r="AH46">
            <v>59294029</v>
          </cell>
          <cell r="AI46">
            <v>64446592</v>
          </cell>
          <cell r="AJ46">
            <v>5174862</v>
          </cell>
          <cell r="AK46">
            <v>10270598</v>
          </cell>
          <cell r="AL46">
            <v>15450425</v>
          </cell>
          <cell r="AM46">
            <v>21854067</v>
          </cell>
          <cell r="AN46">
            <v>26993707</v>
          </cell>
          <cell r="AO46">
            <v>32117929</v>
          </cell>
          <cell r="AP46">
            <v>37206681</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G47">
            <v>45</v>
          </cell>
          <cell r="H47" t="str">
            <v>Actual</v>
          </cell>
          <cell r="I47">
            <v>0</v>
          </cell>
          <cell r="J47">
            <v>0</v>
          </cell>
          <cell r="K47">
            <v>0</v>
          </cell>
          <cell r="L47">
            <v>93385</v>
          </cell>
          <cell r="M47">
            <v>101003</v>
          </cell>
          <cell r="N47">
            <v>152858</v>
          </cell>
          <cell r="O47">
            <v>145860</v>
          </cell>
          <cell r="P47">
            <v>203836</v>
          </cell>
          <cell r="Q47">
            <v>138632</v>
          </cell>
          <cell r="R47">
            <v>121300</v>
          </cell>
          <cell r="S47">
            <v>162515</v>
          </cell>
          <cell r="T47">
            <v>129766</v>
          </cell>
          <cell r="U47">
            <v>94862</v>
          </cell>
          <cell r="V47">
            <v>170050</v>
          </cell>
          <cell r="W47">
            <v>84503</v>
          </cell>
          <cell r="X47">
            <v>120218</v>
          </cell>
          <cell r="Y47">
            <v>106942</v>
          </cell>
          <cell r="Z47">
            <v>159790</v>
          </cell>
          <cell r="AA47">
            <v>227515</v>
          </cell>
          <cell r="AB47">
            <v>154794</v>
          </cell>
          <cell r="AC47">
            <v>185929</v>
          </cell>
          <cell r="AD47">
            <v>162427</v>
          </cell>
          <cell r="AE47">
            <v>157699</v>
          </cell>
          <cell r="AF47">
            <v>148227</v>
          </cell>
          <cell r="AG47">
            <v>96484</v>
          </cell>
          <cell r="AH47">
            <v>180830</v>
          </cell>
          <cell r="AI47">
            <v>124227</v>
          </cell>
          <cell r="AJ47">
            <v>107241</v>
          </cell>
          <cell r="AK47">
            <v>98191</v>
          </cell>
          <cell r="AL47">
            <v>129361</v>
          </cell>
          <cell r="AM47">
            <v>232722</v>
          </cell>
          <cell r="AN47">
            <v>148753</v>
          </cell>
          <cell r="AO47">
            <v>167336</v>
          </cell>
          <cell r="AP47">
            <v>125774</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G48">
            <v>46</v>
          </cell>
          <cell r="H48" t="str">
            <v>Target (Budget)</v>
          </cell>
          <cell r="I48">
            <v>0</v>
          </cell>
          <cell r="J48">
            <v>0</v>
          </cell>
          <cell r="K48">
            <v>0</v>
          </cell>
          <cell r="L48">
            <v>75989</v>
          </cell>
          <cell r="M48">
            <v>77792</v>
          </cell>
          <cell r="N48">
            <v>156709</v>
          </cell>
          <cell r="O48">
            <v>144777</v>
          </cell>
          <cell r="P48">
            <v>206567</v>
          </cell>
          <cell r="Q48">
            <v>100298</v>
          </cell>
          <cell r="R48">
            <v>103000</v>
          </cell>
          <cell r="S48">
            <v>98428</v>
          </cell>
          <cell r="T48">
            <v>78186</v>
          </cell>
          <cell r="U48">
            <v>97891</v>
          </cell>
          <cell r="V48">
            <v>124743</v>
          </cell>
          <cell r="W48">
            <v>38287</v>
          </cell>
          <cell r="X48">
            <v>89879</v>
          </cell>
          <cell r="Y48">
            <v>93935</v>
          </cell>
          <cell r="Z48">
            <v>139877</v>
          </cell>
          <cell r="AA48">
            <v>133266</v>
          </cell>
          <cell r="AB48">
            <v>173176</v>
          </cell>
          <cell r="AC48">
            <v>129636</v>
          </cell>
          <cell r="AD48">
            <v>88130</v>
          </cell>
          <cell r="AE48">
            <v>95555</v>
          </cell>
          <cell r="AF48">
            <v>103023</v>
          </cell>
          <cell r="AG48">
            <v>84282</v>
          </cell>
          <cell r="AH48">
            <v>111343</v>
          </cell>
          <cell r="AI48">
            <v>68765</v>
          </cell>
          <cell r="AJ48">
            <v>94678</v>
          </cell>
          <cell r="AK48">
            <v>107648</v>
          </cell>
          <cell r="AL48">
            <v>131085</v>
          </cell>
          <cell r="AM48">
            <v>146373</v>
          </cell>
          <cell r="AN48">
            <v>129313</v>
          </cell>
          <cell r="AO48">
            <v>124590</v>
          </cell>
          <cell r="AP48">
            <v>145889</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G49">
            <v>47</v>
          </cell>
          <cell r="H49" t="str">
            <v>Target (Budget) Variance</v>
          </cell>
          <cell r="I49">
            <v>0</v>
          </cell>
          <cell r="J49">
            <v>0</v>
          </cell>
          <cell r="K49">
            <v>0</v>
          </cell>
          <cell r="L49">
            <v>17396</v>
          </cell>
          <cell r="M49">
            <v>23211</v>
          </cell>
          <cell r="N49">
            <v>-3851</v>
          </cell>
          <cell r="O49">
            <v>1083</v>
          </cell>
          <cell r="P49">
            <v>-2731</v>
          </cell>
          <cell r="Q49">
            <v>38334</v>
          </cell>
          <cell r="R49">
            <v>18300</v>
          </cell>
          <cell r="S49">
            <v>64087</v>
          </cell>
          <cell r="T49">
            <v>51580</v>
          </cell>
          <cell r="U49">
            <v>-3029</v>
          </cell>
          <cell r="V49">
            <v>45307</v>
          </cell>
          <cell r="W49">
            <v>46216</v>
          </cell>
          <cell r="X49">
            <v>30339</v>
          </cell>
          <cell r="Y49">
            <v>13007</v>
          </cell>
          <cell r="Z49">
            <v>19913</v>
          </cell>
          <cell r="AA49">
            <v>94249</v>
          </cell>
          <cell r="AB49">
            <v>-18382</v>
          </cell>
          <cell r="AC49">
            <v>56293</v>
          </cell>
          <cell r="AD49">
            <v>74297</v>
          </cell>
          <cell r="AE49">
            <v>62144</v>
          </cell>
          <cell r="AF49">
            <v>45204</v>
          </cell>
          <cell r="AG49">
            <v>12202</v>
          </cell>
          <cell r="AH49">
            <v>69487</v>
          </cell>
          <cell r="AI49">
            <v>55462</v>
          </cell>
          <cell r="AJ49">
            <v>12563</v>
          </cell>
          <cell r="AK49">
            <v>-9457</v>
          </cell>
          <cell r="AL49">
            <v>-1724</v>
          </cell>
          <cell r="AM49">
            <v>86349</v>
          </cell>
          <cell r="AN49">
            <v>19440</v>
          </cell>
          <cell r="AO49">
            <v>42746</v>
          </cell>
          <cell r="AP49">
            <v>-20115</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G50">
            <v>48</v>
          </cell>
          <cell r="H50" t="str">
            <v>Target (Budget) %Var</v>
          </cell>
          <cell r="I50">
            <v>0</v>
          </cell>
          <cell r="J50">
            <v>0</v>
          </cell>
          <cell r="K50">
            <v>0</v>
          </cell>
          <cell r="L50">
            <v>0.22892787113924384</v>
          </cell>
          <cell r="M50">
            <v>0.29837258329905386</v>
          </cell>
          <cell r="N50">
            <v>-2.4574210798358743E-2</v>
          </cell>
          <cell r="O50">
            <v>7.4804699641517645E-3</v>
          </cell>
          <cell r="P50">
            <v>-1.3220892010824575E-2</v>
          </cell>
          <cell r="Q50">
            <v>0.38220104089812357</v>
          </cell>
          <cell r="R50">
            <v>0.17766990291262136</v>
          </cell>
          <cell r="S50">
            <v>0.65110537651887679</v>
          </cell>
          <cell r="T50">
            <v>0.65970889929143328</v>
          </cell>
          <cell r="U50">
            <v>-3.0942578990918471E-2</v>
          </cell>
          <cell r="V50">
            <v>0.36320274484339804</v>
          </cell>
          <cell r="W50">
            <v>1.2070937916264006</v>
          </cell>
          <cell r="X50">
            <v>0.33755382236117448</v>
          </cell>
          <cell r="Y50">
            <v>0.13846808963645074</v>
          </cell>
          <cell r="Z50">
            <v>0.14236078840695754</v>
          </cell>
          <cell r="AA50">
            <v>0.70722464844746602</v>
          </cell>
          <cell r="AB50">
            <v>-0.10614634822377235</v>
          </cell>
          <cell r="AC50">
            <v>0.43423894597179796</v>
          </cell>
          <cell r="AD50">
            <v>0.84303869284012256</v>
          </cell>
          <cell r="AE50">
            <v>0.65034796713934384</v>
          </cell>
          <cell r="AF50">
            <v>0.43877580734399113</v>
          </cell>
          <cell r="AG50">
            <v>0.14477587147908214</v>
          </cell>
          <cell r="AH50">
            <v>0.62408054390487055</v>
          </cell>
          <cell r="AI50">
            <v>0.80654402675779835</v>
          </cell>
          <cell r="AJ50">
            <v>0.13269186083356219</v>
          </cell>
          <cell r="AK50">
            <v>-8.7851144470868017E-2</v>
          </cell>
          <cell r="AL50">
            <v>-1.3151771751153831E-2</v>
          </cell>
          <cell r="AM50">
            <v>0.58992437129798525</v>
          </cell>
          <cell r="AN50">
            <v>0.15033291316418304</v>
          </cell>
          <cell r="AO50">
            <v>0.3430933461754555</v>
          </cell>
          <cell r="AP50">
            <v>-0.13787879826443392</v>
          </cell>
          <cell r="AQ50" t="e">
            <v>#DIV/0!</v>
          </cell>
          <cell r="AR50" t="e">
            <v>#DIV/0!</v>
          </cell>
          <cell r="AS50" t="e">
            <v>#DIV/0!</v>
          </cell>
          <cell r="AT50" t="e">
            <v>#DIV/0!</v>
          </cell>
          <cell r="AU50" t="e">
            <v>#DIV/0!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G51">
            <v>49</v>
          </cell>
          <cell r="H51" t="str">
            <v>YTD Actual</v>
          </cell>
          <cell r="I51">
            <v>0</v>
          </cell>
          <cell r="J51">
            <v>0</v>
          </cell>
          <cell r="K51">
            <v>0</v>
          </cell>
          <cell r="L51">
            <v>93385</v>
          </cell>
          <cell r="M51">
            <v>194388</v>
          </cell>
          <cell r="N51">
            <v>347246</v>
          </cell>
          <cell r="O51">
            <v>493106</v>
          </cell>
          <cell r="P51">
            <v>696942</v>
          </cell>
          <cell r="Q51">
            <v>835573</v>
          </cell>
          <cell r="R51">
            <v>956873</v>
          </cell>
          <cell r="S51">
            <v>1119388</v>
          </cell>
          <cell r="T51">
            <v>1249154</v>
          </cell>
          <cell r="U51">
            <v>1344017</v>
          </cell>
          <cell r="V51">
            <v>1514067</v>
          </cell>
          <cell r="W51">
            <v>1598570</v>
          </cell>
          <cell r="X51">
            <v>120218</v>
          </cell>
          <cell r="Y51">
            <v>226597</v>
          </cell>
          <cell r="Z51">
            <v>386387</v>
          </cell>
          <cell r="AA51">
            <v>613902</v>
          </cell>
          <cell r="AB51">
            <v>768696</v>
          </cell>
          <cell r="AC51">
            <v>954625</v>
          </cell>
          <cell r="AD51">
            <v>1127964</v>
          </cell>
          <cell r="AE51">
            <v>1274322</v>
          </cell>
          <cell r="AF51">
            <v>1422549</v>
          </cell>
          <cell r="AG51">
            <v>1519033</v>
          </cell>
          <cell r="AH51">
            <v>1699863</v>
          </cell>
          <cell r="AI51">
            <v>1824090</v>
          </cell>
          <cell r="AJ51">
            <v>107241</v>
          </cell>
          <cell r="AK51">
            <v>205722</v>
          </cell>
          <cell r="AL51">
            <v>335083</v>
          </cell>
          <cell r="AM51">
            <v>567805</v>
          </cell>
          <cell r="AN51">
            <v>716558</v>
          </cell>
          <cell r="AO51">
            <v>883894</v>
          </cell>
          <cell r="AP51">
            <v>1022686</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G52">
            <v>50</v>
          </cell>
          <cell r="H52" t="str">
            <v>YTD Target (Budget)</v>
          </cell>
          <cell r="I52">
            <v>0</v>
          </cell>
          <cell r="J52">
            <v>0</v>
          </cell>
          <cell r="K52">
            <v>0</v>
          </cell>
          <cell r="L52">
            <v>75989</v>
          </cell>
          <cell r="M52">
            <v>153781</v>
          </cell>
          <cell r="N52">
            <v>362468</v>
          </cell>
          <cell r="O52">
            <v>507114</v>
          </cell>
          <cell r="P52">
            <v>713682</v>
          </cell>
          <cell r="Q52">
            <v>813980</v>
          </cell>
          <cell r="R52">
            <v>916980</v>
          </cell>
          <cell r="S52">
            <v>1015408</v>
          </cell>
          <cell r="T52">
            <v>1093594</v>
          </cell>
          <cell r="U52">
            <v>1191485</v>
          </cell>
          <cell r="V52">
            <v>1316228</v>
          </cell>
          <cell r="W52">
            <v>1354516</v>
          </cell>
          <cell r="X52">
            <v>89879</v>
          </cell>
          <cell r="Y52">
            <v>183813</v>
          </cell>
          <cell r="Z52">
            <v>323690</v>
          </cell>
          <cell r="AA52">
            <v>456957</v>
          </cell>
          <cell r="AB52">
            <v>630133</v>
          </cell>
          <cell r="AC52">
            <v>759769</v>
          </cell>
          <cell r="AD52">
            <v>847899</v>
          </cell>
          <cell r="AE52">
            <v>943453</v>
          </cell>
          <cell r="AF52">
            <v>1046477</v>
          </cell>
          <cell r="AG52">
            <v>1130759</v>
          </cell>
          <cell r="AH52">
            <v>1242102</v>
          </cell>
          <cell r="AI52">
            <v>1310867</v>
          </cell>
          <cell r="AJ52">
            <v>94678</v>
          </cell>
          <cell r="AK52">
            <v>202326</v>
          </cell>
          <cell r="AL52">
            <v>333412</v>
          </cell>
          <cell r="AM52">
            <v>479785</v>
          </cell>
          <cell r="AN52">
            <v>609098</v>
          </cell>
          <cell r="AO52">
            <v>733688</v>
          </cell>
          <cell r="AP52">
            <v>886973</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G53">
            <v>51</v>
          </cell>
          <cell r="H53" t="str">
            <v>YTD Target (Budget) Var</v>
          </cell>
          <cell r="I53">
            <v>0</v>
          </cell>
          <cell r="J53">
            <v>0</v>
          </cell>
          <cell r="K53">
            <v>0</v>
          </cell>
          <cell r="L53">
            <v>17396</v>
          </cell>
          <cell r="M53">
            <v>40607</v>
          </cell>
          <cell r="N53">
            <v>-15222</v>
          </cell>
          <cell r="O53">
            <v>-14008</v>
          </cell>
          <cell r="P53">
            <v>-16740</v>
          </cell>
          <cell r="Q53">
            <v>21593</v>
          </cell>
          <cell r="R53">
            <v>39893</v>
          </cell>
          <cell r="S53">
            <v>103980</v>
          </cell>
          <cell r="T53">
            <v>155560</v>
          </cell>
          <cell r="U53">
            <v>152532</v>
          </cell>
          <cell r="V53">
            <v>197839</v>
          </cell>
          <cell r="W53">
            <v>244054</v>
          </cell>
          <cell r="X53">
            <v>30339</v>
          </cell>
          <cell r="Y53">
            <v>42784</v>
          </cell>
          <cell r="Z53">
            <v>62697</v>
          </cell>
          <cell r="AA53">
            <v>156945</v>
          </cell>
          <cell r="AB53">
            <v>138563</v>
          </cell>
          <cell r="AC53">
            <v>194856</v>
          </cell>
          <cell r="AD53">
            <v>280065</v>
          </cell>
          <cell r="AE53">
            <v>330869</v>
          </cell>
          <cell r="AF53">
            <v>376072</v>
          </cell>
          <cell r="AG53">
            <v>388274</v>
          </cell>
          <cell r="AH53">
            <v>457761</v>
          </cell>
          <cell r="AI53">
            <v>513223</v>
          </cell>
          <cell r="AJ53">
            <v>12563</v>
          </cell>
          <cell r="AK53">
            <v>3396</v>
          </cell>
          <cell r="AL53">
            <v>1671</v>
          </cell>
          <cell r="AM53">
            <v>88020</v>
          </cell>
          <cell r="AN53">
            <v>107460</v>
          </cell>
          <cell r="AO53">
            <v>150206</v>
          </cell>
          <cell r="AP53">
            <v>135713</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G54">
            <v>52</v>
          </cell>
          <cell r="H54" t="str">
            <v>YTD %Var</v>
          </cell>
          <cell r="I54">
            <v>0</v>
          </cell>
          <cell r="J54">
            <v>0</v>
          </cell>
          <cell r="K54">
            <v>0</v>
          </cell>
          <cell r="L54">
            <v>0.22892787113924384</v>
          </cell>
          <cell r="M54">
            <v>0.26405732827852596</v>
          </cell>
          <cell r="N54">
            <v>-4.1995431320833838E-2</v>
          </cell>
          <cell r="O54">
            <v>-2.7622980237185329E-2</v>
          </cell>
          <cell r="P54">
            <v>-2.3455824863174355E-2</v>
          </cell>
          <cell r="Q54">
            <v>2.6527678812747243E-2</v>
          </cell>
          <cell r="R54">
            <v>4.3504765643743594E-2</v>
          </cell>
          <cell r="S54">
            <v>0.10240218710114556</v>
          </cell>
          <cell r="T54">
            <v>0.1422465741399459</v>
          </cell>
          <cell r="U54">
            <v>0.12801839721020408</v>
          </cell>
          <cell r="V54">
            <v>0.15030754550123535</v>
          </cell>
          <cell r="W54">
            <v>0.1801780119245546</v>
          </cell>
          <cell r="X54">
            <v>0.33755382236117448</v>
          </cell>
          <cell r="Y54">
            <v>0.23275829239498838</v>
          </cell>
          <cell r="Z54">
            <v>0.19369458432450801</v>
          </cell>
          <cell r="AA54">
            <v>0.34345682416507461</v>
          </cell>
          <cell r="AB54">
            <v>0.2198948475956663</v>
          </cell>
          <cell r="AC54">
            <v>0.2564674262835151</v>
          </cell>
          <cell r="AD54">
            <v>0.33030467072139491</v>
          </cell>
          <cell r="AE54">
            <v>0.35070003487190143</v>
          </cell>
          <cell r="AF54">
            <v>0.3593695800289925</v>
          </cell>
          <cell r="AG54">
            <v>0.3433746713490673</v>
          </cell>
          <cell r="AH54">
            <v>0.36853736649647129</v>
          </cell>
          <cell r="AI54">
            <v>0.39151416581544884</v>
          </cell>
          <cell r="AJ54">
            <v>0.13269186083356219</v>
          </cell>
          <cell r="AK54">
            <v>1.6784792859049259E-2</v>
          </cell>
          <cell r="AL54">
            <v>5.0118172111381712E-3</v>
          </cell>
          <cell r="AM54">
            <v>0.1834571735256417</v>
          </cell>
          <cell r="AN54">
            <v>0.17642481177084804</v>
          </cell>
          <cell r="AO54">
            <v>0.20472735004525083</v>
          </cell>
          <cell r="AP54">
            <v>0.15300691227354157</v>
          </cell>
          <cell r="AQ54" t="e">
            <v>#DIV/0!</v>
          </cell>
          <cell r="AR54" t="e">
            <v>#DIV/0!</v>
          </cell>
          <cell r="AS54" t="e">
            <v>#DIV/0!</v>
          </cell>
          <cell r="AT54" t="e">
            <v>#DIV/0!</v>
          </cell>
          <cell r="AU54" t="e">
            <v>#DIV/0!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G55">
            <v>53</v>
          </cell>
          <cell r="H55" t="str">
            <v>4 Month Actual</v>
          </cell>
          <cell r="I55">
            <v>0</v>
          </cell>
          <cell r="J55">
            <v>0</v>
          </cell>
          <cell r="K55">
            <v>0</v>
          </cell>
          <cell r="L55">
            <v>93385</v>
          </cell>
          <cell r="M55">
            <v>194388</v>
          </cell>
          <cell r="N55">
            <v>347246</v>
          </cell>
          <cell r="O55">
            <v>493106</v>
          </cell>
          <cell r="P55">
            <v>603557</v>
          </cell>
          <cell r="Q55">
            <v>641186</v>
          </cell>
          <cell r="R55">
            <v>609628</v>
          </cell>
          <cell r="S55">
            <v>626283</v>
          </cell>
          <cell r="T55">
            <v>552213</v>
          </cell>
          <cell r="U55">
            <v>508443</v>
          </cell>
          <cell r="V55">
            <v>557193</v>
          </cell>
          <cell r="W55">
            <v>479181</v>
          </cell>
          <cell r="X55">
            <v>469633</v>
          </cell>
          <cell r="Y55">
            <v>481713</v>
          </cell>
          <cell r="Z55">
            <v>471453</v>
          </cell>
          <cell r="AA55">
            <v>614465</v>
          </cell>
          <cell r="AB55">
            <v>649041</v>
          </cell>
          <cell r="AC55">
            <v>728028</v>
          </cell>
          <cell r="AD55">
            <v>730665</v>
          </cell>
          <cell r="AE55">
            <v>660849</v>
          </cell>
          <cell r="AF55">
            <v>654282</v>
          </cell>
          <cell r="AG55">
            <v>564837</v>
          </cell>
          <cell r="AH55">
            <v>583240</v>
          </cell>
          <cell r="AI55">
            <v>549768</v>
          </cell>
          <cell r="AJ55">
            <v>508782</v>
          </cell>
          <cell r="AK55">
            <v>510489</v>
          </cell>
          <cell r="AL55">
            <v>459020</v>
          </cell>
          <cell r="AM55">
            <v>567515</v>
          </cell>
          <cell r="AN55">
            <v>609027</v>
          </cell>
          <cell r="AO55">
            <v>678172</v>
          </cell>
          <cell r="AP55">
            <v>674585</v>
          </cell>
          <cell r="AQ55">
            <v>441863</v>
          </cell>
          <cell r="AR55">
            <v>293110</v>
          </cell>
          <cell r="AS55">
            <v>125774</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G56">
            <v>54</v>
          </cell>
          <cell r="H56" t="str">
            <v>4 Month Target (Budget)</v>
          </cell>
          <cell r="I56">
            <v>0</v>
          </cell>
          <cell r="J56">
            <v>0</v>
          </cell>
          <cell r="K56">
            <v>0</v>
          </cell>
          <cell r="L56">
            <v>75989</v>
          </cell>
          <cell r="M56">
            <v>153781</v>
          </cell>
          <cell r="N56">
            <v>310490</v>
          </cell>
          <cell r="O56">
            <v>455267</v>
          </cell>
          <cell r="P56">
            <v>585845</v>
          </cell>
          <cell r="Q56">
            <v>608351</v>
          </cell>
          <cell r="R56">
            <v>554642</v>
          </cell>
          <cell r="S56">
            <v>508293</v>
          </cell>
          <cell r="T56">
            <v>379912</v>
          </cell>
          <cell r="U56">
            <v>377505</v>
          </cell>
          <cell r="V56">
            <v>399248</v>
          </cell>
          <cell r="W56">
            <v>339107</v>
          </cell>
          <cell r="X56">
            <v>350800</v>
          </cell>
          <cell r="Y56">
            <v>346844</v>
          </cell>
          <cell r="Z56">
            <v>361978</v>
          </cell>
          <cell r="AA56">
            <v>456957</v>
          </cell>
          <cell r="AB56">
            <v>540254</v>
          </cell>
          <cell r="AC56">
            <v>575955</v>
          </cell>
          <cell r="AD56">
            <v>524208</v>
          </cell>
          <cell r="AE56">
            <v>486497</v>
          </cell>
          <cell r="AF56">
            <v>416344</v>
          </cell>
          <cell r="AG56">
            <v>370990</v>
          </cell>
          <cell r="AH56">
            <v>394203</v>
          </cell>
          <cell r="AI56">
            <v>367413</v>
          </cell>
          <cell r="AJ56">
            <v>359068</v>
          </cell>
          <cell r="AK56">
            <v>382434</v>
          </cell>
          <cell r="AL56">
            <v>402176</v>
          </cell>
          <cell r="AM56">
            <v>479784</v>
          </cell>
          <cell r="AN56">
            <v>514419</v>
          </cell>
          <cell r="AO56">
            <v>531361</v>
          </cell>
          <cell r="AP56">
            <v>546165</v>
          </cell>
          <cell r="AQ56">
            <v>399792</v>
          </cell>
          <cell r="AR56">
            <v>270479</v>
          </cell>
          <cell r="AS56">
            <v>145889</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G57">
            <v>55</v>
          </cell>
          <cell r="H57" t="str">
            <v>4 Month Target (Budget) Var</v>
          </cell>
          <cell r="I57">
            <v>0</v>
          </cell>
          <cell r="J57">
            <v>0</v>
          </cell>
          <cell r="K57">
            <v>0</v>
          </cell>
          <cell r="L57">
            <v>17396</v>
          </cell>
          <cell r="M57">
            <v>40607</v>
          </cell>
          <cell r="N57">
            <v>36756</v>
          </cell>
          <cell r="O57">
            <v>37839</v>
          </cell>
          <cell r="P57">
            <v>17712</v>
          </cell>
          <cell r="Q57">
            <v>32835</v>
          </cell>
          <cell r="R57">
            <v>54986</v>
          </cell>
          <cell r="S57">
            <v>117990</v>
          </cell>
          <cell r="T57">
            <v>172301</v>
          </cell>
          <cell r="U57">
            <v>130938</v>
          </cell>
          <cell r="V57">
            <v>157945</v>
          </cell>
          <cell r="W57">
            <v>140074</v>
          </cell>
          <cell r="X57">
            <v>118833</v>
          </cell>
          <cell r="Y57">
            <v>134869</v>
          </cell>
          <cell r="Z57">
            <v>109475</v>
          </cell>
          <cell r="AA57">
            <v>157508</v>
          </cell>
          <cell r="AB57">
            <v>108787</v>
          </cell>
          <cell r="AC57">
            <v>152073</v>
          </cell>
          <cell r="AD57">
            <v>206457</v>
          </cell>
          <cell r="AE57">
            <v>174352</v>
          </cell>
          <cell r="AF57">
            <v>237938</v>
          </cell>
          <cell r="AG57">
            <v>193847</v>
          </cell>
          <cell r="AH57">
            <v>189037</v>
          </cell>
          <cell r="AI57">
            <v>182355</v>
          </cell>
          <cell r="AJ57">
            <v>149714</v>
          </cell>
          <cell r="AK57">
            <v>128055</v>
          </cell>
          <cell r="AL57">
            <v>56844</v>
          </cell>
          <cell r="AM57">
            <v>87731</v>
          </cell>
          <cell r="AN57">
            <v>94608</v>
          </cell>
          <cell r="AO57">
            <v>146811</v>
          </cell>
          <cell r="AP57">
            <v>128420</v>
          </cell>
          <cell r="AQ57">
            <v>42071</v>
          </cell>
          <cell r="AR57">
            <v>22631</v>
          </cell>
          <cell r="AS57">
            <v>-20115</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G58">
            <v>56</v>
          </cell>
          <cell r="H58" t="str">
            <v>4 Month Target (Budget) % Var</v>
          </cell>
          <cell r="I58">
            <v>0</v>
          </cell>
          <cell r="J58">
            <v>0</v>
          </cell>
          <cell r="K58">
            <v>0</v>
          </cell>
          <cell r="L58">
            <v>0.22892787113924384</v>
          </cell>
          <cell r="M58">
            <v>0.26405732827852596</v>
          </cell>
          <cell r="N58">
            <v>0.11838062417469161</v>
          </cell>
          <cell r="O58">
            <v>8.3113865050618643E-2</v>
          </cell>
          <cell r="P58">
            <v>3.0233252822845634E-2</v>
          </cell>
          <cell r="Q58">
            <v>5.3973775008177842E-2</v>
          </cell>
          <cell r="R58">
            <v>9.9137822234883044E-2</v>
          </cell>
          <cell r="S58">
            <v>0.23212989358499919</v>
          </cell>
          <cell r="T58">
            <v>0.45352871191223232</v>
          </cell>
          <cell r="U58">
            <v>0.34685103508562798</v>
          </cell>
          <cell r="V58">
            <v>0.3956062397306937</v>
          </cell>
          <cell r="W58">
            <v>0.4130672619556659</v>
          </cell>
          <cell r="X58">
            <v>0.33874857468643099</v>
          </cell>
          <cell r="Y58">
            <v>0.38884628247857828</v>
          </cell>
          <cell r="Z58">
            <v>0.30243550713026757</v>
          </cell>
          <cell r="AA58">
            <v>0.34468888757585509</v>
          </cell>
          <cell r="AB58">
            <v>0.20136269236322174</v>
          </cell>
          <cell r="AC58">
            <v>0.26403625283225252</v>
          </cell>
          <cell r="AD58">
            <v>0.39384557274974819</v>
          </cell>
          <cell r="AE58">
            <v>0.35838247717868765</v>
          </cell>
          <cell r="AF58">
            <v>0.57149376477143898</v>
          </cell>
          <cell r="AG58">
            <v>0.52251273619235017</v>
          </cell>
          <cell r="AH58">
            <v>0.47954226629426971</v>
          </cell>
          <cell r="AI58">
            <v>0.49632157816952582</v>
          </cell>
          <cell r="AJ58">
            <v>0.41695166375171278</v>
          </cell>
          <cell r="AK58">
            <v>0.33484209039991214</v>
          </cell>
          <cell r="AL58">
            <v>0.14134110439210693</v>
          </cell>
          <cell r="AM58">
            <v>0.18285520150734497</v>
          </cell>
          <cell r="AN58">
            <v>0.1839123360529063</v>
          </cell>
          <cell r="AO58">
            <v>0.27629238879029511</v>
          </cell>
          <cell r="AP58">
            <v>0.23513040930854229</v>
          </cell>
          <cell r="AQ58">
            <v>0.10523222075479249</v>
          </cell>
          <cell r="AR58">
            <v>8.3670081595983423E-2</v>
          </cell>
          <cell r="AS58">
            <v>-0.13787879826443392</v>
          </cell>
          <cell r="AT58" t="e">
            <v>#DIV/0!</v>
          </cell>
          <cell r="AU58" t="e">
            <v>#DIV/0!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G59">
            <v>57</v>
          </cell>
          <cell r="H59" t="str">
            <v>Actual</v>
          </cell>
          <cell r="I59">
            <v>0</v>
          </cell>
          <cell r="J59">
            <v>0</v>
          </cell>
          <cell r="K59">
            <v>0</v>
          </cell>
          <cell r="L59">
            <v>740286</v>
          </cell>
          <cell r="M59">
            <v>1259976</v>
          </cell>
          <cell r="N59">
            <v>472148</v>
          </cell>
          <cell r="O59">
            <v>1442124</v>
          </cell>
          <cell r="P59">
            <v>759294</v>
          </cell>
          <cell r="Q59">
            <v>1251453</v>
          </cell>
          <cell r="R59">
            <v>732886</v>
          </cell>
          <cell r="S59">
            <v>1107054</v>
          </cell>
          <cell r="T59">
            <v>874547</v>
          </cell>
          <cell r="U59">
            <v>1087792</v>
          </cell>
          <cell r="V59">
            <v>1016374</v>
          </cell>
          <cell r="W59">
            <v>576786</v>
          </cell>
          <cell r="X59">
            <v>1745854</v>
          </cell>
          <cell r="Y59">
            <v>1753574</v>
          </cell>
          <cell r="Z59">
            <v>1363782</v>
          </cell>
          <cell r="AA59">
            <v>1447060</v>
          </cell>
          <cell r="AB59">
            <v>1279119</v>
          </cell>
          <cell r="AC59">
            <v>1311979</v>
          </cell>
          <cell r="AD59">
            <v>1663839</v>
          </cell>
          <cell r="AE59">
            <v>1110388</v>
          </cell>
          <cell r="AF59">
            <v>15985</v>
          </cell>
          <cell r="AG59">
            <v>2255498</v>
          </cell>
          <cell r="AH59">
            <v>1552171</v>
          </cell>
          <cell r="AI59">
            <v>1273151</v>
          </cell>
          <cell r="AJ59">
            <v>933772</v>
          </cell>
          <cell r="AK59">
            <v>2022250</v>
          </cell>
          <cell r="AL59">
            <v>1425302</v>
          </cell>
          <cell r="AM59">
            <v>1917846</v>
          </cell>
          <cell r="AN59">
            <v>1466337</v>
          </cell>
          <cell r="AO59">
            <v>3313507</v>
          </cell>
          <cell r="AP59">
            <v>931366</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G60">
            <v>58</v>
          </cell>
          <cell r="H60" t="str">
            <v>Target (Budget)</v>
          </cell>
          <cell r="I60">
            <v>0</v>
          </cell>
          <cell r="J60">
            <v>0</v>
          </cell>
          <cell r="K60">
            <v>0</v>
          </cell>
          <cell r="L60">
            <v>809318</v>
          </cell>
          <cell r="M60">
            <v>1128181</v>
          </cell>
          <cell r="N60">
            <v>1077943</v>
          </cell>
          <cell r="O60">
            <v>1319422</v>
          </cell>
          <cell r="P60">
            <v>1084533</v>
          </cell>
          <cell r="Q60">
            <v>1198417</v>
          </cell>
          <cell r="R60">
            <v>929604</v>
          </cell>
          <cell r="S60">
            <v>1094967</v>
          </cell>
          <cell r="T60">
            <v>1075781</v>
          </cell>
          <cell r="U60">
            <v>987811</v>
          </cell>
          <cell r="V60">
            <v>1045013</v>
          </cell>
          <cell r="W60">
            <v>1149944</v>
          </cell>
          <cell r="X60">
            <v>1588697</v>
          </cell>
          <cell r="Y60">
            <v>1665706</v>
          </cell>
          <cell r="Z60">
            <v>1875760</v>
          </cell>
          <cell r="AA60">
            <v>1745382</v>
          </cell>
          <cell r="AB60">
            <v>1500209</v>
          </cell>
          <cell r="AC60">
            <v>1920056</v>
          </cell>
          <cell r="AD60">
            <v>1482760</v>
          </cell>
          <cell r="AE60">
            <v>1772208</v>
          </cell>
          <cell r="AF60">
            <v>1718440</v>
          </cell>
          <cell r="AG60">
            <v>1697682</v>
          </cell>
          <cell r="AH60">
            <v>1692948</v>
          </cell>
          <cell r="AI60">
            <v>2021939</v>
          </cell>
          <cell r="AJ60">
            <v>1379088</v>
          </cell>
          <cell r="AK60">
            <v>1738323</v>
          </cell>
          <cell r="AL60">
            <v>1910571</v>
          </cell>
          <cell r="AM60">
            <v>1602132</v>
          </cell>
          <cell r="AN60">
            <v>1907528</v>
          </cell>
          <cell r="AO60">
            <v>1722161</v>
          </cell>
          <cell r="AP60">
            <v>1717863</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G61">
            <v>59</v>
          </cell>
          <cell r="H61" t="str">
            <v>Target (Budget) Variance</v>
          </cell>
          <cell r="I61">
            <v>0</v>
          </cell>
          <cell r="J61">
            <v>0</v>
          </cell>
          <cell r="K61">
            <v>0</v>
          </cell>
          <cell r="L61">
            <v>-69032</v>
          </cell>
          <cell r="M61">
            <v>131795</v>
          </cell>
          <cell r="N61">
            <v>-605795</v>
          </cell>
          <cell r="O61">
            <v>122702</v>
          </cell>
          <cell r="P61">
            <v>-325239</v>
          </cell>
          <cell r="Q61">
            <v>53036</v>
          </cell>
          <cell r="R61">
            <v>-196718</v>
          </cell>
          <cell r="S61">
            <v>12087</v>
          </cell>
          <cell r="T61">
            <v>-201234</v>
          </cell>
          <cell r="U61">
            <v>99981</v>
          </cell>
          <cell r="V61">
            <v>-28639</v>
          </cell>
          <cell r="W61">
            <v>-573158</v>
          </cell>
          <cell r="X61">
            <v>157157</v>
          </cell>
          <cell r="Y61">
            <v>87868</v>
          </cell>
          <cell r="Z61">
            <v>-511978</v>
          </cell>
          <cell r="AA61">
            <v>-298322</v>
          </cell>
          <cell r="AB61">
            <v>-221090</v>
          </cell>
          <cell r="AC61">
            <v>-608077</v>
          </cell>
          <cell r="AD61">
            <v>181079</v>
          </cell>
          <cell r="AE61">
            <v>-661820</v>
          </cell>
          <cell r="AF61">
            <v>-1702455</v>
          </cell>
          <cell r="AG61">
            <v>557816</v>
          </cell>
          <cell r="AH61">
            <v>-140777</v>
          </cell>
          <cell r="AI61">
            <v>-748788</v>
          </cell>
          <cell r="AJ61">
            <v>-445316</v>
          </cell>
          <cell r="AK61">
            <v>283927</v>
          </cell>
          <cell r="AL61">
            <v>-485269</v>
          </cell>
          <cell r="AM61">
            <v>315714</v>
          </cell>
          <cell r="AN61">
            <v>-441191</v>
          </cell>
          <cell r="AO61">
            <v>1591346</v>
          </cell>
          <cell r="AP61">
            <v>-786497</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G62">
            <v>60</v>
          </cell>
          <cell r="H62" t="str">
            <v>Target (Budget) %Var</v>
          </cell>
          <cell r="I62">
            <v>0</v>
          </cell>
          <cell r="J62">
            <v>0</v>
          </cell>
          <cell r="K62">
            <v>0</v>
          </cell>
          <cell r="L62">
            <v>-8.5296508912442323E-2</v>
          </cell>
          <cell r="M62">
            <v>0.11682079382652252</v>
          </cell>
          <cell r="N62">
            <v>-0.5619916823060217</v>
          </cell>
          <cell r="O62">
            <v>9.2996781924206212E-2</v>
          </cell>
          <cell r="P62">
            <v>-0.29988852344741929</v>
          </cell>
          <cell r="Q62">
            <v>4.4255046448773677E-2</v>
          </cell>
          <cell r="R62">
            <v>-0.21161483814613535</v>
          </cell>
          <cell r="S62">
            <v>1.1038688837197833E-2</v>
          </cell>
          <cell r="T62">
            <v>-0.18705851841592294</v>
          </cell>
          <cell r="U62">
            <v>0.10121470605206867</v>
          </cell>
          <cell r="V62">
            <v>-2.7405400698364519E-2</v>
          </cell>
          <cell r="W62">
            <v>-0.49842253187981328</v>
          </cell>
          <cell r="X62">
            <v>9.892194672741246E-2</v>
          </cell>
          <cell r="Y62">
            <v>5.2751205795020246E-2</v>
          </cell>
          <cell r="Z62">
            <v>-0.27294429991043628</v>
          </cell>
          <cell r="AA62">
            <v>-0.17092074972699386</v>
          </cell>
          <cell r="AB62">
            <v>-0.14737279938995165</v>
          </cell>
          <cell r="AC62">
            <v>-0.31669753382193017</v>
          </cell>
          <cell r="AD62">
            <v>0.12212293290889963</v>
          </cell>
          <cell r="AE62">
            <v>-0.3734437492664518</v>
          </cell>
          <cell r="AF62">
            <v>-0.99069795861362631</v>
          </cell>
          <cell r="AG62">
            <v>0.32857508060991397</v>
          </cell>
          <cell r="AH62">
            <v>-8.3154946283051812E-2</v>
          </cell>
          <cell r="AI62">
            <v>-0.37033164699825266</v>
          </cell>
          <cell r="AJ62">
            <v>-0.32290615247177845</v>
          </cell>
          <cell r="AK62">
            <v>0.16333385682637808</v>
          </cell>
          <cell r="AL62">
            <v>-0.25399160774449103</v>
          </cell>
          <cell r="AM62">
            <v>0.19705866932312693</v>
          </cell>
          <cell r="AN62">
            <v>-0.23128939653834701</v>
          </cell>
          <cell r="AO62">
            <v>0.92404020297753808</v>
          </cell>
          <cell r="AP62">
            <v>-0.45783453046022876</v>
          </cell>
          <cell r="AQ62" t="e">
            <v>#DIV/0!</v>
          </cell>
          <cell r="AR62" t="e">
            <v>#DIV/0!</v>
          </cell>
          <cell r="AS62" t="e">
            <v>#DIV/0!</v>
          </cell>
          <cell r="AT62" t="e">
            <v>#DIV/0!</v>
          </cell>
          <cell r="AU62" t="e">
            <v>#DIV/0!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G63">
            <v>61</v>
          </cell>
          <cell r="H63" t="str">
            <v>YTD Actual</v>
          </cell>
          <cell r="I63">
            <v>0</v>
          </cell>
          <cell r="J63">
            <v>0</v>
          </cell>
          <cell r="K63">
            <v>0</v>
          </cell>
          <cell r="L63">
            <v>740286</v>
          </cell>
          <cell r="M63">
            <v>2000262</v>
          </cell>
          <cell r="N63">
            <v>2472410</v>
          </cell>
          <cell r="O63">
            <v>3914534</v>
          </cell>
          <cell r="P63">
            <v>4673828</v>
          </cell>
          <cell r="Q63">
            <v>5925282</v>
          </cell>
          <cell r="R63">
            <v>6658167</v>
          </cell>
          <cell r="S63">
            <v>7765222</v>
          </cell>
          <cell r="T63">
            <v>8639768</v>
          </cell>
          <cell r="U63">
            <v>9727560</v>
          </cell>
          <cell r="V63">
            <v>10743934</v>
          </cell>
          <cell r="W63">
            <v>11320720</v>
          </cell>
          <cell r="X63">
            <v>1745854</v>
          </cell>
          <cell r="Y63">
            <v>3499428</v>
          </cell>
          <cell r="Z63">
            <v>4863210</v>
          </cell>
          <cell r="AA63">
            <v>6310270</v>
          </cell>
          <cell r="AB63">
            <v>7589389</v>
          </cell>
          <cell r="AC63">
            <v>8901368</v>
          </cell>
          <cell r="AD63">
            <v>10566254</v>
          </cell>
          <cell r="AE63">
            <v>11675454</v>
          </cell>
          <cell r="AF63">
            <v>11691440</v>
          </cell>
          <cell r="AG63">
            <v>13946938</v>
          </cell>
          <cell r="AH63">
            <v>15499109</v>
          </cell>
          <cell r="AI63">
            <v>16772260</v>
          </cell>
          <cell r="AJ63">
            <v>933772</v>
          </cell>
          <cell r="AK63">
            <v>2984842</v>
          </cell>
          <cell r="AL63">
            <v>4410144</v>
          </cell>
          <cell r="AM63">
            <v>6327989</v>
          </cell>
          <cell r="AN63">
            <v>7794327</v>
          </cell>
          <cell r="AO63">
            <v>11107833</v>
          </cell>
          <cell r="AP63">
            <v>12039631</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G64">
            <v>62</v>
          </cell>
          <cell r="H64" t="str">
            <v>YTD Target (Budget)</v>
          </cell>
          <cell r="I64">
            <v>0</v>
          </cell>
          <cell r="J64">
            <v>0</v>
          </cell>
          <cell r="K64">
            <v>0</v>
          </cell>
          <cell r="L64">
            <v>809319</v>
          </cell>
          <cell r="M64">
            <v>1916733</v>
          </cell>
          <cell r="N64">
            <v>3076860</v>
          </cell>
          <cell r="O64">
            <v>4152347</v>
          </cell>
          <cell r="P64">
            <v>5236880</v>
          </cell>
          <cell r="Q64">
            <v>6435297</v>
          </cell>
          <cell r="R64">
            <v>7364901</v>
          </cell>
          <cell r="S64">
            <v>8459869</v>
          </cell>
          <cell r="T64">
            <v>9535649</v>
          </cell>
          <cell r="U64">
            <v>10523460</v>
          </cell>
          <cell r="V64">
            <v>11568473</v>
          </cell>
          <cell r="W64">
            <v>12718417</v>
          </cell>
          <cell r="X64">
            <v>1588697</v>
          </cell>
          <cell r="Y64">
            <v>3380101</v>
          </cell>
          <cell r="Z64">
            <v>5194376</v>
          </cell>
          <cell r="AA64">
            <v>6889758</v>
          </cell>
          <cell r="AB64">
            <v>8389079</v>
          </cell>
          <cell r="AC64">
            <v>10532936</v>
          </cell>
          <cell r="AD64">
            <v>12035956</v>
          </cell>
          <cell r="AE64">
            <v>13808165</v>
          </cell>
          <cell r="AF64">
            <v>15526604</v>
          </cell>
          <cell r="AG64">
            <v>17224286</v>
          </cell>
          <cell r="AH64">
            <v>18917234</v>
          </cell>
          <cell r="AI64">
            <v>20939173</v>
          </cell>
          <cell r="AJ64">
            <v>1379088</v>
          </cell>
          <cell r="AK64">
            <v>3193536</v>
          </cell>
          <cell r="AL64">
            <v>5345943</v>
          </cell>
          <cell r="AM64">
            <v>6902895</v>
          </cell>
          <cell r="AN64">
            <v>9428295</v>
          </cell>
          <cell r="AO64">
            <v>11150457</v>
          </cell>
          <cell r="AP64">
            <v>12868319</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G65">
            <v>63</v>
          </cell>
          <cell r="H65" t="str">
            <v>YTD Target (Budget) Var</v>
          </cell>
          <cell r="I65">
            <v>0</v>
          </cell>
          <cell r="J65">
            <v>0</v>
          </cell>
          <cell r="K65">
            <v>0</v>
          </cell>
          <cell r="L65">
            <v>-69033</v>
          </cell>
          <cell r="M65">
            <v>83529</v>
          </cell>
          <cell r="N65">
            <v>-604450</v>
          </cell>
          <cell r="O65">
            <v>-237813</v>
          </cell>
          <cell r="P65">
            <v>-563052</v>
          </cell>
          <cell r="Q65">
            <v>-510015</v>
          </cell>
          <cell r="R65">
            <v>-706734</v>
          </cell>
          <cell r="S65">
            <v>-694647</v>
          </cell>
          <cell r="T65">
            <v>-895881</v>
          </cell>
          <cell r="U65">
            <v>-795900</v>
          </cell>
          <cell r="V65">
            <v>-824539</v>
          </cell>
          <cell r="W65">
            <v>-1397697</v>
          </cell>
          <cell r="X65">
            <v>157157</v>
          </cell>
          <cell r="Y65">
            <v>119327</v>
          </cell>
          <cell r="Z65">
            <v>-331166</v>
          </cell>
          <cell r="AA65">
            <v>-579488</v>
          </cell>
          <cell r="AB65">
            <v>-799690</v>
          </cell>
          <cell r="AC65">
            <v>-1631568</v>
          </cell>
          <cell r="AD65">
            <v>-1469702</v>
          </cell>
          <cell r="AE65">
            <v>-2132711</v>
          </cell>
          <cell r="AF65">
            <v>-3835164</v>
          </cell>
          <cell r="AG65">
            <v>-3277348</v>
          </cell>
          <cell r="AH65">
            <v>-3418125</v>
          </cell>
          <cell r="AI65">
            <v>-4166913</v>
          </cell>
          <cell r="AJ65">
            <v>-445316</v>
          </cell>
          <cell r="AK65">
            <v>-208694</v>
          </cell>
          <cell r="AL65">
            <v>-935799</v>
          </cell>
          <cell r="AM65">
            <v>-574906</v>
          </cell>
          <cell r="AN65">
            <v>-1633968</v>
          </cell>
          <cell r="AO65">
            <v>-42624</v>
          </cell>
          <cell r="AP65">
            <v>-828688</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G66">
            <v>64</v>
          </cell>
          <cell r="H66" t="str">
            <v>YTD %Var</v>
          </cell>
          <cell r="I66">
            <v>0</v>
          </cell>
          <cell r="J66">
            <v>0</v>
          </cell>
          <cell r="K66">
            <v>0</v>
          </cell>
          <cell r="L66">
            <v>-8.5297639126228342E-2</v>
          </cell>
          <cell r="M66">
            <v>4.3578839619289697E-2</v>
          </cell>
          <cell r="N66">
            <v>-0.19645027723068323</v>
          </cell>
          <cell r="O66">
            <v>-5.7271947647920561E-2</v>
          </cell>
          <cell r="P66">
            <v>-0.1075166893264692</v>
          </cell>
          <cell r="Q66">
            <v>-7.9252752437067003E-2</v>
          </cell>
          <cell r="R66">
            <v>-9.595974202504555E-2</v>
          </cell>
          <cell r="S66">
            <v>-8.2110845924446355E-2</v>
          </cell>
          <cell r="T66">
            <v>-9.3950710643816687E-2</v>
          </cell>
          <cell r="U66">
            <v>-7.563101869537206E-2</v>
          </cell>
          <cell r="V66">
            <v>-7.1274661746628096E-2</v>
          </cell>
          <cell r="W66">
            <v>-0.10989551608505996</v>
          </cell>
          <cell r="X66">
            <v>9.892194672741246E-2</v>
          </cell>
          <cell r="Y66">
            <v>3.5302791247953831E-2</v>
          </cell>
          <cell r="Z66">
            <v>-6.3754722415165943E-2</v>
          </cell>
          <cell r="AA66">
            <v>-8.4108614555112093E-2</v>
          </cell>
          <cell r="AB66">
            <v>-9.5325124486251703E-2</v>
          </cell>
          <cell r="AC66">
            <v>-0.15490153932388842</v>
          </cell>
          <cell r="AD66">
            <v>-0.12210928654109404</v>
          </cell>
          <cell r="AE66">
            <v>-0.15445289073530044</v>
          </cell>
          <cell r="AF66">
            <v>-0.24700597761107324</v>
          </cell>
          <cell r="AG66">
            <v>-0.19027482474454965</v>
          </cell>
          <cell r="AH66">
            <v>-0.18068841353868118</v>
          </cell>
          <cell r="AI66">
            <v>-0.19900083924040363</v>
          </cell>
          <cell r="AJ66">
            <v>-0.32290615247177845</v>
          </cell>
          <cell r="AK66">
            <v>-6.5348879737068877E-2</v>
          </cell>
          <cell r="AL66">
            <v>-0.17504844327745359</v>
          </cell>
          <cell r="AM66">
            <v>-8.3284766753659159E-2</v>
          </cell>
          <cell r="AN66">
            <v>-0.17330471734284936</v>
          </cell>
          <cell r="AO66">
            <v>-3.8226235929164159E-3</v>
          </cell>
          <cell r="AP66">
            <v>-6.4397533197615014E-2</v>
          </cell>
          <cell r="AQ66" t="e">
            <v>#DIV/0!</v>
          </cell>
          <cell r="AR66" t="e">
            <v>#DIV/0!</v>
          </cell>
          <cell r="AS66" t="e">
            <v>#DIV/0!</v>
          </cell>
          <cell r="AT66" t="e">
            <v>#DIV/0!</v>
          </cell>
          <cell r="AU66" t="e">
            <v>#DIV/0!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G67">
            <v>65</v>
          </cell>
          <cell r="H67" t="str">
            <v>4 Month Actual</v>
          </cell>
          <cell r="I67">
            <v>0</v>
          </cell>
          <cell r="J67">
            <v>0</v>
          </cell>
          <cell r="K67">
            <v>0</v>
          </cell>
          <cell r="L67">
            <v>740286</v>
          </cell>
          <cell r="M67">
            <v>2000262</v>
          </cell>
          <cell r="N67">
            <v>2472410</v>
          </cell>
          <cell r="O67">
            <v>3914534</v>
          </cell>
          <cell r="P67">
            <v>3933542</v>
          </cell>
          <cell r="Q67">
            <v>3925019</v>
          </cell>
          <cell r="R67">
            <v>4185757</v>
          </cell>
          <cell r="S67">
            <v>3850687</v>
          </cell>
          <cell r="T67">
            <v>3965940</v>
          </cell>
          <cell r="U67">
            <v>3802279</v>
          </cell>
          <cell r="V67">
            <v>4085767</v>
          </cell>
          <cell r="W67">
            <v>3555499</v>
          </cell>
          <cell r="X67">
            <v>4426806</v>
          </cell>
          <cell r="Y67">
            <v>5092588</v>
          </cell>
          <cell r="Z67">
            <v>5439996</v>
          </cell>
          <cell r="AA67">
            <v>6310270</v>
          </cell>
          <cell r="AB67">
            <v>5843535</v>
          </cell>
          <cell r="AC67">
            <v>5401940</v>
          </cell>
          <cell r="AD67">
            <v>5701997</v>
          </cell>
          <cell r="AE67">
            <v>5365325</v>
          </cell>
          <cell r="AF67">
            <v>4102191</v>
          </cell>
          <cell r="AG67">
            <v>5045710</v>
          </cell>
          <cell r="AH67">
            <v>4934042</v>
          </cell>
          <cell r="AI67">
            <v>5096805</v>
          </cell>
          <cell r="AJ67">
            <v>6014592</v>
          </cell>
          <cell r="AK67">
            <v>5781344</v>
          </cell>
          <cell r="AL67">
            <v>5654475</v>
          </cell>
          <cell r="AM67">
            <v>6299170</v>
          </cell>
          <cell r="AN67">
            <v>6831735</v>
          </cell>
          <cell r="AO67">
            <v>8122992</v>
          </cell>
          <cell r="AP67">
            <v>7629056</v>
          </cell>
          <cell r="AQ67">
            <v>5711210</v>
          </cell>
          <cell r="AR67">
            <v>4244873</v>
          </cell>
          <cell r="AS67">
            <v>931366</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G68">
            <v>66</v>
          </cell>
          <cell r="H68" t="str">
            <v>4 Month Target (Budget)</v>
          </cell>
          <cell r="I68">
            <v>0</v>
          </cell>
          <cell r="J68">
            <v>0</v>
          </cell>
          <cell r="K68">
            <v>0</v>
          </cell>
          <cell r="L68">
            <v>809318</v>
          </cell>
          <cell r="M68">
            <v>1937499</v>
          </cell>
          <cell r="N68">
            <v>3015442</v>
          </cell>
          <cell r="O68">
            <v>4334864</v>
          </cell>
          <cell r="P68">
            <v>4610079</v>
          </cell>
          <cell r="Q68">
            <v>4680315</v>
          </cell>
          <cell r="R68">
            <v>4531976</v>
          </cell>
          <cell r="S68">
            <v>4307521</v>
          </cell>
          <cell r="T68">
            <v>4298769</v>
          </cell>
          <cell r="U68">
            <v>4088163</v>
          </cell>
          <cell r="V68">
            <v>4203572</v>
          </cell>
          <cell r="W68">
            <v>4258549</v>
          </cell>
          <cell r="X68">
            <v>4771465</v>
          </cell>
          <cell r="Y68">
            <v>5449360</v>
          </cell>
          <cell r="Z68">
            <v>6280107</v>
          </cell>
          <cell r="AA68">
            <v>6875545</v>
          </cell>
          <cell r="AB68">
            <v>6787057</v>
          </cell>
          <cell r="AC68">
            <v>7041407</v>
          </cell>
          <cell r="AD68">
            <v>6648407</v>
          </cell>
          <cell r="AE68">
            <v>6675233</v>
          </cell>
          <cell r="AF68">
            <v>6893464</v>
          </cell>
          <cell r="AG68">
            <v>6671090</v>
          </cell>
          <cell r="AH68">
            <v>6881278</v>
          </cell>
          <cell r="AI68">
            <v>7131009</v>
          </cell>
          <cell r="AJ68">
            <v>6791657</v>
          </cell>
          <cell r="AK68">
            <v>6832298</v>
          </cell>
          <cell r="AL68">
            <v>7049921</v>
          </cell>
          <cell r="AM68">
            <v>6630114</v>
          </cell>
          <cell r="AN68">
            <v>7158554</v>
          </cell>
          <cell r="AO68">
            <v>7142392</v>
          </cell>
          <cell r="AP68">
            <v>6949684</v>
          </cell>
          <cell r="AQ68">
            <v>5347552</v>
          </cell>
          <cell r="AR68">
            <v>3440024</v>
          </cell>
          <cell r="AS68">
            <v>1717863</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G69">
            <v>67</v>
          </cell>
          <cell r="H69" t="str">
            <v>4 Month Target (Budget) Var</v>
          </cell>
          <cell r="I69">
            <v>0</v>
          </cell>
          <cell r="J69">
            <v>0</v>
          </cell>
          <cell r="K69">
            <v>0</v>
          </cell>
          <cell r="L69">
            <v>-69032</v>
          </cell>
          <cell r="M69">
            <v>62763</v>
          </cell>
          <cell r="N69">
            <v>-543032</v>
          </cell>
          <cell r="O69">
            <v>-420330</v>
          </cell>
          <cell r="P69">
            <v>-676537</v>
          </cell>
          <cell r="Q69">
            <v>-755296</v>
          </cell>
          <cell r="R69">
            <v>-346219</v>
          </cell>
          <cell r="S69">
            <v>-456834</v>
          </cell>
          <cell r="T69">
            <v>-332829</v>
          </cell>
          <cell r="U69">
            <v>-285884</v>
          </cell>
          <cell r="V69">
            <v>-117805</v>
          </cell>
          <cell r="W69">
            <v>-703050</v>
          </cell>
          <cell r="X69">
            <v>-344659</v>
          </cell>
          <cell r="Y69">
            <v>-356772</v>
          </cell>
          <cell r="Z69">
            <v>-840111</v>
          </cell>
          <cell r="AA69">
            <v>-565275</v>
          </cell>
          <cell r="AB69">
            <v>-943522</v>
          </cell>
          <cell r="AC69">
            <v>-1639467</v>
          </cell>
          <cell r="AD69">
            <v>-946410</v>
          </cell>
          <cell r="AE69">
            <v>-1309908</v>
          </cell>
          <cell r="AF69">
            <v>-2791273</v>
          </cell>
          <cell r="AG69">
            <v>-1625380</v>
          </cell>
          <cell r="AH69">
            <v>-1947236</v>
          </cell>
          <cell r="AI69">
            <v>-2034204</v>
          </cell>
          <cell r="AJ69">
            <v>-777065</v>
          </cell>
          <cell r="AK69">
            <v>-1050954</v>
          </cell>
          <cell r="AL69">
            <v>-1395446</v>
          </cell>
          <cell r="AM69">
            <v>-330944</v>
          </cell>
          <cell r="AN69">
            <v>-326819</v>
          </cell>
          <cell r="AO69">
            <v>980600</v>
          </cell>
          <cell r="AP69">
            <v>679372</v>
          </cell>
          <cell r="AQ69">
            <v>363658</v>
          </cell>
          <cell r="AR69">
            <v>804849</v>
          </cell>
          <cell r="AS69">
            <v>-786497</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G70">
            <v>68</v>
          </cell>
          <cell r="H70" t="str">
            <v>4 Month Target (Budget) % Var</v>
          </cell>
          <cell r="I70">
            <v>0</v>
          </cell>
          <cell r="J70">
            <v>0</v>
          </cell>
          <cell r="K70">
            <v>0</v>
          </cell>
          <cell r="L70">
            <v>-8.5296508912442323E-2</v>
          </cell>
          <cell r="M70">
            <v>3.2393823171005511E-2</v>
          </cell>
          <cell r="N70">
            <v>-0.18008371575377671</v>
          </cell>
          <cell r="O70">
            <v>-9.6964979754843514E-2</v>
          </cell>
          <cell r="P70">
            <v>-0.14675171510076074</v>
          </cell>
          <cell r="Q70">
            <v>-0.16137717226297801</v>
          </cell>
          <cell r="R70">
            <v>-7.6394711710741622E-2</v>
          </cell>
          <cell r="S70">
            <v>-0.10605496757879997</v>
          </cell>
          <cell r="T70">
            <v>-7.7424257967804277E-2</v>
          </cell>
          <cell r="U70">
            <v>-6.9929697030182023E-2</v>
          </cell>
          <cell r="V70">
            <v>-2.8024974949875964E-2</v>
          </cell>
          <cell r="W70">
            <v>-0.16509144311830157</v>
          </cell>
          <cell r="X70">
            <v>-7.2233370673367617E-2</v>
          </cell>
          <cell r="Y70">
            <v>-6.5470440565497598E-2</v>
          </cell>
          <cell r="Z70">
            <v>-0.13377335768323692</v>
          </cell>
          <cell r="AA70">
            <v>-8.2215300750704129E-2</v>
          </cell>
          <cell r="AB70">
            <v>-0.13901783939636869</v>
          </cell>
          <cell r="AC70">
            <v>-0.23283230183967493</v>
          </cell>
          <cell r="AD70">
            <v>-0.14235139334881272</v>
          </cell>
          <cell r="AE70">
            <v>-0.19623404905866207</v>
          </cell>
          <cell r="AF70">
            <v>-0.40491587393507822</v>
          </cell>
          <cell r="AG70">
            <v>-0.24364534131603682</v>
          </cell>
          <cell r="AH70">
            <v>-0.28297592394901061</v>
          </cell>
          <cell r="AI70">
            <v>-0.28526173505039748</v>
          </cell>
          <cell r="AJ70">
            <v>-0.11441464137544048</v>
          </cell>
          <cell r="AK70">
            <v>-0.15382145216733814</v>
          </cell>
          <cell r="AL70">
            <v>-0.19793782086352457</v>
          </cell>
          <cell r="AM70">
            <v>-4.9915280491406332E-2</v>
          </cell>
          <cell r="AN70">
            <v>-4.5654331866463532E-2</v>
          </cell>
          <cell r="AO70">
            <v>0.13729294051628643</v>
          </cell>
          <cell r="AP70">
            <v>9.7755811631147549E-2</v>
          </cell>
          <cell r="AQ70">
            <v>6.8004574803573678E-2</v>
          </cell>
          <cell r="AR70">
            <v>0.23396610023650999</v>
          </cell>
          <cell r="AS70">
            <v>-0.45783453046022876</v>
          </cell>
          <cell r="AT70" t="e">
            <v>#DIV/0!</v>
          </cell>
          <cell r="AU70" t="e">
            <v>#DIV/0!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G71">
            <v>69</v>
          </cell>
          <cell r="H71" t="str">
            <v>Actual</v>
          </cell>
          <cell r="I71">
            <v>0</v>
          </cell>
          <cell r="J71">
            <v>0</v>
          </cell>
          <cell r="K71">
            <v>0</v>
          </cell>
          <cell r="L71">
            <v>8849065</v>
          </cell>
          <cell r="M71">
            <v>73414359</v>
          </cell>
          <cell r="N71">
            <v>-6074969</v>
          </cell>
          <cell r="O71">
            <v>-7402481</v>
          </cell>
          <cell r="P71">
            <v>-7663297</v>
          </cell>
          <cell r="Q71">
            <v>-7360840</v>
          </cell>
          <cell r="R71">
            <v>6974005</v>
          </cell>
          <cell r="S71">
            <v>-2773888</v>
          </cell>
          <cell r="T71">
            <v>-6531044</v>
          </cell>
          <cell r="U71">
            <v>-7168504</v>
          </cell>
          <cell r="V71">
            <v>-8931473</v>
          </cell>
          <cell r="W71">
            <v>-5565148</v>
          </cell>
          <cell r="X71">
            <v>7565771</v>
          </cell>
          <cell r="Y71">
            <v>72009160</v>
          </cell>
          <cell r="Z71">
            <v>-8073873</v>
          </cell>
          <cell r="AA71">
            <v>-9276492</v>
          </cell>
          <cell r="AB71">
            <v>1195782</v>
          </cell>
          <cell r="AC71">
            <v>-1650637</v>
          </cell>
          <cell r="AD71">
            <v>-8194601</v>
          </cell>
          <cell r="AE71">
            <v>-7092500</v>
          </cell>
          <cell r="AF71">
            <v>-7119581</v>
          </cell>
          <cell r="AG71">
            <v>-8814650</v>
          </cell>
          <cell r="AH71">
            <v>-8678498</v>
          </cell>
          <cell r="AI71">
            <v>-6761494</v>
          </cell>
          <cell r="AJ71">
            <v>1124433</v>
          </cell>
          <cell r="AK71">
            <v>67567620</v>
          </cell>
          <cell r="AL71">
            <v>-5460705</v>
          </cell>
          <cell r="AM71">
            <v>-9905429</v>
          </cell>
          <cell r="AN71">
            <v>-7119696</v>
          </cell>
          <cell r="AO71">
            <v>-5241273</v>
          </cell>
          <cell r="AP71">
            <v>-6805138</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G72">
            <v>70</v>
          </cell>
          <cell r="H72" t="str">
            <v>Target (Budget)</v>
          </cell>
          <cell r="I72">
            <v>0</v>
          </cell>
          <cell r="J72">
            <v>0</v>
          </cell>
          <cell r="K72">
            <v>0</v>
          </cell>
          <cell r="L72">
            <v>8778255</v>
          </cell>
          <cell r="M72">
            <v>73629501</v>
          </cell>
          <cell r="N72">
            <v>-7607122</v>
          </cell>
          <cell r="O72">
            <v>-7697251</v>
          </cell>
          <cell r="P72">
            <v>-9286520</v>
          </cell>
          <cell r="Q72">
            <v>-8088755</v>
          </cell>
          <cell r="R72">
            <v>7940165</v>
          </cell>
          <cell r="S72">
            <v>-3243658</v>
          </cell>
          <cell r="T72">
            <v>-7153395</v>
          </cell>
          <cell r="U72">
            <v>-7581668</v>
          </cell>
          <cell r="V72">
            <v>-8883859</v>
          </cell>
          <cell r="W72">
            <v>-9838325</v>
          </cell>
          <cell r="X72">
            <v>7280821</v>
          </cell>
          <cell r="Y72">
            <v>71623553</v>
          </cell>
          <cell r="Z72">
            <v>-6882300</v>
          </cell>
          <cell r="AA72">
            <v>-9825834</v>
          </cell>
          <cell r="AB72">
            <v>220583</v>
          </cell>
          <cell r="AC72">
            <v>-2904980</v>
          </cell>
          <cell r="AD72">
            <v>-8062382</v>
          </cell>
          <cell r="AE72">
            <v>-8168863</v>
          </cell>
          <cell r="AF72">
            <v>-7045598</v>
          </cell>
          <cell r="AG72">
            <v>-8096109</v>
          </cell>
          <cell r="AH72">
            <v>-11016187</v>
          </cell>
          <cell r="AI72">
            <v>-9259556</v>
          </cell>
          <cell r="AJ72">
            <v>307466</v>
          </cell>
          <cell r="AK72">
            <v>67458366</v>
          </cell>
          <cell r="AL72">
            <v>-6335187</v>
          </cell>
          <cell r="AM72">
            <v>-8842976</v>
          </cell>
          <cell r="AN72">
            <v>-7861198</v>
          </cell>
          <cell r="AO72">
            <v>-3410839</v>
          </cell>
          <cell r="AP72">
            <v>-7610430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G73">
            <v>71</v>
          </cell>
          <cell r="H73" t="str">
            <v>Target (Budget) Variance</v>
          </cell>
          <cell r="I73">
            <v>0</v>
          </cell>
          <cell r="J73">
            <v>0</v>
          </cell>
          <cell r="K73">
            <v>0</v>
          </cell>
          <cell r="L73">
            <v>70810</v>
          </cell>
          <cell r="M73">
            <v>-215142</v>
          </cell>
          <cell r="N73">
            <v>1532153</v>
          </cell>
          <cell r="O73">
            <v>294770</v>
          </cell>
          <cell r="P73">
            <v>1623223</v>
          </cell>
          <cell r="Q73">
            <v>727915</v>
          </cell>
          <cell r="R73">
            <v>-966160</v>
          </cell>
          <cell r="S73">
            <v>469770</v>
          </cell>
          <cell r="T73">
            <v>622351</v>
          </cell>
          <cell r="U73">
            <v>413164</v>
          </cell>
          <cell r="V73">
            <v>-47614</v>
          </cell>
          <cell r="W73">
            <v>4273177</v>
          </cell>
          <cell r="X73">
            <v>284950</v>
          </cell>
          <cell r="Y73">
            <v>385607</v>
          </cell>
          <cell r="Z73">
            <v>-1191573</v>
          </cell>
          <cell r="AA73">
            <v>549342</v>
          </cell>
          <cell r="AB73">
            <v>975199</v>
          </cell>
          <cell r="AC73">
            <v>1254343</v>
          </cell>
          <cell r="AD73">
            <v>-132219</v>
          </cell>
          <cell r="AE73">
            <v>1076363</v>
          </cell>
          <cell r="AF73">
            <v>-73983</v>
          </cell>
          <cell r="AG73">
            <v>-718541</v>
          </cell>
          <cell r="AH73">
            <v>2337689</v>
          </cell>
          <cell r="AI73">
            <v>2498062</v>
          </cell>
          <cell r="AJ73">
            <v>816967</v>
          </cell>
          <cell r="AK73">
            <v>109254</v>
          </cell>
          <cell r="AL73">
            <v>874482</v>
          </cell>
          <cell r="AM73">
            <v>-1062453</v>
          </cell>
          <cell r="AN73">
            <v>741502</v>
          </cell>
          <cell r="AO73">
            <v>-1830434</v>
          </cell>
          <cell r="AP73">
            <v>805292</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G74">
            <v>72</v>
          </cell>
          <cell r="H74" t="str">
            <v>Target (Budget) %Var</v>
          </cell>
          <cell r="I74">
            <v>0</v>
          </cell>
          <cell r="J74">
            <v>0</v>
          </cell>
          <cell r="K74">
            <v>0</v>
          </cell>
          <cell r="L74">
            <v>8.0665234719201027E-3</v>
          </cell>
          <cell r="M74">
            <v>-2.9219537967532876E-3</v>
          </cell>
          <cell r="N74">
            <v>0.20141033626120364</v>
          </cell>
          <cell r="O74">
            <v>3.8295490169152596E-2</v>
          </cell>
          <cell r="P74">
            <v>0.1747934640748095</v>
          </cell>
          <cell r="Q74">
            <v>8.9990981306764764E-2</v>
          </cell>
          <cell r="R74">
            <v>-0.12168009103085389</v>
          </cell>
          <cell r="S74">
            <v>0.14482722901119663</v>
          </cell>
          <cell r="T74">
            <v>8.7000787737850346E-2</v>
          </cell>
          <cell r="U74">
            <v>5.4495132205736256E-2</v>
          </cell>
          <cell r="V74">
            <v>-5.359607801069333E-3</v>
          </cell>
          <cell r="W74">
            <v>0.43433989017439451</v>
          </cell>
          <cell r="X74">
            <v>3.9137069844183782E-2</v>
          </cell>
          <cell r="Y74">
            <v>5.3838016106238125E-3</v>
          </cell>
          <cell r="Z74">
            <v>-0.1731358702759252</v>
          </cell>
          <cell r="AA74">
            <v>5.590792598368749E-2</v>
          </cell>
          <cell r="AB74">
            <v>4.4210070585675236</v>
          </cell>
          <cell r="AC74">
            <v>0.43179058031380596</v>
          </cell>
          <cell r="AD74">
            <v>-1.639949583138085E-2</v>
          </cell>
          <cell r="AE74">
            <v>0.13176411454078737</v>
          </cell>
          <cell r="AF74">
            <v>-1.0500599097479022E-2</v>
          </cell>
          <cell r="AG74">
            <v>-8.8751398974495035E-2</v>
          </cell>
          <cell r="AH74">
            <v>0.21220491264354899</v>
          </cell>
          <cell r="AI74">
            <v>0.26978205002486078</v>
          </cell>
          <cell r="AJ74">
            <v>2.6570970448765068</v>
          </cell>
          <cell r="AK74">
            <v>1.6195767327065111E-3</v>
          </cell>
          <cell r="AL74">
            <v>0.13803570439199347</v>
          </cell>
          <cell r="AM74">
            <v>-0.12014654342610452</v>
          </cell>
          <cell r="AN74">
            <v>9.4324300189360458E-2</v>
          </cell>
          <cell r="AO74">
            <v>-0.53665212576729659</v>
          </cell>
          <cell r="AP74">
            <v>0.10581425753866733</v>
          </cell>
          <cell r="AQ74" t="e">
            <v>#DIV/0!</v>
          </cell>
          <cell r="AR74" t="e">
            <v>#DIV/0!</v>
          </cell>
          <cell r="AS74" t="e">
            <v>#DIV/0!</v>
          </cell>
          <cell r="AT74" t="e">
            <v>#DIV/0!</v>
          </cell>
          <cell r="AU74" t="e">
            <v>#DIV/0!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G75">
            <v>73</v>
          </cell>
          <cell r="H75" t="str">
            <v>YTD Actual</v>
          </cell>
          <cell r="I75">
            <v>0</v>
          </cell>
          <cell r="J75">
            <v>0</v>
          </cell>
          <cell r="K75">
            <v>0</v>
          </cell>
          <cell r="L75">
            <v>8849065</v>
          </cell>
          <cell r="M75">
            <v>82263424</v>
          </cell>
          <cell r="N75">
            <v>76188455</v>
          </cell>
          <cell r="O75">
            <v>68785974</v>
          </cell>
          <cell r="P75">
            <v>61122676</v>
          </cell>
          <cell r="Q75">
            <v>53761836</v>
          </cell>
          <cell r="R75">
            <v>54497926</v>
          </cell>
          <cell r="S75">
            <v>44120181</v>
          </cell>
          <cell r="T75">
            <v>37589137</v>
          </cell>
          <cell r="U75">
            <v>30420633</v>
          </cell>
          <cell r="V75">
            <v>21489159</v>
          </cell>
          <cell r="W75">
            <v>13086266</v>
          </cell>
          <cell r="X75">
            <v>7565771</v>
          </cell>
          <cell r="Y75">
            <v>79559109</v>
          </cell>
          <cell r="Z75">
            <v>71485236</v>
          </cell>
          <cell r="AA75">
            <v>62208744</v>
          </cell>
          <cell r="AB75">
            <v>63404525</v>
          </cell>
          <cell r="AC75">
            <v>61753888</v>
          </cell>
          <cell r="AD75">
            <v>53347779</v>
          </cell>
          <cell r="AE75">
            <v>46513308</v>
          </cell>
          <cell r="AF75">
            <v>39393726</v>
          </cell>
          <cell r="AG75">
            <v>30579083</v>
          </cell>
          <cell r="AH75">
            <v>21900591</v>
          </cell>
          <cell r="AI75">
            <v>15139087</v>
          </cell>
          <cell r="AJ75">
            <v>1124433</v>
          </cell>
          <cell r="AK75">
            <v>68677833</v>
          </cell>
          <cell r="AL75">
            <v>63217129</v>
          </cell>
          <cell r="AM75">
            <v>53311699</v>
          </cell>
          <cell r="AN75">
            <v>46192003</v>
          </cell>
          <cell r="AO75">
            <v>40950730</v>
          </cell>
          <cell r="AP75">
            <v>33985152</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G76">
            <v>74</v>
          </cell>
          <cell r="H76" t="str">
            <v>YTD Target (Budget)</v>
          </cell>
          <cell r="I76">
            <v>0</v>
          </cell>
          <cell r="J76">
            <v>0</v>
          </cell>
          <cell r="K76">
            <v>0</v>
          </cell>
          <cell r="L76">
            <v>8778255</v>
          </cell>
          <cell r="M76">
            <v>82443722</v>
          </cell>
          <cell r="N76">
            <v>74823332</v>
          </cell>
          <cell r="O76">
            <v>68126966</v>
          </cell>
          <cell r="P76">
            <v>58833107</v>
          </cell>
          <cell r="Q76">
            <v>50740981</v>
          </cell>
          <cell r="R76">
            <v>58484941</v>
          </cell>
          <cell r="S76">
            <v>39663396</v>
          </cell>
          <cell r="T76">
            <v>32510000</v>
          </cell>
          <cell r="U76">
            <v>24928332</v>
          </cell>
          <cell r="V76">
            <v>16044473</v>
          </cell>
          <cell r="W76">
            <v>3266076</v>
          </cell>
          <cell r="X76">
            <v>7280821</v>
          </cell>
          <cell r="Y76">
            <v>78431044</v>
          </cell>
          <cell r="Z76">
            <v>72104451</v>
          </cell>
          <cell r="AA76">
            <v>62571622</v>
          </cell>
          <cell r="AB76">
            <v>62925429</v>
          </cell>
          <cell r="AC76">
            <v>59766289</v>
          </cell>
          <cell r="AD76">
            <v>51683648</v>
          </cell>
          <cell r="AE76">
            <v>43514785</v>
          </cell>
          <cell r="AF76">
            <v>36469194</v>
          </cell>
          <cell r="AG76">
            <v>28378767</v>
          </cell>
          <cell r="AH76">
            <v>17362586</v>
          </cell>
          <cell r="AI76">
            <v>8107610</v>
          </cell>
          <cell r="AJ76">
            <v>307466</v>
          </cell>
          <cell r="AK76">
            <v>67573002</v>
          </cell>
          <cell r="AL76">
            <v>61249287</v>
          </cell>
          <cell r="AM76">
            <v>52692490</v>
          </cell>
          <cell r="AN76">
            <v>44159047</v>
          </cell>
          <cell r="AO76">
            <v>40694578</v>
          </cell>
          <cell r="AP76">
            <v>33118687</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G77">
            <v>75</v>
          </cell>
          <cell r="H77" t="str">
            <v>YTD Target (Budget) Var</v>
          </cell>
          <cell r="I77">
            <v>0</v>
          </cell>
          <cell r="J77">
            <v>0</v>
          </cell>
          <cell r="K77">
            <v>0</v>
          </cell>
          <cell r="L77">
            <v>70810</v>
          </cell>
          <cell r="M77">
            <v>-180298</v>
          </cell>
          <cell r="N77">
            <v>1365123</v>
          </cell>
          <cell r="O77">
            <v>659008</v>
          </cell>
          <cell r="P77">
            <v>2289569</v>
          </cell>
          <cell r="Q77">
            <v>3020855</v>
          </cell>
          <cell r="R77">
            <v>-3987015</v>
          </cell>
          <cell r="S77">
            <v>4456785</v>
          </cell>
          <cell r="T77">
            <v>5079137</v>
          </cell>
          <cell r="U77">
            <v>5492301</v>
          </cell>
          <cell r="V77">
            <v>5444686</v>
          </cell>
          <cell r="W77">
            <v>9820190</v>
          </cell>
          <cell r="X77">
            <v>284950</v>
          </cell>
          <cell r="Y77">
            <v>1128065</v>
          </cell>
          <cell r="Z77">
            <v>-619215</v>
          </cell>
          <cell r="AA77">
            <v>-362878</v>
          </cell>
          <cell r="AB77">
            <v>479096</v>
          </cell>
          <cell r="AC77">
            <v>1987599</v>
          </cell>
          <cell r="AD77">
            <v>1664131</v>
          </cell>
          <cell r="AE77">
            <v>2998523</v>
          </cell>
          <cell r="AF77">
            <v>2924532</v>
          </cell>
          <cell r="AG77">
            <v>2200316</v>
          </cell>
          <cell r="AH77">
            <v>4538005</v>
          </cell>
          <cell r="AI77">
            <v>7031477</v>
          </cell>
          <cell r="AJ77">
            <v>816967</v>
          </cell>
          <cell r="AK77">
            <v>1104831</v>
          </cell>
          <cell r="AL77">
            <v>1967842</v>
          </cell>
          <cell r="AM77">
            <v>619209</v>
          </cell>
          <cell r="AN77">
            <v>2032956</v>
          </cell>
          <cell r="AO77">
            <v>256152</v>
          </cell>
          <cell r="AP77">
            <v>866465</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G78">
            <v>76</v>
          </cell>
          <cell r="H78" t="str">
            <v>YTD %Var</v>
          </cell>
          <cell r="I78">
            <v>0</v>
          </cell>
          <cell r="J78">
            <v>0</v>
          </cell>
          <cell r="K78">
            <v>0</v>
          </cell>
          <cell r="L78">
            <v>8.0665234719201027E-3</v>
          </cell>
          <cell r="M78">
            <v>-2.1869221285278702E-3</v>
          </cell>
          <cell r="N78">
            <v>1.8244616532180097E-2</v>
          </cell>
          <cell r="O78">
            <v>9.673232769532112E-3</v>
          </cell>
          <cell r="P78">
            <v>3.8916336680977937E-2</v>
          </cell>
          <cell r="Q78">
            <v>5.9534816640616391E-2</v>
          </cell>
          <cell r="R78">
            <v>-6.8171651228989008E-2</v>
          </cell>
          <cell r="S78">
            <v>0.11236518930451643</v>
          </cell>
          <cell r="T78">
            <v>0.15623306674869272</v>
          </cell>
          <cell r="U78">
            <v>0.22032364620304318</v>
          </cell>
          <cell r="V78">
            <v>0.33934963148992181</v>
          </cell>
          <cell r="W78">
            <v>3.0067242770835705</v>
          </cell>
          <cell r="X78">
            <v>3.9137069844183782E-2</v>
          </cell>
          <cell r="Y78">
            <v>1.438288899992202E-2</v>
          </cell>
          <cell r="Z78">
            <v>-8.5877500128251436E-3</v>
          </cell>
          <cell r="AA78">
            <v>-5.7994021634919417E-3</v>
          </cell>
          <cell r="AB78">
            <v>7.6137105080364255E-3</v>
          </cell>
          <cell r="AC78">
            <v>3.3256188952939678E-2</v>
          </cell>
          <cell r="AD78">
            <v>3.2198404416035026E-2</v>
          </cell>
          <cell r="AE78">
            <v>6.8908142370460987E-2</v>
          </cell>
          <cell r="AF78">
            <v>8.0191846301840397E-2</v>
          </cell>
          <cell r="AG78">
            <v>7.7533882990758543E-2</v>
          </cell>
          <cell r="AH78">
            <v>0.2613668839422883</v>
          </cell>
          <cell r="AI78">
            <v>0.86726877587846485</v>
          </cell>
          <cell r="AJ78">
            <v>2.6570970448765068</v>
          </cell>
          <cell r="AK78">
            <v>1.6350183761260156E-2</v>
          </cell>
          <cell r="AL78">
            <v>3.2128406653941947E-2</v>
          </cell>
          <cell r="AM78">
            <v>1.1751371020803914E-2</v>
          </cell>
          <cell r="AN78">
            <v>4.6037134814073323E-2</v>
          </cell>
          <cell r="AO78">
            <v>6.2944994785300388E-3</v>
          </cell>
          <cell r="AP78">
            <v>2.6162420025890518E-2</v>
          </cell>
          <cell r="AQ78" t="e">
            <v>#DIV/0!</v>
          </cell>
          <cell r="AR78" t="e">
            <v>#DIV/0!</v>
          </cell>
          <cell r="AS78" t="e">
            <v>#DIV/0!</v>
          </cell>
          <cell r="AT78" t="e">
            <v>#DIV/0!</v>
          </cell>
          <cell r="AU78" t="e">
            <v>#DIV/0!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G79">
            <v>77</v>
          </cell>
          <cell r="H79" t="str">
            <v>4 Month Actual</v>
          </cell>
          <cell r="I79">
            <v>0</v>
          </cell>
          <cell r="J79">
            <v>0</v>
          </cell>
          <cell r="K79">
            <v>0</v>
          </cell>
          <cell r="L79">
            <v>8849065</v>
          </cell>
          <cell r="M79">
            <v>82263424</v>
          </cell>
          <cell r="N79">
            <v>76188455</v>
          </cell>
          <cell r="O79">
            <v>68785974</v>
          </cell>
          <cell r="P79">
            <v>52273612</v>
          </cell>
          <cell r="Q79">
            <v>-28501587</v>
          </cell>
          <cell r="R79">
            <v>-15452613</v>
          </cell>
          <cell r="S79">
            <v>-10824020</v>
          </cell>
          <cell r="T79">
            <v>-9691767</v>
          </cell>
          <cell r="U79">
            <v>-9499431</v>
          </cell>
          <cell r="V79">
            <v>-25404909</v>
          </cell>
          <cell r="W79">
            <v>-28196169</v>
          </cell>
          <cell r="X79">
            <v>-14099354</v>
          </cell>
          <cell r="Y79">
            <v>65078310</v>
          </cell>
          <cell r="Z79">
            <v>65935910</v>
          </cell>
          <cell r="AA79">
            <v>62224566</v>
          </cell>
          <cell r="AB79">
            <v>55854577</v>
          </cell>
          <cell r="AC79">
            <v>-17805220</v>
          </cell>
          <cell r="AD79">
            <v>-17925948</v>
          </cell>
          <cell r="AE79">
            <v>-15741956</v>
          </cell>
          <cell r="AF79">
            <v>-24057319</v>
          </cell>
          <cell r="AG79">
            <v>-31221332</v>
          </cell>
          <cell r="AH79">
            <v>-31705229</v>
          </cell>
          <cell r="AI79">
            <v>-31374223</v>
          </cell>
          <cell r="AJ79">
            <v>-23130209</v>
          </cell>
          <cell r="AK79">
            <v>53252061</v>
          </cell>
          <cell r="AL79">
            <v>56469854</v>
          </cell>
          <cell r="AM79">
            <v>53325919</v>
          </cell>
          <cell r="AN79">
            <v>45081790</v>
          </cell>
          <cell r="AO79">
            <v>-27727103</v>
          </cell>
          <cell r="AP79">
            <v>-29071536</v>
          </cell>
          <cell r="AQ79">
            <v>-19166107</v>
          </cell>
          <cell r="AR79">
            <v>-12046411</v>
          </cell>
          <cell r="AS79">
            <v>-6805138</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G80">
            <v>78</v>
          </cell>
          <cell r="H80" t="str">
            <v>4 Month Target (Budget)</v>
          </cell>
          <cell r="I80">
            <v>0</v>
          </cell>
          <cell r="J80">
            <v>0</v>
          </cell>
          <cell r="K80">
            <v>0</v>
          </cell>
          <cell r="L80">
            <v>8778255</v>
          </cell>
          <cell r="M80">
            <v>82407756</v>
          </cell>
          <cell r="N80">
            <v>74800634</v>
          </cell>
          <cell r="O80">
            <v>67103383</v>
          </cell>
          <cell r="P80">
            <v>49038608</v>
          </cell>
          <cell r="Q80">
            <v>-32679648</v>
          </cell>
          <cell r="R80">
            <v>-17132361</v>
          </cell>
          <cell r="S80">
            <v>-12678768</v>
          </cell>
          <cell r="T80">
            <v>-10545643</v>
          </cell>
          <cell r="U80">
            <v>-10038556</v>
          </cell>
          <cell r="V80">
            <v>-26862580</v>
          </cell>
          <cell r="W80">
            <v>-33457247</v>
          </cell>
          <cell r="X80">
            <v>-19023031</v>
          </cell>
          <cell r="Y80">
            <v>60182190</v>
          </cell>
          <cell r="Z80">
            <v>62183749</v>
          </cell>
          <cell r="AA80">
            <v>62196240</v>
          </cell>
          <cell r="AB80">
            <v>55136002</v>
          </cell>
          <cell r="AC80">
            <v>-19392531</v>
          </cell>
          <cell r="AD80">
            <v>-20572613</v>
          </cell>
          <cell r="AE80">
            <v>-18915642</v>
          </cell>
          <cell r="AF80">
            <v>-26181823</v>
          </cell>
          <cell r="AG80">
            <v>-31372952</v>
          </cell>
          <cell r="AH80">
            <v>-34326757</v>
          </cell>
          <cell r="AI80">
            <v>-35417450</v>
          </cell>
          <cell r="AJ80">
            <v>-28064386</v>
          </cell>
          <cell r="AK80">
            <v>47490089</v>
          </cell>
          <cell r="AL80">
            <v>52171089</v>
          </cell>
          <cell r="AM80">
            <v>52587669</v>
          </cell>
          <cell r="AN80">
            <v>44419005</v>
          </cell>
          <cell r="AO80">
            <v>-26450200</v>
          </cell>
          <cell r="AP80">
            <v>-27725443</v>
          </cell>
          <cell r="AQ80">
            <v>-18882467</v>
          </cell>
          <cell r="AR80">
            <v>-11021269</v>
          </cell>
          <cell r="AS80">
            <v>-7610430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G81">
            <v>79</v>
          </cell>
          <cell r="H81" t="str">
            <v>4 Month Target (Budget) Var</v>
          </cell>
          <cell r="I81">
            <v>0</v>
          </cell>
          <cell r="J81">
            <v>0</v>
          </cell>
          <cell r="K81">
            <v>0</v>
          </cell>
          <cell r="L81">
            <v>70810</v>
          </cell>
          <cell r="M81">
            <v>-144332</v>
          </cell>
          <cell r="N81">
            <v>1387821</v>
          </cell>
          <cell r="O81">
            <v>1682591</v>
          </cell>
          <cell r="P81">
            <v>3235004</v>
          </cell>
          <cell r="Q81">
            <v>4178061</v>
          </cell>
          <cell r="R81">
            <v>1679748</v>
          </cell>
          <cell r="S81">
            <v>1854748</v>
          </cell>
          <cell r="T81">
            <v>853876</v>
          </cell>
          <cell r="U81">
            <v>539125</v>
          </cell>
          <cell r="V81">
            <v>1457671</v>
          </cell>
          <cell r="W81">
            <v>5261078</v>
          </cell>
          <cell r="X81">
            <v>4923677</v>
          </cell>
          <cell r="Y81">
            <v>4896120</v>
          </cell>
          <cell r="Z81">
            <v>3752161</v>
          </cell>
          <cell r="AA81">
            <v>28326</v>
          </cell>
          <cell r="AB81">
            <v>718575</v>
          </cell>
          <cell r="AC81">
            <v>1587311</v>
          </cell>
          <cell r="AD81">
            <v>2646665</v>
          </cell>
          <cell r="AE81">
            <v>3173686</v>
          </cell>
          <cell r="AF81">
            <v>2124504</v>
          </cell>
          <cell r="AG81">
            <v>151620</v>
          </cell>
          <cell r="AH81">
            <v>2621528</v>
          </cell>
          <cell r="AI81">
            <v>4043227</v>
          </cell>
          <cell r="AJ81">
            <v>4934177</v>
          </cell>
          <cell r="AK81">
            <v>5761972</v>
          </cell>
          <cell r="AL81">
            <v>4298765</v>
          </cell>
          <cell r="AM81">
            <v>738250</v>
          </cell>
          <cell r="AN81">
            <v>662785</v>
          </cell>
          <cell r="AO81">
            <v>-1276903</v>
          </cell>
          <cell r="AP81">
            <v>-1346093</v>
          </cell>
          <cell r="AQ81">
            <v>-283640</v>
          </cell>
          <cell r="AR81">
            <v>-1025142</v>
          </cell>
          <cell r="AS81">
            <v>805292</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G82">
            <v>80</v>
          </cell>
          <cell r="H82" t="str">
            <v>4 Month Target (Budget) % Var</v>
          </cell>
          <cell r="I82">
            <v>0</v>
          </cell>
          <cell r="J82">
            <v>0</v>
          </cell>
          <cell r="K82">
            <v>0</v>
          </cell>
          <cell r="L82">
            <v>8.0665234719201027E-3</v>
          </cell>
          <cell r="M82">
            <v>-1.7514370856063597E-3</v>
          </cell>
          <cell r="N82">
            <v>1.8553599425373855E-2</v>
          </cell>
          <cell r="O82">
            <v>2.5074607639379375E-2</v>
          </cell>
          <cell r="P82">
            <v>6.5968511993652015E-2</v>
          </cell>
          <cell r="Q82">
            <v>0.12784902089520669</v>
          </cell>
          <cell r="R82">
            <v>9.8045330704857311E-2</v>
          </cell>
          <cell r="S82">
            <v>0.14628771502089161</v>
          </cell>
          <cell r="T82">
            <v>8.0969553018246487E-2</v>
          </cell>
          <cell r="U82">
            <v>5.370543333124804E-2</v>
          </cell>
          <cell r="V82">
            <v>5.4263998469246066E-2</v>
          </cell>
          <cell r="W82">
            <v>0.1572477855096685</v>
          </cell>
          <cell r="X82">
            <v>0.25882715535710371</v>
          </cell>
          <cell r="Y82">
            <v>8.1354965646813451E-2</v>
          </cell>
          <cell r="Z82">
            <v>6.0339896843466287E-2</v>
          </cell>
          <cell r="AA82">
            <v>4.5542946004453001E-4</v>
          </cell>
          <cell r="AB82">
            <v>1.3032773032763602E-2</v>
          </cell>
          <cell r="AC82">
            <v>8.185166753117476E-2</v>
          </cell>
          <cell r="AD82">
            <v>0.12864991919111102</v>
          </cell>
          <cell r="AE82">
            <v>0.16778103539916858</v>
          </cell>
          <cell r="AF82">
            <v>8.1144235067206735E-2</v>
          </cell>
          <cell r="AG82">
            <v>4.83282542235745E-3</v>
          </cell>
          <cell r="AH82">
            <v>7.6369812621681687E-2</v>
          </cell>
          <cell r="AI82">
            <v>0.11415917859699103</v>
          </cell>
          <cell r="AJ82">
            <v>0.17581631752071825</v>
          </cell>
          <cell r="AK82">
            <v>0.12132998950581037</v>
          </cell>
          <cell r="AL82">
            <v>8.2397455801622235E-2</v>
          </cell>
          <cell r="AM82">
            <v>1.4038462134535759E-2</v>
          </cell>
          <cell r="AN82">
            <v>1.492120321020248E-2</v>
          </cell>
          <cell r="AO82">
            <v>-4.8275740826156321E-2</v>
          </cell>
          <cell r="AP82">
            <v>-4.8550820270031395E-2</v>
          </cell>
          <cell r="AQ82">
            <v>-1.5021342285412177E-2</v>
          </cell>
          <cell r="AR82">
            <v>-9.3014878776663562E-2</v>
          </cell>
          <cell r="AS82">
            <v>0.10581425753866733</v>
          </cell>
          <cell r="AT82" t="e">
            <v>#DIV/0!</v>
          </cell>
          <cell r="AU82" t="e">
            <v>#DIV/0!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G83">
            <v>81</v>
          </cell>
          <cell r="H83" t="str">
            <v>Actual</v>
          </cell>
          <cell r="I83">
            <v>0</v>
          </cell>
          <cell r="J83">
            <v>0</v>
          </cell>
          <cell r="K83">
            <v>0</v>
          </cell>
          <cell r="L83">
            <v>8373918</v>
          </cell>
          <cell r="M83">
            <v>75970334</v>
          </cell>
          <cell r="N83">
            <v>-6469546</v>
          </cell>
          <cell r="O83">
            <v>-7609597</v>
          </cell>
          <cell r="P83">
            <v>-8001001</v>
          </cell>
          <cell r="Q83">
            <v>-7539118</v>
          </cell>
          <cell r="R83">
            <v>-6854872</v>
          </cell>
          <cell r="S83">
            <v>-3006015</v>
          </cell>
          <cell r="T83">
            <v>-6971581</v>
          </cell>
          <cell r="U83">
            <v>-7297417</v>
          </cell>
          <cell r="V83">
            <v>-9437371</v>
          </cell>
          <cell r="W83">
            <v>-2242647</v>
          </cell>
          <cell r="X83">
            <v>7832624</v>
          </cell>
          <cell r="Y83">
            <v>71842341</v>
          </cell>
          <cell r="Z83">
            <v>-8619072</v>
          </cell>
          <cell r="AA83">
            <v>-10290649</v>
          </cell>
          <cell r="AB83">
            <v>1051115</v>
          </cell>
          <cell r="AC83">
            <v>-4213666</v>
          </cell>
          <cell r="AD83">
            <v>-9236696</v>
          </cell>
          <cell r="AE83">
            <v>-6986717</v>
          </cell>
          <cell r="AF83">
            <v>-8485446</v>
          </cell>
          <cell r="AG83">
            <v>-9959162</v>
          </cell>
          <cell r="AH83">
            <v>-9026914</v>
          </cell>
          <cell r="AI83">
            <v>-5759722</v>
          </cell>
          <cell r="AJ83">
            <v>1361581</v>
          </cell>
          <cell r="AK83">
            <v>67779588</v>
          </cell>
          <cell r="AL83">
            <v>-6203874</v>
          </cell>
          <cell r="AM83">
            <v>-9610473</v>
          </cell>
          <cell r="AN83">
            <v>-225877</v>
          </cell>
          <cell r="AO83">
            <v>-5014374</v>
          </cell>
          <cell r="AP83">
            <v>-6192638</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G84">
            <v>82</v>
          </cell>
          <cell r="H84" t="str">
            <v>Target (Budget)</v>
          </cell>
          <cell r="I84">
            <v>0</v>
          </cell>
          <cell r="J84">
            <v>0</v>
          </cell>
          <cell r="K84">
            <v>0</v>
          </cell>
          <cell r="L84">
            <v>8432729</v>
          </cell>
          <cell r="M84">
            <v>73596329</v>
          </cell>
          <cell r="N84">
            <v>-8303856</v>
          </cell>
          <cell r="O84">
            <v>-8087185</v>
          </cell>
          <cell r="P84">
            <v>-9407439</v>
          </cell>
          <cell r="Q84">
            <v>-9031089</v>
          </cell>
          <cell r="R84">
            <v>-8069548</v>
          </cell>
          <cell r="S84">
            <v>-3375397</v>
          </cell>
          <cell r="T84">
            <v>-8191074</v>
          </cell>
          <cell r="U84">
            <v>-7718273</v>
          </cell>
          <cell r="V84">
            <v>-9025774</v>
          </cell>
          <cell r="W84">
            <v>-8142707</v>
          </cell>
          <cell r="X84">
            <v>6789813</v>
          </cell>
          <cell r="Y84">
            <v>71439750</v>
          </cell>
          <cell r="Z84">
            <v>-7153853</v>
          </cell>
          <cell r="AA84">
            <v>-9691749</v>
          </cell>
          <cell r="AB84">
            <v>175166</v>
          </cell>
          <cell r="AC84">
            <v>-5220260</v>
          </cell>
          <cell r="AD84">
            <v>-8113153</v>
          </cell>
          <cell r="AE84">
            <v>-8234794</v>
          </cell>
          <cell r="AF84">
            <v>-6834774</v>
          </cell>
          <cell r="AG84">
            <v>-8190791</v>
          </cell>
          <cell r="AH84">
            <v>-11090538</v>
          </cell>
          <cell r="AI84">
            <v>-4052842</v>
          </cell>
          <cell r="AJ84">
            <v>722636</v>
          </cell>
          <cell r="AK84">
            <v>67837958</v>
          </cell>
          <cell r="AL84">
            <v>-6315316</v>
          </cell>
          <cell r="AM84">
            <v>-8595445</v>
          </cell>
          <cell r="AN84">
            <v>-7641267</v>
          </cell>
          <cell r="AO84">
            <v>-4563022</v>
          </cell>
          <cell r="AP84">
            <v>-7398784</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G85">
            <v>83</v>
          </cell>
          <cell r="H85" t="str">
            <v>Target (Budget) Variance</v>
          </cell>
          <cell r="I85">
            <v>0</v>
          </cell>
          <cell r="J85">
            <v>0</v>
          </cell>
          <cell r="K85">
            <v>0</v>
          </cell>
          <cell r="L85">
            <v>-58811</v>
          </cell>
          <cell r="M85">
            <v>2374005</v>
          </cell>
          <cell r="N85">
            <v>1834310</v>
          </cell>
          <cell r="O85">
            <v>477588</v>
          </cell>
          <cell r="P85">
            <v>1406438</v>
          </cell>
          <cell r="Q85">
            <v>1491971</v>
          </cell>
          <cell r="R85">
            <v>1214676</v>
          </cell>
          <cell r="S85">
            <v>369382</v>
          </cell>
          <cell r="T85">
            <v>1219493</v>
          </cell>
          <cell r="U85">
            <v>420856</v>
          </cell>
          <cell r="V85">
            <v>-411597</v>
          </cell>
          <cell r="W85">
            <v>5900060</v>
          </cell>
          <cell r="X85">
            <v>1042811</v>
          </cell>
          <cell r="Y85">
            <v>402591</v>
          </cell>
          <cell r="Z85">
            <v>-1465219</v>
          </cell>
          <cell r="AA85">
            <v>-598900</v>
          </cell>
          <cell r="AB85">
            <v>875949</v>
          </cell>
          <cell r="AC85">
            <v>1006594</v>
          </cell>
          <cell r="AD85">
            <v>-1123543</v>
          </cell>
          <cell r="AE85">
            <v>1248077</v>
          </cell>
          <cell r="AF85">
            <v>-1650672</v>
          </cell>
          <cell r="AG85">
            <v>-1768371</v>
          </cell>
          <cell r="AH85">
            <v>2063624</v>
          </cell>
          <cell r="AI85">
            <v>-1706880</v>
          </cell>
          <cell r="AJ85">
            <v>638945</v>
          </cell>
          <cell r="AK85">
            <v>-58370</v>
          </cell>
          <cell r="AL85">
            <v>111442</v>
          </cell>
          <cell r="AM85">
            <v>-1015028</v>
          </cell>
          <cell r="AN85">
            <v>7415390</v>
          </cell>
          <cell r="AO85">
            <v>-451352</v>
          </cell>
          <cell r="AP85">
            <v>1206146</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G86">
            <v>84</v>
          </cell>
          <cell r="H86" t="str">
            <v>Target (Budget) %Var</v>
          </cell>
          <cell r="I86">
            <v>0</v>
          </cell>
          <cell r="J86">
            <v>0</v>
          </cell>
          <cell r="K86">
            <v>0</v>
          </cell>
          <cell r="L86">
            <v>-6.9741361307828105E-3</v>
          </cell>
          <cell r="M86">
            <v>3.2257111628488967E-2</v>
          </cell>
          <cell r="N86">
            <v>0.22089858012952054</v>
          </cell>
          <cell r="O86">
            <v>5.9054912185142298E-2</v>
          </cell>
          <cell r="P86">
            <v>0.14950274989824541</v>
          </cell>
          <cell r="Q86">
            <v>0.16520388626443611</v>
          </cell>
          <cell r="R86">
            <v>0.15052590306173283</v>
          </cell>
          <cell r="S86">
            <v>0.10943364587928472</v>
          </cell>
          <cell r="T86">
            <v>0.1488807206478662</v>
          </cell>
          <cell r="U86">
            <v>5.4527223900994432E-2</v>
          </cell>
          <cell r="V86">
            <v>-4.5602404846387688E-2</v>
          </cell>
          <cell r="W86">
            <v>0.7245821322073851</v>
          </cell>
          <cell r="X86">
            <v>0.15358464216908477</v>
          </cell>
          <cell r="Y86">
            <v>5.6353920611424309E-3</v>
          </cell>
          <cell r="Z86">
            <v>-0.20481536313368473</v>
          </cell>
          <cell r="AA86">
            <v>-6.1794831871935602E-2</v>
          </cell>
          <cell r="AB86">
            <v>5.0006793555827045</v>
          </cell>
          <cell r="AC86">
            <v>0.19282449533165014</v>
          </cell>
          <cell r="AD86">
            <v>-0.13848413804103041</v>
          </cell>
          <cell r="AE86">
            <v>0.1515614112508461</v>
          </cell>
          <cell r="AF86">
            <v>-0.24151083854418595</v>
          </cell>
          <cell r="AG86">
            <v>-0.21589746338296265</v>
          </cell>
          <cell r="AH86">
            <v>0.18607068475848512</v>
          </cell>
          <cell r="AI86">
            <v>-0.42115631450720259</v>
          </cell>
          <cell r="AJ86">
            <v>0.88418650606944571</v>
          </cell>
          <cell r="AK86">
            <v>-8.604327388510132E-4</v>
          </cell>
          <cell r="AL86">
            <v>1.7646306218089484E-2</v>
          </cell>
          <cell r="AM86">
            <v>-0.118089057634596</v>
          </cell>
          <cell r="AN86">
            <v>0.97043984983118636</v>
          </cell>
          <cell r="AO86">
            <v>-9.8915148776403006E-2</v>
          </cell>
          <cell r="AP86">
            <v>0.16301949077037525</v>
          </cell>
          <cell r="AQ86" t="e">
            <v>#DIV/0!</v>
          </cell>
          <cell r="AR86" t="e">
            <v>#DIV/0!</v>
          </cell>
          <cell r="AS86" t="e">
            <v>#DIV/0!</v>
          </cell>
          <cell r="AT86" t="e">
            <v>#DIV/0!</v>
          </cell>
          <cell r="AU86" t="e">
            <v>#DIV/0!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G87">
            <v>85</v>
          </cell>
          <cell r="H87" t="str">
            <v>YTD Actual</v>
          </cell>
          <cell r="I87">
            <v>0</v>
          </cell>
          <cell r="J87">
            <v>0</v>
          </cell>
          <cell r="K87">
            <v>0</v>
          </cell>
          <cell r="L87">
            <v>8373918</v>
          </cell>
          <cell r="M87">
            <v>84344252</v>
          </cell>
          <cell r="N87">
            <v>77874706</v>
          </cell>
          <cell r="O87">
            <v>70265110</v>
          </cell>
          <cell r="P87">
            <v>62264109</v>
          </cell>
          <cell r="Q87">
            <v>54724991</v>
          </cell>
          <cell r="R87">
            <v>47870119</v>
          </cell>
          <cell r="S87">
            <v>44864103</v>
          </cell>
          <cell r="T87">
            <v>37892522</v>
          </cell>
          <cell r="U87">
            <v>30595105</v>
          </cell>
          <cell r="V87">
            <v>21157734</v>
          </cell>
          <cell r="W87">
            <v>16077341</v>
          </cell>
          <cell r="X87">
            <v>7832624</v>
          </cell>
          <cell r="Y87">
            <v>79659143</v>
          </cell>
          <cell r="Z87">
            <v>71040071</v>
          </cell>
          <cell r="AA87">
            <v>60749423</v>
          </cell>
          <cell r="AB87">
            <v>61800538</v>
          </cell>
          <cell r="AC87">
            <v>57586872</v>
          </cell>
          <cell r="AD87">
            <v>48235424</v>
          </cell>
          <cell r="AE87">
            <v>41386821</v>
          </cell>
          <cell r="AF87">
            <v>32901373</v>
          </cell>
          <cell r="AG87">
            <v>22942218</v>
          </cell>
          <cell r="AH87">
            <v>13915311</v>
          </cell>
          <cell r="AI87">
            <v>8155578</v>
          </cell>
          <cell r="AJ87">
            <v>1361581</v>
          </cell>
          <cell r="AK87">
            <v>69126949</v>
          </cell>
          <cell r="AL87">
            <v>62923075</v>
          </cell>
          <cell r="AM87">
            <v>53312603</v>
          </cell>
          <cell r="AN87">
            <v>53086725</v>
          </cell>
          <cell r="AO87">
            <v>48072351</v>
          </cell>
          <cell r="AP87">
            <v>41819030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G88">
            <v>86</v>
          </cell>
          <cell r="H88" t="str">
            <v>YTD Target (Budget)</v>
          </cell>
          <cell r="I88">
            <v>0</v>
          </cell>
          <cell r="J88">
            <v>0</v>
          </cell>
          <cell r="K88">
            <v>0</v>
          </cell>
          <cell r="L88">
            <v>8432729</v>
          </cell>
          <cell r="M88">
            <v>82154452</v>
          </cell>
          <cell r="N88">
            <v>73998031</v>
          </cell>
          <cell r="O88">
            <v>68723187</v>
          </cell>
          <cell r="P88">
            <v>59308408</v>
          </cell>
          <cell r="Q88">
            <v>50273949</v>
          </cell>
          <cell r="R88">
            <v>42204401</v>
          </cell>
          <cell r="S88">
            <v>38829004</v>
          </cell>
          <cell r="T88">
            <v>30637930</v>
          </cell>
          <cell r="U88">
            <v>22919658</v>
          </cell>
          <cell r="V88">
            <v>13893883</v>
          </cell>
          <cell r="W88">
            <v>2811104</v>
          </cell>
          <cell r="X88">
            <v>6789813</v>
          </cell>
          <cell r="Y88">
            <v>78103338</v>
          </cell>
          <cell r="Z88">
            <v>71505193</v>
          </cell>
          <cell r="AA88">
            <v>62187699</v>
          </cell>
          <cell r="AB88">
            <v>62528663</v>
          </cell>
          <cell r="AC88">
            <v>57137643</v>
          </cell>
          <cell r="AD88">
            <v>49004230</v>
          </cell>
          <cell r="AE88">
            <v>40769436</v>
          </cell>
          <cell r="AF88">
            <v>33934668</v>
          </cell>
          <cell r="AG88">
            <v>25749558</v>
          </cell>
          <cell r="AH88">
            <v>14659027</v>
          </cell>
          <cell r="AI88">
            <v>10610764</v>
          </cell>
          <cell r="AJ88">
            <v>722636</v>
          </cell>
          <cell r="AK88">
            <v>68367764</v>
          </cell>
          <cell r="AL88">
            <v>61773273</v>
          </cell>
          <cell r="AM88">
            <v>53430007</v>
          </cell>
          <cell r="AN88">
            <v>45116496</v>
          </cell>
          <cell r="AO88">
            <v>40499844</v>
          </cell>
          <cell r="AP88">
            <v>33096497</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G89">
            <v>87</v>
          </cell>
          <cell r="H89" t="str">
            <v>YTD Target (Budget) Var</v>
          </cell>
          <cell r="I89">
            <v>0</v>
          </cell>
          <cell r="J89">
            <v>0</v>
          </cell>
          <cell r="K89">
            <v>0</v>
          </cell>
          <cell r="L89">
            <v>-58811</v>
          </cell>
          <cell r="M89">
            <v>2189800</v>
          </cell>
          <cell r="N89">
            <v>3876675</v>
          </cell>
          <cell r="O89">
            <v>1541923</v>
          </cell>
          <cell r="P89">
            <v>2955701</v>
          </cell>
          <cell r="Q89">
            <v>4451042</v>
          </cell>
          <cell r="R89">
            <v>5665718</v>
          </cell>
          <cell r="S89">
            <v>6035099</v>
          </cell>
          <cell r="T89">
            <v>7254592</v>
          </cell>
          <cell r="U89">
            <v>7675447</v>
          </cell>
          <cell r="V89">
            <v>7263851</v>
          </cell>
          <cell r="W89">
            <v>13266237</v>
          </cell>
          <cell r="X89">
            <v>1042811</v>
          </cell>
          <cell r="Y89">
            <v>1555805</v>
          </cell>
          <cell r="Z89">
            <v>-465122</v>
          </cell>
          <cell r="AA89">
            <v>-1438276</v>
          </cell>
          <cell r="AB89">
            <v>-728125</v>
          </cell>
          <cell r="AC89">
            <v>449229</v>
          </cell>
          <cell r="AD89">
            <v>-768806</v>
          </cell>
          <cell r="AE89">
            <v>617385</v>
          </cell>
          <cell r="AF89">
            <v>-1033295</v>
          </cell>
          <cell r="AG89">
            <v>-2807340</v>
          </cell>
          <cell r="AH89">
            <v>-743716</v>
          </cell>
          <cell r="AI89">
            <v>-2455186</v>
          </cell>
          <cell r="AJ89">
            <v>638945</v>
          </cell>
          <cell r="AK89">
            <v>759185</v>
          </cell>
          <cell r="AL89">
            <v>1149802</v>
          </cell>
          <cell r="AM89">
            <v>-117404</v>
          </cell>
          <cell r="AN89">
            <v>7970229</v>
          </cell>
          <cell r="AO89">
            <v>7572507</v>
          </cell>
          <cell r="AP89">
            <v>8722533</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G90">
            <v>88</v>
          </cell>
          <cell r="H90" t="str">
            <v>YTD Target (Budget) %Var</v>
          </cell>
          <cell r="I90">
            <v>0</v>
          </cell>
          <cell r="J90">
            <v>0</v>
          </cell>
          <cell r="K90">
            <v>0</v>
          </cell>
          <cell r="L90">
            <v>-6.9741361307828105E-3</v>
          </cell>
          <cell r="M90">
            <v>2.6654672348127888E-2</v>
          </cell>
          <cell r="N90">
            <v>5.2388893969354401E-2</v>
          </cell>
          <cell r="O90">
            <v>2.2436721393610574E-2</v>
          </cell>
          <cell r="P90">
            <v>4.9836121043748134E-2</v>
          </cell>
          <cell r="Q90">
            <v>8.8535754372508116E-2</v>
          </cell>
          <cell r="R90">
            <v>0.13424472011816968</v>
          </cell>
          <cell r="S90">
            <v>0.15542760252104329</v>
          </cell>
          <cell r="T90">
            <v>0.23678466528254358</v>
          </cell>
          <cell r="U90">
            <v>0.33488488353534768</v>
          </cell>
          <cell r="V90">
            <v>0.52280928232949708</v>
          </cell>
          <cell r="W90">
            <v>4.719226681047731</v>
          </cell>
          <cell r="X90">
            <v>0.15358464216908477</v>
          </cell>
          <cell r="Y90">
            <v>1.9919827242210825E-2</v>
          </cell>
          <cell r="Z90">
            <v>-6.5047303627304379E-3</v>
          </cell>
          <cell r="AA90">
            <v>-2.3127982271863766E-2</v>
          </cell>
          <cell r="AB90">
            <v>-1.1644659665919932E-2</v>
          </cell>
          <cell r="AC90">
            <v>7.8622249083673268E-3</v>
          </cell>
          <cell r="AD90">
            <v>-1.5688564028044111E-2</v>
          </cell>
          <cell r="AE90">
            <v>1.5143329429428457E-2</v>
          </cell>
          <cell r="AF90">
            <v>-3.0449539096713722E-2</v>
          </cell>
          <cell r="AG90">
            <v>-0.10902478403706968</v>
          </cell>
          <cell r="AH90">
            <v>-5.0734335914655183E-2</v>
          </cell>
          <cell r="AI90">
            <v>-0.23138635446043282</v>
          </cell>
          <cell r="AJ90">
            <v>0.88418650606944571</v>
          </cell>
          <cell r="AK90">
            <v>1.1104429274592043E-2</v>
          </cell>
          <cell r="AL90">
            <v>1.8613260139219108E-2</v>
          </cell>
          <cell r="AM90">
            <v>-2.1973420291709861E-3</v>
          </cell>
          <cell r="AN90">
            <v>0.17665886552891874</v>
          </cell>
          <cell r="AO90">
            <v>0.1869762016861102</v>
          </cell>
          <cell r="AP90">
            <v>0.26354852599657297</v>
          </cell>
          <cell r="AQ90" t="e">
            <v>#DIV/0!</v>
          </cell>
          <cell r="AR90" t="e">
            <v>#DIV/0!</v>
          </cell>
          <cell r="AS90" t="e">
            <v>#DIV/0!</v>
          </cell>
          <cell r="AT90" t="e">
            <v>#DIV/0!</v>
          </cell>
          <cell r="AU90" t="e">
            <v>#DIV/0!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G91">
            <v>89</v>
          </cell>
          <cell r="H91" t="str">
            <v>4 Month Actual</v>
          </cell>
          <cell r="I91">
            <v>0</v>
          </cell>
          <cell r="J91">
            <v>0</v>
          </cell>
          <cell r="K91">
            <v>0</v>
          </cell>
          <cell r="L91">
            <v>8373918</v>
          </cell>
          <cell r="M91">
            <v>84344252</v>
          </cell>
          <cell r="N91">
            <v>77874706</v>
          </cell>
          <cell r="O91">
            <v>70265109</v>
          </cell>
          <cell r="P91">
            <v>53890190</v>
          </cell>
          <cell r="Q91">
            <v>-29619262</v>
          </cell>
          <cell r="R91">
            <v>-30004588</v>
          </cell>
          <cell r="S91">
            <v>-25401006</v>
          </cell>
          <cell r="T91">
            <v>-24371586</v>
          </cell>
          <cell r="U91">
            <v>-24129885</v>
          </cell>
          <cell r="V91">
            <v>-26712384</v>
          </cell>
          <cell r="W91">
            <v>-25949016</v>
          </cell>
          <cell r="X91">
            <v>-11144811</v>
          </cell>
          <cell r="Y91">
            <v>67994947</v>
          </cell>
          <cell r="Z91">
            <v>68813246</v>
          </cell>
          <cell r="AA91">
            <v>60765244</v>
          </cell>
          <cell r="AB91">
            <v>53983735</v>
          </cell>
          <cell r="AC91">
            <v>-22072272</v>
          </cell>
          <cell r="AD91">
            <v>-22689896</v>
          </cell>
          <cell r="AE91">
            <v>-19385964</v>
          </cell>
          <cell r="AF91">
            <v>-28922525</v>
          </cell>
          <cell r="AG91">
            <v>-34668021</v>
          </cell>
          <cell r="AH91">
            <v>-34458239</v>
          </cell>
          <cell r="AI91">
            <v>-33231244</v>
          </cell>
          <cell r="AJ91">
            <v>-23384217</v>
          </cell>
          <cell r="AK91">
            <v>54354533</v>
          </cell>
          <cell r="AL91">
            <v>57177573</v>
          </cell>
          <cell r="AM91">
            <v>53326822</v>
          </cell>
          <cell r="AN91">
            <v>51739364</v>
          </cell>
          <cell r="AO91">
            <v>-21054598</v>
          </cell>
          <cell r="AP91">
            <v>-21043362</v>
          </cell>
          <cell r="AQ91">
            <v>-11432889</v>
          </cell>
          <cell r="AR91">
            <v>-11207012</v>
          </cell>
          <cell r="AS91">
            <v>-6192638</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G92">
            <v>90</v>
          </cell>
          <cell r="H92" t="str">
            <v>4 Month Target (Budget)</v>
          </cell>
          <cell r="I92">
            <v>0</v>
          </cell>
          <cell r="J92">
            <v>0</v>
          </cell>
          <cell r="K92">
            <v>0</v>
          </cell>
          <cell r="L92">
            <v>8432729</v>
          </cell>
          <cell r="M92">
            <v>82029058</v>
          </cell>
          <cell r="N92">
            <v>73725202</v>
          </cell>
          <cell r="O92">
            <v>65638017</v>
          </cell>
          <cell r="P92">
            <v>47797849</v>
          </cell>
          <cell r="Q92">
            <v>-34829569</v>
          </cell>
          <cell r="R92">
            <v>-34595261</v>
          </cell>
          <cell r="S92">
            <v>-29883473</v>
          </cell>
          <cell r="T92">
            <v>-28667108</v>
          </cell>
          <cell r="U92">
            <v>-27354292</v>
          </cell>
          <cell r="V92">
            <v>-28310518</v>
          </cell>
          <cell r="W92">
            <v>-33077828</v>
          </cell>
          <cell r="X92">
            <v>-18096941</v>
          </cell>
          <cell r="Y92">
            <v>61061082</v>
          </cell>
          <cell r="Z92">
            <v>62933003</v>
          </cell>
          <cell r="AA92">
            <v>61383961</v>
          </cell>
          <cell r="AB92">
            <v>54769314</v>
          </cell>
          <cell r="AC92">
            <v>-21890696</v>
          </cell>
          <cell r="AD92">
            <v>-22849996</v>
          </cell>
          <cell r="AE92">
            <v>-21393041</v>
          </cell>
          <cell r="AF92">
            <v>-28402981</v>
          </cell>
          <cell r="AG92">
            <v>-31373512</v>
          </cell>
          <cell r="AH92">
            <v>-34350897</v>
          </cell>
          <cell r="AI92">
            <v>-30168945</v>
          </cell>
          <cell r="AJ92">
            <v>-22611535</v>
          </cell>
          <cell r="AK92">
            <v>53417214</v>
          </cell>
          <cell r="AL92">
            <v>58192436</v>
          </cell>
          <cell r="AM92">
            <v>53649833</v>
          </cell>
          <cell r="AN92">
            <v>45285930</v>
          </cell>
          <cell r="AO92">
            <v>-27115050</v>
          </cell>
          <cell r="AP92">
            <v>-28198518</v>
          </cell>
          <cell r="AQ92">
            <v>-19603073</v>
          </cell>
          <cell r="AR92">
            <v>-11961806</v>
          </cell>
          <cell r="AS92">
            <v>-7398784</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G93">
            <v>91</v>
          </cell>
          <cell r="H93" t="str">
            <v>4 Month Target (Budget) Var</v>
          </cell>
          <cell r="I93">
            <v>0</v>
          </cell>
          <cell r="J93">
            <v>0</v>
          </cell>
          <cell r="K93">
            <v>0</v>
          </cell>
          <cell r="L93">
            <v>-58811</v>
          </cell>
          <cell r="M93">
            <v>2315194</v>
          </cell>
          <cell r="N93">
            <v>4149504</v>
          </cell>
          <cell r="O93">
            <v>4627092</v>
          </cell>
          <cell r="P93">
            <v>6092341</v>
          </cell>
          <cell r="Q93">
            <v>5210307</v>
          </cell>
          <cell r="R93">
            <v>4590673</v>
          </cell>
          <cell r="S93">
            <v>4482467</v>
          </cell>
          <cell r="T93">
            <v>4295522</v>
          </cell>
          <cell r="U93">
            <v>3224407</v>
          </cell>
          <cell r="V93">
            <v>1598134</v>
          </cell>
          <cell r="W93">
            <v>7128812</v>
          </cell>
          <cell r="X93">
            <v>6952130</v>
          </cell>
          <cell r="Y93">
            <v>6933865</v>
          </cell>
          <cell r="Z93">
            <v>5880243</v>
          </cell>
          <cell r="AA93">
            <v>-618717</v>
          </cell>
          <cell r="AB93">
            <v>-785579</v>
          </cell>
          <cell r="AC93">
            <v>-181576</v>
          </cell>
          <cell r="AD93">
            <v>160100</v>
          </cell>
          <cell r="AE93">
            <v>2007077</v>
          </cell>
          <cell r="AF93">
            <v>-519544</v>
          </cell>
          <cell r="AG93">
            <v>-3294509</v>
          </cell>
          <cell r="AH93">
            <v>-107342</v>
          </cell>
          <cell r="AI93">
            <v>-3062299</v>
          </cell>
          <cell r="AJ93">
            <v>-772682</v>
          </cell>
          <cell r="AK93">
            <v>937319</v>
          </cell>
          <cell r="AL93">
            <v>-1014863</v>
          </cell>
          <cell r="AM93">
            <v>-323011</v>
          </cell>
          <cell r="AN93">
            <v>6453434</v>
          </cell>
          <cell r="AO93">
            <v>6060452</v>
          </cell>
          <cell r="AP93">
            <v>7155156</v>
          </cell>
          <cell r="AQ93">
            <v>8170184</v>
          </cell>
          <cell r="AR93">
            <v>754794</v>
          </cell>
          <cell r="AS93">
            <v>1206146</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G94">
            <v>92</v>
          </cell>
          <cell r="H94" t="str">
            <v>4 Month Target (Budget) % Var</v>
          </cell>
          <cell r="I94">
            <v>0</v>
          </cell>
          <cell r="J94">
            <v>0</v>
          </cell>
          <cell r="K94">
            <v>0</v>
          </cell>
          <cell r="L94">
            <v>-6.9741361307828105E-3</v>
          </cell>
          <cell r="M94">
            <v>2.8224071523532551E-2</v>
          </cell>
          <cell r="N94">
            <v>5.6283385971597606E-2</v>
          </cell>
          <cell r="O94">
            <v>7.0494085767399101E-2</v>
          </cell>
          <cell r="P94">
            <v>0.12746056836155953</v>
          </cell>
          <cell r="Q94">
            <v>0.14959435759885514</v>
          </cell>
          <cell r="R94">
            <v>0.1326965852346077</v>
          </cell>
          <cell r="S94">
            <v>0.14999819465428266</v>
          </cell>
          <cell r="T94">
            <v>0.14984148383576049</v>
          </cell>
          <cell r="U94">
            <v>0.11787572495021988</v>
          </cell>
          <cell r="V94">
            <v>5.6450185757816226E-2</v>
          </cell>
          <cell r="W94">
            <v>0.21551632713006427</v>
          </cell>
          <cell r="X94">
            <v>0.38416050535833651</v>
          </cell>
          <cell r="Y94">
            <v>0.11355620917428223</v>
          </cell>
          <cell r="Z94">
            <v>9.3436555061578733E-2</v>
          </cell>
          <cell r="AA94">
            <v>-1.0079457075114458E-2</v>
          </cell>
          <cell r="AB94">
            <v>-1.4343415000596866E-2</v>
          </cell>
          <cell r="AC94">
            <v>-8.2946654597003226E-3</v>
          </cell>
          <cell r="AD94">
            <v>7.0065657779546219E-3</v>
          </cell>
          <cell r="AE94">
            <v>9.3819153621030313E-2</v>
          </cell>
          <cell r="AF94">
            <v>-1.8291882813286395E-2</v>
          </cell>
          <cell r="AG94">
            <v>-0.105009251116037</v>
          </cell>
          <cell r="AH94">
            <v>-3.1248674525151412E-3</v>
          </cell>
          <cell r="AI94">
            <v>-0.10150500788144895</v>
          </cell>
          <cell r="AJ94">
            <v>-3.4172027684100173E-2</v>
          </cell>
          <cell r="AK94">
            <v>1.7547133776014599E-2</v>
          </cell>
          <cell r="AL94">
            <v>-1.7439775162531434E-2</v>
          </cell>
          <cell r="AM94">
            <v>-6.0207270356274923E-3</v>
          </cell>
          <cell r="AN94">
            <v>0.14250417292964945</v>
          </cell>
          <cell r="AO94">
            <v>0.22350878939924507</v>
          </cell>
          <cell r="AP94">
            <v>0.25374227113637676</v>
          </cell>
          <cell r="AQ94">
            <v>0.4167807771771293</v>
          </cell>
          <cell r="AR94">
            <v>6.3100337858681202E-2</v>
          </cell>
          <cell r="AS94">
            <v>0.16301949077037525</v>
          </cell>
          <cell r="AT94" t="e">
            <v>#DIV/0!</v>
          </cell>
          <cell r="AU94" t="e">
            <v>#DIV/0!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G95">
            <v>93</v>
          </cell>
          <cell r="H95" t="str">
            <v>Actual</v>
          </cell>
          <cell r="I95">
            <v>0</v>
          </cell>
          <cell r="J95">
            <v>0</v>
          </cell>
          <cell r="K95">
            <v>0</v>
          </cell>
          <cell r="L95">
            <v>335.02160299043641</v>
          </cell>
          <cell r="M95">
            <v>172.54933351895033</v>
          </cell>
          <cell r="N95">
            <v>118.84282880311837</v>
          </cell>
          <cell r="O95">
            <v>134.91069501966379</v>
          </cell>
          <cell r="P95">
            <v>152.59348136289285</v>
          </cell>
          <cell r="Q95">
            <v>128.00530748616572</v>
          </cell>
          <cell r="R95">
            <v>125.98917874047042</v>
          </cell>
          <cell r="S95">
            <v>130.43807132275896</v>
          </cell>
          <cell r="T95">
            <v>128.6559417566933</v>
          </cell>
          <cell r="U95">
            <v>133.73228673627924</v>
          </cell>
          <cell r="V95">
            <v>161.26361238573546</v>
          </cell>
          <cell r="W95">
            <v>330.70382639589036</v>
          </cell>
          <cell r="X95">
            <v>388.89077728167462</v>
          </cell>
          <cell r="Y95">
            <v>137.13938136552244</v>
          </cell>
          <cell r="Z95">
            <v>168.32409725318061</v>
          </cell>
          <cell r="AA95">
            <v>160.07871815095504</v>
          </cell>
          <cell r="AB95">
            <v>121.96683927162992</v>
          </cell>
          <cell r="AC95">
            <v>125.46389012722472</v>
          </cell>
          <cell r="AD95">
            <v>145.04161396633117</v>
          </cell>
          <cell r="AE95">
            <v>126.81024316380154</v>
          </cell>
          <cell r="AF95">
            <v>148.74053620735725</v>
          </cell>
          <cell r="AG95">
            <v>157.025794958582</v>
          </cell>
          <cell r="AH95">
            <v>160.83545025385231</v>
          </cell>
          <cell r="AI95">
            <v>377.78988098153502</v>
          </cell>
          <cell r="AJ95">
            <v>349.40133222314739</v>
          </cell>
          <cell r="AK95">
            <v>137.97100386956004</v>
          </cell>
          <cell r="AL95">
            <v>130.71854490905682</v>
          </cell>
          <cell r="AM95">
            <v>169.68073572780116</v>
          </cell>
          <cell r="AN95">
            <v>121.36603992294972</v>
          </cell>
          <cell r="AO95">
            <v>166.16819801237577</v>
          </cell>
          <cell r="AP95">
            <v>121.96791500664011</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G96">
            <v>94</v>
          </cell>
          <cell r="H96" t="str">
            <v>Target (Budget)</v>
          </cell>
          <cell r="I96">
            <v>0</v>
          </cell>
          <cell r="J96">
            <v>0</v>
          </cell>
          <cell r="K96">
            <v>0</v>
          </cell>
          <cell r="L96">
            <v>338.45914850235448</v>
          </cell>
          <cell r="M96">
            <v>168.80551978561238</v>
          </cell>
          <cell r="N96">
            <v>145.5047332335642</v>
          </cell>
          <cell r="O96">
            <v>140.04016287891972</v>
          </cell>
          <cell r="P96">
            <v>180.84014895764452</v>
          </cell>
          <cell r="Q96">
            <v>140.67218877249155</v>
          </cell>
          <cell r="R96">
            <v>141.15848888888888</v>
          </cell>
          <cell r="S96">
            <v>136.71180444444445</v>
          </cell>
          <cell r="T96">
            <v>137.67061333333334</v>
          </cell>
          <cell r="U96">
            <v>138.94721777777778</v>
          </cell>
          <cell r="V96">
            <v>435.39291159078533</v>
          </cell>
          <cell r="W96">
            <v>547.31533010575686</v>
          </cell>
          <cell r="X96">
            <v>395.22137404580155</v>
          </cell>
          <cell r="Y96">
            <v>146.11356071036442</v>
          </cell>
          <cell r="Z96">
            <v>150.32372470764565</v>
          </cell>
          <cell r="AA96">
            <v>172.283483504418</v>
          </cell>
          <cell r="AB96">
            <v>140.96706111992194</v>
          </cell>
          <cell r="AC96">
            <v>149.38650028756166</v>
          </cell>
          <cell r="AD96">
            <v>145.13729682715132</v>
          </cell>
          <cell r="AE96">
            <v>148.49250729338431</v>
          </cell>
          <cell r="AF96">
            <v>149.95500751988692</v>
          </cell>
          <cell r="AG96">
            <v>146.7030641274213</v>
          </cell>
          <cell r="AH96">
            <v>205.95768931088844</v>
          </cell>
          <cell r="AI96">
            <v>490.24912381775408</v>
          </cell>
          <cell r="AJ96">
            <v>381.71266023332851</v>
          </cell>
          <cell r="AK96">
            <v>141.02093898812083</v>
          </cell>
          <cell r="AL96">
            <v>146.8621430658942</v>
          </cell>
          <cell r="AM96">
            <v>152.85681376678301</v>
          </cell>
          <cell r="AN96">
            <v>135.14411456273962</v>
          </cell>
          <cell r="AO96">
            <v>136.11186370747305</v>
          </cell>
          <cell r="AP96">
            <v>137.0522846708827</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G97">
            <v>95</v>
          </cell>
          <cell r="H97" t="str">
            <v>Target (Budget) Variance</v>
          </cell>
          <cell r="I97">
            <v>0</v>
          </cell>
          <cell r="J97">
            <v>0</v>
          </cell>
          <cell r="K97">
            <v>0</v>
          </cell>
          <cell r="L97">
            <v>-3.4375455119180742</v>
          </cell>
          <cell r="M97">
            <v>3.7438137333379586</v>
          </cell>
          <cell r="N97">
            <v>-26.66190443044583</v>
          </cell>
          <cell r="O97">
            <v>-5.1294678592559251</v>
          </cell>
          <cell r="P97">
            <v>-28.246667594751671</v>
          </cell>
          <cell r="Q97">
            <v>-12.666881286325832</v>
          </cell>
          <cell r="R97">
            <v>-15.169310148418461</v>
          </cell>
          <cell r="S97">
            <v>-6.2737331216854955</v>
          </cell>
          <cell r="T97">
            <v>-9.0146715766400405</v>
          </cell>
          <cell r="U97">
            <v>-5.214931041498545</v>
          </cell>
          <cell r="V97">
            <v>-274.12929920504985</v>
          </cell>
          <cell r="W97">
            <v>-216.6115037098665</v>
          </cell>
          <cell r="X97">
            <v>-6.3305967641269376</v>
          </cell>
          <cell r="Y97">
            <v>-8.9741793448419855</v>
          </cell>
          <cell r="Z97">
            <v>18.000372545534958</v>
          </cell>
          <cell r="AA97">
            <v>-12.20476535346296</v>
          </cell>
          <cell r="AB97">
            <v>-19.000221848292014</v>
          </cell>
          <cell r="AC97">
            <v>-23.922610160336944</v>
          </cell>
          <cell r="AD97">
            <v>-9.5682860820147653E-2</v>
          </cell>
          <cell r="AE97">
            <v>-21.682264129582762</v>
          </cell>
          <cell r="AF97">
            <v>-1.2144713125296676</v>
          </cell>
          <cell r="AG97">
            <v>10.322730831160698</v>
          </cell>
          <cell r="AH97">
            <v>-45.122239057036126</v>
          </cell>
          <cell r="AI97">
            <v>-112.45924283621906</v>
          </cell>
          <cell r="AJ97">
            <v>-32.311328010181114</v>
          </cell>
          <cell r="AK97">
            <v>-3.0499351185607964</v>
          </cell>
          <cell r="AL97">
            <v>-16.143598156837385</v>
          </cell>
          <cell r="AM97">
            <v>16.823921961018158</v>
          </cell>
          <cell r="AN97">
            <v>-13.778074639789892</v>
          </cell>
          <cell r="AO97">
            <v>30.05633430490272</v>
          </cell>
          <cell r="AP97">
            <v>-15.084369664242587</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G98">
            <v>96</v>
          </cell>
          <cell r="H98" t="str">
            <v>Target (Budget) %Var</v>
          </cell>
          <cell r="I98">
            <v>0</v>
          </cell>
          <cell r="J98">
            <v>0</v>
          </cell>
          <cell r="K98">
            <v>0</v>
          </cell>
          <cell r="L98">
            <v>-1.0156456184236252E-2</v>
          </cell>
          <cell r="M98">
            <v>2.2178266078577907E-2</v>
          </cell>
          <cell r="N98">
            <v>-0.18323736855795708</v>
          </cell>
          <cell r="O98">
            <v>-3.6628548223632956E-2</v>
          </cell>
          <cell r="P98">
            <v>-0.1561968830349032</v>
          </cell>
          <cell r="Q98">
            <v>-9.0045384214586424E-2</v>
          </cell>
          <cell r="R98">
            <v>-0.10746296781597592</v>
          </cell>
          <cell r="S98">
            <v>-4.5890207851326775E-2</v>
          </cell>
          <cell r="T98">
            <v>-6.5479998660377681E-2</v>
          </cell>
          <cell r="U98">
            <v>-3.7531741368430509E-2</v>
          </cell>
          <cell r="V98">
            <v>-0.62961360166262181</v>
          </cell>
          <cell r="W98">
            <v>-0.39577094189561801</v>
          </cell>
          <cell r="X98">
            <v>-1.6017850197022229E-2</v>
          </cell>
          <cell r="Y98">
            <v>-6.1419209149458573E-2</v>
          </cell>
          <cell r="Z98">
            <v>0.11974405623957664</v>
          </cell>
          <cell r="AA98">
            <v>-7.0841180507880686E-2</v>
          </cell>
          <cell r="AB98">
            <v>-0.13478483340252342</v>
          </cell>
          <cell r="AC98">
            <v>-0.16013903608617311</v>
          </cell>
          <cell r="AD98">
            <v>-6.5925756447082968E-4</v>
          </cell>
          <cell r="AE98">
            <v>-0.14601588002513821</v>
          </cell>
          <cell r="AF98">
            <v>-8.0989046822501423E-3</v>
          </cell>
          <cell r="AG98">
            <v>7.0364793622815711E-2</v>
          </cell>
          <cell r="AH98">
            <v>-0.21908499366064033</v>
          </cell>
          <cell r="AI98">
            <v>-0.22939203228035718</v>
          </cell>
          <cell r="AJ98">
            <v>-8.464830061028171E-2</v>
          </cell>
          <cell r="AK98">
            <v>-2.1627533758073428E-2</v>
          </cell>
          <cell r="AL98">
            <v>-0.10992348211610983</v>
          </cell>
          <cell r="AM98">
            <v>0.11006327782474117</v>
          </cell>
          <cell r="AN98">
            <v>-0.10195097791989696</v>
          </cell>
          <cell r="AO98">
            <v>0.22082082697433902</v>
          </cell>
          <cell r="AP98">
            <v>-0.11006288366856624</v>
          </cell>
          <cell r="AQ98" t="e">
            <v>#DIV/0!</v>
          </cell>
          <cell r="AR98" t="e">
            <v>#DIV/0!</v>
          </cell>
          <cell r="AS98" t="e">
            <v>#DIV/0!</v>
          </cell>
          <cell r="AT98" t="e">
            <v>#DIV/0!</v>
          </cell>
          <cell r="AU98" t="e">
            <v>#DIV/0!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G99">
            <v>97</v>
          </cell>
          <cell r="H99" t="str">
            <v>YTD Actual</v>
          </cell>
          <cell r="I99">
            <v>0</v>
          </cell>
          <cell r="J99">
            <v>0</v>
          </cell>
          <cell r="K99">
            <v>0</v>
          </cell>
          <cell r="L99">
            <v>335.02160299043641</v>
          </cell>
          <cell r="M99">
            <v>215.4208672260296</v>
          </cell>
          <cell r="N99">
            <v>174.47116895765544</v>
          </cell>
          <cell r="O99">
            <v>162.69180868096396</v>
          </cell>
          <cell r="P99">
            <v>160.37485776342214</v>
          </cell>
          <cell r="Q99">
            <v>154.3340218037275</v>
          </cell>
          <cell r="R99">
            <v>150.01507364781727</v>
          </cell>
          <cell r="S99">
            <v>147.42651748412109</v>
          </cell>
          <cell r="T99">
            <v>145.2344369407858</v>
          </cell>
          <cell r="U99">
            <v>144.03164854678894</v>
          </cell>
          <cell r="V99">
            <v>145.6630146451422</v>
          </cell>
          <cell r="W99">
            <v>151.85907670660976</v>
          </cell>
          <cell r="X99">
            <v>388.89077728167462</v>
          </cell>
          <cell r="Y99">
            <v>201.58725726775404</v>
          </cell>
          <cell r="Z99">
            <v>187.47558429655277</v>
          </cell>
          <cell r="AA99">
            <v>179.31480374881892</v>
          </cell>
          <cell r="AB99">
            <v>166.15296103763228</v>
          </cell>
          <cell r="AC99">
            <v>158.55766405602373</v>
          </cell>
          <cell r="AD99">
            <v>157.07298127377405</v>
          </cell>
          <cell r="AE99">
            <v>152.46552580708203</v>
          </cell>
          <cell r="AF99">
            <v>152.03067730906488</v>
          </cell>
          <cell r="AG99">
            <v>152.55286147130522</v>
          </cell>
          <cell r="AH99">
            <v>153.33676325293283</v>
          </cell>
          <cell r="AI99">
            <v>160.80610107720719</v>
          </cell>
          <cell r="AJ99">
            <v>349.40133222314739</v>
          </cell>
          <cell r="AK99">
            <v>191.18812594840668</v>
          </cell>
          <cell r="AL99">
            <v>165.43489687316233</v>
          </cell>
          <cell r="AM99">
            <v>166.70305896968523</v>
          </cell>
          <cell r="AN99">
            <v>156.27605471460663</v>
          </cell>
          <cell r="AO99">
            <v>158.12573151607103</v>
          </cell>
          <cell r="AP99">
            <v>153.04324337465255</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G100">
            <v>98</v>
          </cell>
          <cell r="H100" t="str">
            <v>YTD Target (Budget)</v>
          </cell>
          <cell r="I100">
            <v>0</v>
          </cell>
          <cell r="J100">
            <v>0</v>
          </cell>
          <cell r="K100">
            <v>0</v>
          </cell>
          <cell r="L100">
            <v>338.45914850235448</v>
          </cell>
          <cell r="M100">
            <v>213.11129187215781</v>
          </cell>
          <cell r="N100">
            <v>184.54357305708658</v>
          </cell>
          <cell r="O100">
            <v>166.10640579905387</v>
          </cell>
          <cell r="P100">
            <v>169.51620399021013</v>
          </cell>
          <cell r="Q100">
            <v>164.14425403258542</v>
          </cell>
          <cell r="R100">
            <v>160.59394144088483</v>
          </cell>
          <cell r="S100">
            <v>157.39870465643426</v>
          </cell>
          <cell r="T100">
            <v>155.07071215639874</v>
          </cell>
          <cell r="U100">
            <v>153.36889717016714</v>
          </cell>
          <cell r="V100">
            <v>163.7630608621551</v>
          </cell>
          <cell r="W100">
            <v>177.39663326227713</v>
          </cell>
          <cell r="X100">
            <v>395.22137404580155</v>
          </cell>
          <cell r="Y100">
            <v>218.51021634615384</v>
          </cell>
          <cell r="Z100">
            <v>185.5558718756223</v>
          </cell>
          <cell r="AA100">
            <v>180.09086056611008</v>
          </cell>
          <cell r="AB100">
            <v>170.57016517206256</v>
          </cell>
          <cell r="AC100">
            <v>167.44614329724038</v>
          </cell>
          <cell r="AD100">
            <v>164.10951445395702</v>
          </cell>
          <cell r="AE100">
            <v>162.04814182320891</v>
          </cell>
          <cell r="AF100">
            <v>160.63803205256875</v>
          </cell>
          <cell r="AG100">
            <v>159.17210183320969</v>
          </cell>
          <cell r="AH100">
            <v>163.59584277806047</v>
          </cell>
          <cell r="AI100">
            <v>174.84384305395642</v>
          </cell>
          <cell r="AJ100">
            <v>381.71266023332851</v>
          </cell>
          <cell r="AK100">
            <v>205.37214866199145</v>
          </cell>
          <cell r="AL100">
            <v>180.47592350929889</v>
          </cell>
          <cell r="AM100">
            <v>170.78618380636442</v>
          </cell>
          <cell r="AN100">
            <v>165.2595925129682</v>
          </cell>
          <cell r="AO100">
            <v>159.99170286902341</v>
          </cell>
          <cell r="AP100">
            <v>156.39678474425585</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G101">
            <v>99</v>
          </cell>
          <cell r="H101" t="str">
            <v>YTD Target (Budget) Var</v>
          </cell>
          <cell r="I101">
            <v>0</v>
          </cell>
          <cell r="J101">
            <v>0</v>
          </cell>
          <cell r="K101">
            <v>0</v>
          </cell>
          <cell r="L101">
            <v>-3.4375455119180742</v>
          </cell>
          <cell r="M101">
            <v>2.3095753538717929</v>
          </cell>
          <cell r="N101">
            <v>-10.072404099431139</v>
          </cell>
          <cell r="O101">
            <v>-3.4145971180899153</v>
          </cell>
          <cell r="P101">
            <v>-9.1413462267879879</v>
          </cell>
          <cell r="Q101">
            <v>-9.8102322288579273</v>
          </cell>
          <cell r="R101">
            <v>-10.578867793067559</v>
          </cell>
          <cell r="S101">
            <v>-9.9721871723131699</v>
          </cell>
          <cell r="T101">
            <v>-9.8362752156129432</v>
          </cell>
          <cell r="U101">
            <v>-9.3372486233782013</v>
          </cell>
          <cell r="V101">
            <v>-18.100046217012903</v>
          </cell>
          <cell r="W101">
            <v>-25.537556555667379</v>
          </cell>
          <cell r="X101">
            <v>-6.3305967641269376</v>
          </cell>
          <cell r="Y101">
            <v>-16.922959078399799</v>
          </cell>
          <cell r="Z101">
            <v>1.9197124209304661</v>
          </cell>
          <cell r="AA101">
            <v>-0.77605681729116327</v>
          </cell>
          <cell r="AB101">
            <v>-4.4172041344302784</v>
          </cell>
          <cell r="AC101">
            <v>-8.8884792412166576</v>
          </cell>
          <cell r="AD101">
            <v>-7.0365331801829711</v>
          </cell>
          <cell r="AE101">
            <v>-9.5826160161268774</v>
          </cell>
          <cell r="AF101">
            <v>-8.607354743503862</v>
          </cell>
          <cell r="AG101">
            <v>-6.619240361904474</v>
          </cell>
          <cell r="AH101">
            <v>-10.259079525127646</v>
          </cell>
          <cell r="AI101">
            <v>-14.037741976749231</v>
          </cell>
          <cell r="AJ101">
            <v>-32.311328010181114</v>
          </cell>
          <cell r="AK101">
            <v>-14.184022713584767</v>
          </cell>
          <cell r="AL101">
            <v>-15.041026636136564</v>
          </cell>
          <cell r="AM101">
            <v>-4.0831248366791897</v>
          </cell>
          <cell r="AN101">
            <v>-8.9835377983615672</v>
          </cell>
          <cell r="AO101">
            <v>-1.8659713529523856</v>
          </cell>
          <cell r="AP101">
            <v>-3.3535413696033061</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G102">
            <v>100</v>
          </cell>
          <cell r="H102" t="str">
            <v>YTD %Var</v>
          </cell>
          <cell r="I102">
            <v>0</v>
          </cell>
          <cell r="J102">
            <v>0</v>
          </cell>
          <cell r="K102">
            <v>0</v>
          </cell>
          <cell r="L102">
            <v>-1.0156456184236252E-2</v>
          </cell>
          <cell r="M102">
            <v>1.0837414261733591E-2</v>
          </cell>
          <cell r="N102">
            <v>-5.4580086060842387E-2</v>
          </cell>
          <cell r="O102">
            <v>-2.0556685346745155E-2</v>
          </cell>
          <cell r="P102">
            <v>-5.3926090908193752E-2</v>
          </cell>
          <cell r="Q102">
            <v>-5.9765919231692569E-2</v>
          </cell>
          <cell r="R102">
            <v>-6.5873392845032547E-2</v>
          </cell>
          <cell r="S102">
            <v>-6.3356221349344627E-2</v>
          </cell>
          <cell r="T102">
            <v>-6.3430902449796128E-2</v>
          </cell>
          <cell r="U102">
            <v>-6.0880979101116305E-2</v>
          </cell>
          <cell r="V102">
            <v>-0.11052581773766627</v>
          </cell>
          <cell r="W102">
            <v>-0.14395739133284816</v>
          </cell>
          <cell r="X102">
            <v>-1.6017850197022229E-2</v>
          </cell>
          <cell r="Y102">
            <v>-7.7446992462774492E-2</v>
          </cell>
          <cell r="Z102">
            <v>1.0345737925325506E-2</v>
          </cell>
          <cell r="AA102">
            <v>-4.309251534762245E-3</v>
          </cell>
          <cell r="AB102">
            <v>-2.5896698464086178E-2</v>
          </cell>
          <cell r="AC102">
            <v>-5.3082615497678919E-2</v>
          </cell>
          <cell r="AD102">
            <v>-4.2877058064522876E-2</v>
          </cell>
          <cell r="AE102">
            <v>-5.9134377650447288E-2</v>
          </cell>
          <cell r="AF102">
            <v>-5.3582297003533431E-2</v>
          </cell>
          <cell r="AG102">
            <v>-4.1585430396845049E-2</v>
          </cell>
          <cell r="AH102">
            <v>-6.2709903570382614E-2</v>
          </cell>
          <cell r="AI102">
            <v>-8.0287310845811227E-2</v>
          </cell>
          <cell r="AJ102">
            <v>-8.464830061028171E-2</v>
          </cell>
          <cell r="AK102">
            <v>-6.9064976950352311E-2</v>
          </cell>
          <cell r="AL102">
            <v>-8.3340904114346234E-2</v>
          </cell>
          <cell r="AM102">
            <v>-2.3907817047476122E-2</v>
          </cell>
          <cell r="AN102">
            <v>-5.4360159442221875E-2</v>
          </cell>
          <cell r="AO102">
            <v>-1.1662925761093722E-2</v>
          </cell>
          <cell r="AP102">
            <v>-2.1442521181539029E-2</v>
          </cell>
          <cell r="AQ102" t="e">
            <v>#DIV/0!</v>
          </cell>
          <cell r="AR102" t="e">
            <v>#DIV/0!</v>
          </cell>
          <cell r="AS102" t="e">
            <v>#DIV/0!</v>
          </cell>
          <cell r="AT102" t="e">
            <v>#DIV/0!</v>
          </cell>
          <cell r="AU102" t="e">
            <v>#DIV/0!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G103">
            <v>101</v>
          </cell>
          <cell r="H103" t="str">
            <v>4 Month Actual</v>
          </cell>
          <cell r="I103">
            <v>0</v>
          </cell>
          <cell r="J103">
            <v>0</v>
          </cell>
          <cell r="K103">
            <v>0</v>
          </cell>
          <cell r="L103">
            <v>335.02160299043641</v>
          </cell>
          <cell r="M103">
            <v>215.4208672260296</v>
          </cell>
          <cell r="N103">
            <v>174.47116895765544</v>
          </cell>
          <cell r="O103">
            <v>162.69180349953626</v>
          </cell>
          <cell r="P103">
            <v>144.72408467615634</v>
          </cell>
          <cell r="Q103">
            <v>133.58807816796019</v>
          </cell>
          <cell r="R103">
            <v>135.46169956795111</v>
          </cell>
          <cell r="S103">
            <v>134.36963304378656</v>
          </cell>
          <cell r="T103">
            <v>128.26960380802404</v>
          </cell>
          <cell r="U103">
            <v>129.70386963905048</v>
          </cell>
          <cell r="V103">
            <v>138.52247805036674</v>
          </cell>
          <cell r="W103">
            <v>162.33555387899898</v>
          </cell>
          <cell r="X103">
            <v>205.54217476339866</v>
          </cell>
          <cell r="Y103">
            <v>205.44932210591372</v>
          </cell>
          <cell r="Z103">
            <v>207.22212606284191</v>
          </cell>
          <cell r="AA103">
            <v>180.04319824306035</v>
          </cell>
          <cell r="AB103">
            <v>146.87725901032201</v>
          </cell>
          <cell r="AC103">
            <v>143.95838620074758</v>
          </cell>
          <cell r="AD103">
            <v>138.07243153426424</v>
          </cell>
          <cell r="AE103">
            <v>129.70398927107996</v>
          </cell>
          <cell r="AF103">
            <v>136.40748124396299</v>
          </cell>
          <cell r="AG103">
            <v>144.40454707401798</v>
          </cell>
          <cell r="AH103">
            <v>148.35300614589829</v>
          </cell>
          <cell r="AI103">
            <v>179.56608340129858</v>
          </cell>
          <cell r="AJ103">
            <v>213.51632876998642</v>
          </cell>
          <cell r="AK103">
            <v>205.41632826154003</v>
          </cell>
          <cell r="AL103">
            <v>193.53311836115327</v>
          </cell>
          <cell r="AM103">
            <v>167.25478345875379</v>
          </cell>
          <cell r="AN103">
            <v>139.93408110734194</v>
          </cell>
          <cell r="AO103">
            <v>146.98337964304588</v>
          </cell>
          <cell r="AP103">
            <v>145.01058228370846</v>
          </cell>
          <cell r="AQ103">
            <v>103.16211415866178</v>
          </cell>
          <cell r="AR103">
            <v>72.937037459226261</v>
          </cell>
          <cell r="AS103">
            <v>30.491978751660028</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G104">
            <v>102</v>
          </cell>
          <cell r="H104" t="str">
            <v>4 Month Target (Budget)</v>
          </cell>
          <cell r="I104">
            <v>0</v>
          </cell>
          <cell r="J104">
            <v>0</v>
          </cell>
          <cell r="K104">
            <v>0</v>
          </cell>
          <cell r="L104">
            <v>338.45914850235448</v>
          </cell>
          <cell r="M104">
            <v>213.57199769422917</v>
          </cell>
          <cell r="N104">
            <v>184.7110476569936</v>
          </cell>
          <cell r="O104">
            <v>171.41002709886683</v>
          </cell>
          <cell r="P104">
            <v>158.79764121393521</v>
          </cell>
          <cell r="Q104">
            <v>151.764308460655</v>
          </cell>
          <cell r="R104">
            <v>150.72837287008852</v>
          </cell>
          <cell r="S104">
            <v>149.96232720109748</v>
          </cell>
          <cell r="T104">
            <v>139.06197616437387</v>
          </cell>
          <cell r="U104">
            <v>138.62203111111111</v>
          </cell>
          <cell r="V104">
            <v>169.86492918770827</v>
          </cell>
          <cell r="W104">
            <v>232.24643708539105</v>
          </cell>
          <cell r="X104">
            <v>306.18266556099513</v>
          </cell>
          <cell r="Y104">
            <v>308.05157267566892</v>
          </cell>
          <cell r="Z104">
            <v>233.38085437999393</v>
          </cell>
          <cell r="AA104">
            <v>182.0361877221894</v>
          </cell>
          <cell r="AB104">
            <v>152.4219575105875</v>
          </cell>
          <cell r="AC104">
            <v>153.24019240488681</v>
          </cell>
          <cell r="AD104">
            <v>152.00921592088824</v>
          </cell>
          <cell r="AE104">
            <v>145.97989179681252</v>
          </cell>
          <cell r="AF104">
            <v>148.25407284471157</v>
          </cell>
          <cell r="AG104">
            <v>147.57196894196096</v>
          </cell>
          <cell r="AH104">
            <v>162.77706706289524</v>
          </cell>
          <cell r="AI104">
            <v>203.60134663876818</v>
          </cell>
          <cell r="AJ104">
            <v>247.47672200589349</v>
          </cell>
          <cell r="AK104">
            <v>243.4059246261628</v>
          </cell>
          <cell r="AL104">
            <v>220.94206815362415</v>
          </cell>
          <cell r="AM104">
            <v>171.95034197485359</v>
          </cell>
          <cell r="AN104">
            <v>143.97100259588441</v>
          </cell>
          <cell r="AO104">
            <v>142.74373377572246</v>
          </cell>
          <cell r="AP104">
            <v>140.31983333477856</v>
          </cell>
          <cell r="AQ104">
            <v>102.67409277015678</v>
          </cell>
          <cell r="AR104">
            <v>68.899878185493478</v>
          </cell>
          <cell r="AS104">
            <v>34.263071167720675</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G105">
            <v>103</v>
          </cell>
          <cell r="H105" t="str">
            <v>4 Month Target (Budget) Var</v>
          </cell>
          <cell r="I105">
            <v>0</v>
          </cell>
          <cell r="J105">
            <v>0</v>
          </cell>
          <cell r="K105">
            <v>0</v>
          </cell>
          <cell r="L105">
            <v>-3.4375455119180742</v>
          </cell>
          <cell r="M105">
            <v>1.8488695318004318</v>
          </cell>
          <cell r="N105">
            <v>-10.239878699338163</v>
          </cell>
          <cell r="O105">
            <v>-8.718223599330571</v>
          </cell>
          <cell r="P105">
            <v>-14.07355653777887</v>
          </cell>
          <cell r="Q105">
            <v>-18.176230292694811</v>
          </cell>
          <cell r="R105">
            <v>-15.266673302137406</v>
          </cell>
          <cell r="S105">
            <v>-15.592694157310916</v>
          </cell>
          <cell r="T105">
            <v>-10.79237235634983</v>
          </cell>
          <cell r="U105">
            <v>-8.9181614720606319</v>
          </cell>
          <cell r="V105">
            <v>-31.342451137341527</v>
          </cell>
          <cell r="W105">
            <v>-69.910883206392072</v>
          </cell>
          <cell r="X105">
            <v>-100.64049079759647</v>
          </cell>
          <cell r="Y105">
            <v>-102.6022505697552</v>
          </cell>
          <cell r="Z105">
            <v>-26.158728317152026</v>
          </cell>
          <cell r="AA105">
            <v>-1.9929894791290508</v>
          </cell>
          <cell r="AB105">
            <v>-5.5446985002654969</v>
          </cell>
          <cell r="AC105">
            <v>-9.2818062041392295</v>
          </cell>
          <cell r="AD105">
            <v>-13.936784386623998</v>
          </cell>
          <cell r="AE105">
            <v>-16.275902525732562</v>
          </cell>
          <cell r="AF105">
            <v>-11.846591600748582</v>
          </cell>
          <cell r="AG105">
            <v>-3.1674218679429771</v>
          </cell>
          <cell r="AH105">
            <v>-14.42406091699695</v>
          </cell>
          <cell r="AI105">
            <v>-24.035263237469593</v>
          </cell>
          <cell r="AJ105">
            <v>-33.960393235907077</v>
          </cell>
          <cell r="AK105">
            <v>-37.98959636462277</v>
          </cell>
          <cell r="AL105">
            <v>-27.408949792470878</v>
          </cell>
          <cell r="AM105">
            <v>-4.6955585160997941</v>
          </cell>
          <cell r="AN105">
            <v>-4.0369214885424753</v>
          </cell>
          <cell r="AO105">
            <v>4.2396458673234179</v>
          </cell>
          <cell r="AP105">
            <v>4.6907489489298939</v>
          </cell>
          <cell r="AQ105">
            <v>0.48802138850500398</v>
          </cell>
          <cell r="AR105">
            <v>4.037159273732783</v>
          </cell>
          <cell r="AS105">
            <v>-3.7710924160606467</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G106">
            <v>104</v>
          </cell>
          <cell r="H106" t="str">
            <v>4 Month Target (Budget) % Var</v>
          </cell>
          <cell r="I106">
            <v>0</v>
          </cell>
          <cell r="J106">
            <v>0</v>
          </cell>
          <cell r="K106">
            <v>0</v>
          </cell>
          <cell r="L106">
            <v>-1.0156456184236252E-2</v>
          </cell>
          <cell r="M106">
            <v>8.6568911269325512E-3</v>
          </cell>
          <cell r="N106">
            <v>-5.5437283417684398E-2</v>
          </cell>
          <cell r="O106">
            <v>-5.0861806318378479E-2</v>
          </cell>
          <cell r="P106">
            <v>-8.862572787727184E-2</v>
          </cell>
          <cell r="Q106">
            <v>-0.11976617214585082</v>
          </cell>
          <cell r="R106">
            <v>-0.10128599553911206</v>
          </cell>
          <cell r="S106">
            <v>-0.10397740851541548</v>
          </cell>
          <cell r="T106">
            <v>-7.7608363220676824E-2</v>
          </cell>
          <cell r="U106">
            <v>-6.4334373119323066E-2</v>
          </cell>
          <cell r="V106">
            <v>-0.18451396228297798</v>
          </cell>
          <cell r="W106">
            <v>-0.30102026142466776</v>
          </cell>
          <cell r="X106">
            <v>-0.32869427997564976</v>
          </cell>
          <cell r="Y106">
            <v>-0.3330684199355789</v>
          </cell>
          <cell r="Z106">
            <v>-0.11208600802600552</v>
          </cell>
          <cell r="AA106">
            <v>-1.0948314750310025E-2</v>
          </cell>
          <cell r="AB106">
            <v>-3.6377294917501322E-2</v>
          </cell>
          <cell r="AC106">
            <v>-6.0570311603466986E-2</v>
          </cell>
          <cell r="AD106">
            <v>-9.1683812078060228E-2</v>
          </cell>
          <cell r="AE106">
            <v>-0.11149414022300259</v>
          </cell>
          <cell r="AF106">
            <v>-7.9907360205592928E-2</v>
          </cell>
          <cell r="AG106">
            <v>-2.1463573947357865E-2</v>
          </cell>
          <cell r="AH106">
            <v>-8.8612365226015857E-2</v>
          </cell>
          <cell r="AI106">
            <v>-0.11805061034352209</v>
          </cell>
          <cell r="AJ106">
            <v>-0.1372266165506198</v>
          </cell>
          <cell r="AK106">
            <v>-0.15607506852172739</v>
          </cell>
          <cell r="AL106">
            <v>-0.12405491639289376</v>
          </cell>
          <cell r="AM106">
            <v>-2.7307642789023843E-2</v>
          </cell>
          <cell r="AN106">
            <v>-2.8039823407174602E-2</v>
          </cell>
          <cell r="AO106">
            <v>2.9701099692296878E-2</v>
          </cell>
          <cell r="AP106">
            <v>3.3428980333368753E-2</v>
          </cell>
          <cell r="AQ106">
            <v>4.7531112799552499E-3</v>
          </cell>
          <cell r="AR106">
            <v>5.859457781425783E-2</v>
          </cell>
          <cell r="AS106">
            <v>-0.11006288366856624</v>
          </cell>
          <cell r="AT106" t="e">
            <v>#DIV/0!</v>
          </cell>
          <cell r="AU106" t="e">
            <v>#DIV/0!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G107">
            <v>105</v>
          </cell>
          <cell r="H107" t="str">
            <v>Actual</v>
          </cell>
          <cell r="I107">
            <v>0</v>
          </cell>
          <cell r="J107">
            <v>0</v>
          </cell>
          <cell r="K107">
            <v>0</v>
          </cell>
          <cell r="L107">
            <v>175.45254624010875</v>
          </cell>
          <cell r="M107">
            <v>59.802596317822712</v>
          </cell>
          <cell r="N107">
            <v>63.181324609334212</v>
          </cell>
          <cell r="O107">
            <v>61.859029687119339</v>
          </cell>
          <cell r="P107">
            <v>82.903682177287436</v>
          </cell>
          <cell r="Q107">
            <v>62.643006299377021</v>
          </cell>
          <cell r="R107">
            <v>64.709090580626508</v>
          </cell>
          <cell r="S107">
            <v>65.078494779058417</v>
          </cell>
          <cell r="T107">
            <v>62.145770856667994</v>
          </cell>
          <cell r="U107">
            <v>62.450644939841744</v>
          </cell>
          <cell r="V107">
            <v>84.649185244065464</v>
          </cell>
          <cell r="W107">
            <v>164.71880551154641</v>
          </cell>
          <cell r="X107">
            <v>178.11728839598638</v>
          </cell>
          <cell r="Y107">
            <v>59.381622715270396</v>
          </cell>
          <cell r="Z107">
            <v>60.707074517334796</v>
          </cell>
          <cell r="AA107">
            <v>81.456414389081303</v>
          </cell>
          <cell r="AB107">
            <v>60.99600493810226</v>
          </cell>
          <cell r="AC107">
            <v>62.65244676108501</v>
          </cell>
          <cell r="AD107">
            <v>62.92412933107687</v>
          </cell>
          <cell r="AE107">
            <v>62.5961521332502</v>
          </cell>
          <cell r="AF107">
            <v>64.009673109468253</v>
          </cell>
          <cell r="AG107">
            <v>64.896784537276204</v>
          </cell>
          <cell r="AH107">
            <v>80.906119176984063</v>
          </cell>
          <cell r="AI107">
            <v>174.25782436205122</v>
          </cell>
          <cell r="AJ107">
            <v>180.97252289758535</v>
          </cell>
          <cell r="AK107">
            <v>62.72660791299456</v>
          </cell>
          <cell r="AL107">
            <v>60.910573956326814</v>
          </cell>
          <cell r="AM107">
            <v>81.2035865877981</v>
          </cell>
          <cell r="AN107">
            <v>62.671462420946767</v>
          </cell>
          <cell r="AO107">
            <v>61.315872014728193</v>
          </cell>
          <cell r="AP107">
            <v>62.001770694997788</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G108">
            <v>106</v>
          </cell>
          <cell r="H108" t="str">
            <v>Target (Budget)</v>
          </cell>
          <cell r="I108">
            <v>0</v>
          </cell>
          <cell r="J108">
            <v>0</v>
          </cell>
          <cell r="K108">
            <v>0</v>
          </cell>
          <cell r="L108">
            <v>173.64119617457158</v>
          </cell>
          <cell r="M108">
            <v>61.086416315734525</v>
          </cell>
          <cell r="N108">
            <v>63.596909476908088</v>
          </cell>
          <cell r="O108">
            <v>62.394372324504921</v>
          </cell>
          <cell r="P108">
            <v>83.125813524518847</v>
          </cell>
          <cell r="Q108">
            <v>62.447186162252464</v>
          </cell>
          <cell r="R108">
            <v>64.125173333333336</v>
          </cell>
          <cell r="S108">
            <v>63.433759999999999</v>
          </cell>
          <cell r="T108">
            <v>64.136799999999994</v>
          </cell>
          <cell r="U108">
            <v>63.291751111111111</v>
          </cell>
          <cell r="V108">
            <v>232.10845284732369</v>
          </cell>
          <cell r="W108">
            <v>177.12878089109947</v>
          </cell>
          <cell r="X108">
            <v>176.30251092227184</v>
          </cell>
          <cell r="Y108">
            <v>63.53568378675125</v>
          </cell>
          <cell r="Z108">
            <v>64.175569459209811</v>
          </cell>
          <cell r="AA108">
            <v>80.374196134474289</v>
          </cell>
          <cell r="AB108">
            <v>66.145645619477506</v>
          </cell>
          <cell r="AC108">
            <v>64.880444064901795</v>
          </cell>
          <cell r="AD108">
            <v>66.427310779712613</v>
          </cell>
          <cell r="AE108">
            <v>66.617047493069023</v>
          </cell>
          <cell r="AF108">
            <v>66.267979777846236</v>
          </cell>
          <cell r="AG108">
            <v>66.045572326816099</v>
          </cell>
          <cell r="AH108">
            <v>84.239802852120974</v>
          </cell>
          <cell r="AI108">
            <v>176.32800422487878</v>
          </cell>
          <cell r="AJ108">
            <v>178.37246147198618</v>
          </cell>
          <cell r="AK108">
            <v>63.661056576527017</v>
          </cell>
          <cell r="AL108">
            <v>63.147604394093072</v>
          </cell>
          <cell r="AM108">
            <v>76.564046141415531</v>
          </cell>
          <cell r="AN108">
            <v>62.215509979542368</v>
          </cell>
          <cell r="AO108">
            <v>61.366380718251989</v>
          </cell>
          <cell r="AP108">
            <v>64.201906119176982</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G109">
            <v>107</v>
          </cell>
          <cell r="H109" t="str">
            <v>Target (Budget) Variance</v>
          </cell>
          <cell r="I109">
            <v>0</v>
          </cell>
          <cell r="J109">
            <v>0</v>
          </cell>
          <cell r="K109">
            <v>0</v>
          </cell>
          <cell r="L109">
            <v>1.8113500655371695</v>
          </cell>
          <cell r="M109">
            <v>-1.283819997911813</v>
          </cell>
          <cell r="N109">
            <v>-0.41558486757387669</v>
          </cell>
          <cell r="O109">
            <v>-0.53534263738558252</v>
          </cell>
          <cell r="P109">
            <v>-0.22213134723141081</v>
          </cell>
          <cell r="Q109">
            <v>0.19582013712455648</v>
          </cell>
          <cell r="R109">
            <v>0.58391724729317218</v>
          </cell>
          <cell r="S109">
            <v>1.6447347790584175</v>
          </cell>
          <cell r="T109">
            <v>-1.9910291433319998</v>
          </cell>
          <cell r="U109">
            <v>-0.8411061712693666</v>
          </cell>
          <cell r="V109">
            <v>-147.45926760325824</v>
          </cell>
          <cell r="W109">
            <v>-12.40997537955306</v>
          </cell>
          <cell r="X109">
            <v>1.8147774737145426</v>
          </cell>
          <cell r="Y109">
            <v>-4.1540610714808537</v>
          </cell>
          <cell r="Z109">
            <v>-3.4684949418750151</v>
          </cell>
          <cell r="AA109">
            <v>1.0822182546070138</v>
          </cell>
          <cell r="AB109">
            <v>-5.1496406813752458</v>
          </cell>
          <cell r="AC109">
            <v>-2.2279973038167853</v>
          </cell>
          <cell r="AD109">
            <v>-3.5031814486357433</v>
          </cell>
          <cell r="AE109">
            <v>-4.0208953598188231</v>
          </cell>
          <cell r="AF109">
            <v>-2.2583066683779833</v>
          </cell>
          <cell r="AG109">
            <v>-1.1487877895398952</v>
          </cell>
          <cell r="AH109">
            <v>-3.3336836751369106</v>
          </cell>
          <cell r="AI109">
            <v>-2.0701798628275583</v>
          </cell>
          <cell r="AJ109">
            <v>2.600061425599165</v>
          </cell>
          <cell r="AK109">
            <v>-0.93444866353245715</v>
          </cell>
          <cell r="AL109">
            <v>-2.2370304377662578</v>
          </cell>
          <cell r="AM109">
            <v>4.6395404463825685</v>
          </cell>
          <cell r="AN109">
            <v>0.45595244140439917</v>
          </cell>
          <cell r="AO109">
            <v>-5.0508703523796328E-2</v>
          </cell>
          <cell r="AP109">
            <v>-2.2001354241791944</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G110">
            <v>108</v>
          </cell>
          <cell r="H110" t="str">
            <v>Target (Budget) %Var</v>
          </cell>
          <cell r="I110">
            <v>0</v>
          </cell>
          <cell r="J110">
            <v>0</v>
          </cell>
          <cell r="K110">
            <v>0</v>
          </cell>
          <cell r="L110">
            <v>1.0431568691315131E-2</v>
          </cell>
          <cell r="M110">
            <v>-2.1016456281805634E-2</v>
          </cell>
          <cell r="N110">
            <v>-6.534670803850535E-3</v>
          </cell>
          <cell r="O110">
            <v>-8.5799827362848663E-3</v>
          </cell>
          <cell r="P110">
            <v>-2.6722306563158123E-3</v>
          </cell>
          <cell r="Q110">
            <v>3.1357719884410763E-3</v>
          </cell>
          <cell r="R110">
            <v>9.1058973713470225E-3</v>
          </cell>
          <cell r="S110">
            <v>2.5928382285054796E-2</v>
          </cell>
          <cell r="T110">
            <v>-3.1043474936884908E-2</v>
          </cell>
          <cell r="U110">
            <v>-1.3289349030535942E-2</v>
          </cell>
          <cell r="V110">
            <v>-0.6353033066841991</v>
          </cell>
          <cell r="W110">
            <v>-7.006187993346398E-2</v>
          </cell>
          <cell r="X110">
            <v>1.0293542980307529E-2</v>
          </cell>
          <cell r="Y110">
            <v>-6.5381543471278059E-2</v>
          </cell>
          <cell r="Z110">
            <v>-5.4046967889854115E-2</v>
          </cell>
          <cell r="AA110">
            <v>1.3464747476868714E-2</v>
          </cell>
          <cell r="AB110">
            <v>-7.7853056435492146E-2</v>
          </cell>
          <cell r="AC110">
            <v>-3.4340043998281743E-2</v>
          </cell>
          <cell r="AD110">
            <v>-5.273706563634728E-2</v>
          </cell>
          <cell r="AE110">
            <v>-6.0358354372237306E-2</v>
          </cell>
          <cell r="AF110">
            <v>-3.4078399189904809E-2</v>
          </cell>
          <cell r="AG110">
            <v>-1.7393865312504222E-2</v>
          </cell>
          <cell r="AH110">
            <v>-3.9573735482133499E-2</v>
          </cell>
          <cell r="AI110">
            <v>-1.1740505269868352E-2</v>
          </cell>
          <cell r="AJ110">
            <v>1.4576585444539098E-2</v>
          </cell>
          <cell r="AK110">
            <v>-1.4678497558537307E-2</v>
          </cell>
          <cell r="AL110">
            <v>-3.5425420476845722E-2</v>
          </cell>
          <cell r="AM110">
            <v>6.0596855576483408E-2</v>
          </cell>
          <cell r="AN110">
            <v>7.3285976688823237E-3</v>
          </cell>
          <cell r="AO110">
            <v>-8.2306798824741015E-4</v>
          </cell>
          <cell r="AP110">
            <v>-3.426900472542229E-2</v>
          </cell>
          <cell r="AQ110" t="e">
            <v>#DIV/0!</v>
          </cell>
          <cell r="AR110" t="e">
            <v>#DIV/0!</v>
          </cell>
          <cell r="AS110" t="e">
            <v>#DIV/0!</v>
          </cell>
          <cell r="AT110" t="e">
            <v>#DIV/0!</v>
          </cell>
          <cell r="AU110" t="e">
            <v>#DIV/0!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G111">
            <v>109</v>
          </cell>
          <cell r="H111" t="str">
            <v>YTD Actual</v>
          </cell>
          <cell r="I111">
            <v>0</v>
          </cell>
          <cell r="J111">
            <v>0</v>
          </cell>
          <cell r="K111">
            <v>0</v>
          </cell>
          <cell r="L111">
            <v>175.45254624010875</v>
          </cell>
          <cell r="M111">
            <v>90.319144302824569</v>
          </cell>
          <cell r="N111">
            <v>78.81252997469214</v>
          </cell>
          <cell r="O111">
            <v>73.868153390985356</v>
          </cell>
          <cell r="P111">
            <v>75.861408671141049</v>
          </cell>
          <cell r="Q111">
            <v>73.39457472339403</v>
          </cell>
          <cell r="R111">
            <v>72.071153893796293</v>
          </cell>
          <cell r="S111">
            <v>71.146554174619055</v>
          </cell>
          <cell r="T111">
            <v>70.095419533282282</v>
          </cell>
          <cell r="U111">
            <v>69.295997884177609</v>
          </cell>
          <cell r="V111">
            <v>70.749498459891328</v>
          </cell>
          <cell r="W111">
            <v>73.981862110422639</v>
          </cell>
          <cell r="X111">
            <v>178.11728839598638</v>
          </cell>
          <cell r="Y111">
            <v>89.300198355042895</v>
          </cell>
          <cell r="Z111">
            <v>77.169756970459659</v>
          </cell>
          <cell r="AA111">
            <v>78.446635511632067</v>
          </cell>
          <cell r="AB111">
            <v>74.441568253993239</v>
          </cell>
          <cell r="AC111">
            <v>72.240930229580812</v>
          </cell>
          <cell r="AD111">
            <v>71.171615469349433</v>
          </cell>
          <cell r="AE111">
            <v>69.686691358082825</v>
          </cell>
          <cell r="AF111">
            <v>69.023941236658871</v>
          </cell>
          <cell r="AG111">
            <v>68.592494306108804</v>
          </cell>
          <cell r="AH111">
            <v>69.757913318518874</v>
          </cell>
          <cell r="AI111">
            <v>73.235446945631111</v>
          </cell>
          <cell r="AJ111">
            <v>180.97252289758535</v>
          </cell>
          <cell r="AK111">
            <v>91.957410217501263</v>
          </cell>
          <cell r="AL111">
            <v>78.734955678328475</v>
          </cell>
          <cell r="AM111">
            <v>79.472292088836383</v>
          </cell>
          <cell r="AN111">
            <v>75.608294226268185</v>
          </cell>
          <cell r="AO111">
            <v>72.935833768949294</v>
          </cell>
          <cell r="AP111">
            <v>71.583041379552526</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G112">
            <v>110</v>
          </cell>
          <cell r="H112" t="str">
            <v>YTD Target (Budget)</v>
          </cell>
          <cell r="I112">
            <v>0</v>
          </cell>
          <cell r="J112">
            <v>0</v>
          </cell>
          <cell r="K112">
            <v>0</v>
          </cell>
          <cell r="L112">
            <v>173.64119617457158</v>
          </cell>
          <cell r="M112">
            <v>123.60664830589893</v>
          </cell>
          <cell r="N112">
            <v>79.850071201422551</v>
          </cell>
          <cell r="O112">
            <v>74.791841323958408</v>
          </cell>
          <cell r="P112">
            <v>76.733046398070769</v>
          </cell>
          <cell r="Q112">
            <v>74.059932646811447</v>
          </cell>
          <cell r="R112">
            <v>72.525439413035897</v>
          </cell>
          <cell r="S112">
            <v>71.309046236106454</v>
          </cell>
          <cell r="T112">
            <v>70.46269502117778</v>
          </cell>
          <cell r="U112">
            <v>69.705808841327837</v>
          </cell>
          <cell r="V112">
            <v>75.691254356572585</v>
          </cell>
          <cell r="W112">
            <v>79.296907722583242</v>
          </cell>
          <cell r="X112">
            <v>176.30251092227184</v>
          </cell>
          <cell r="Y112">
            <v>93.613581730769226</v>
          </cell>
          <cell r="Z112">
            <v>81.167906952731457</v>
          </cell>
          <cell r="AA112">
            <v>80.926251256698066</v>
          </cell>
          <cell r="AB112">
            <v>77.21114062593621</v>
          </cell>
          <cell r="AC112">
            <v>74.963736985090534</v>
          </cell>
          <cell r="AD112">
            <v>73.665623251981884</v>
          </cell>
          <cell r="AE112">
            <v>72.73653545341044</v>
          </cell>
          <cell r="AF112">
            <v>71.981133989034092</v>
          </cell>
          <cell r="AG112">
            <v>71.35074705944686</v>
          </cell>
          <cell r="AH112">
            <v>72.569450655262742</v>
          </cell>
          <cell r="AI112">
            <v>76.144687735736696</v>
          </cell>
          <cell r="AJ112">
            <v>178.37246147198618</v>
          </cell>
          <cell r="AK112">
            <v>93.276057621711942</v>
          </cell>
          <cell r="AL112">
            <v>80.346912887210479</v>
          </cell>
          <cell r="AM112">
            <v>79.215014129499934</v>
          </cell>
          <cell r="AN112">
            <v>75.314325161239424</v>
          </cell>
          <cell r="AO112">
            <v>72.788785718410907</v>
          </cell>
          <cell r="AP112">
            <v>71.374411719125959</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G113">
            <v>111</v>
          </cell>
          <cell r="H113" t="str">
            <v>YTD Target (Budget) Var</v>
          </cell>
          <cell r="I113">
            <v>0</v>
          </cell>
          <cell r="J113">
            <v>0</v>
          </cell>
          <cell r="K113">
            <v>0</v>
          </cell>
          <cell r="L113">
            <v>1.8113500655371695</v>
          </cell>
          <cell r="M113">
            <v>-33.287504003074361</v>
          </cell>
          <cell r="N113">
            <v>-1.0375412267304114</v>
          </cell>
          <cell r="O113">
            <v>-0.92368793297305274</v>
          </cell>
          <cell r="P113">
            <v>-0.87163772692971975</v>
          </cell>
          <cell r="Q113">
            <v>-0.6653579234174174</v>
          </cell>
          <cell r="R113">
            <v>-0.4542855192396047</v>
          </cell>
          <cell r="S113">
            <v>-0.16249206148739859</v>
          </cell>
          <cell r="T113">
            <v>-0.36727548789549758</v>
          </cell>
          <cell r="U113">
            <v>-0.40981095715022775</v>
          </cell>
          <cell r="V113">
            <v>-4.9417558966812578</v>
          </cell>
          <cell r="W113">
            <v>-5.3150456121606027</v>
          </cell>
          <cell r="X113">
            <v>1.8147774737145426</v>
          </cell>
          <cell r="Y113">
            <v>-4.3133833757263318</v>
          </cell>
          <cell r="Z113">
            <v>-3.9981499822717979</v>
          </cell>
          <cell r="AA113">
            <v>-2.479615745065999</v>
          </cell>
          <cell r="AB113">
            <v>-2.7695723719429708</v>
          </cell>
          <cell r="AC113">
            <v>-2.7228067555097226</v>
          </cell>
          <cell r="AD113">
            <v>-2.4940077826324512</v>
          </cell>
          <cell r="AE113">
            <v>-3.0498440953276145</v>
          </cell>
          <cell r="AF113">
            <v>-2.9571927523752208</v>
          </cell>
          <cell r="AG113">
            <v>-2.7582527533380556</v>
          </cell>
          <cell r="AH113">
            <v>-2.8115373367438679</v>
          </cell>
          <cell r="AI113">
            <v>-2.909240790105585</v>
          </cell>
          <cell r="AJ113">
            <v>2.600061425599165</v>
          </cell>
          <cell r="AK113">
            <v>-1.3186474042106795</v>
          </cell>
          <cell r="AL113">
            <v>-1.6119572088820036</v>
          </cell>
          <cell r="AM113">
            <v>0.2572779593364487</v>
          </cell>
          <cell r="AN113">
            <v>0.29396906502876163</v>
          </cell>
          <cell r="AO113">
            <v>0.14704805053838754</v>
          </cell>
          <cell r="AP113">
            <v>0.20862966042656694</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G114">
            <v>112</v>
          </cell>
          <cell r="H114" t="str">
            <v>YTD %Var</v>
          </cell>
          <cell r="I114">
            <v>0</v>
          </cell>
          <cell r="J114">
            <v>0</v>
          </cell>
          <cell r="K114">
            <v>0</v>
          </cell>
          <cell r="L114">
            <v>1.0431568691315131E-2</v>
          </cell>
          <cell r="M114">
            <v>-0.26930188998163918</v>
          </cell>
          <cell r="N114">
            <v>-1.2993616801082167E-2</v>
          </cell>
          <cell r="O114">
            <v>-1.2350116224203235E-2</v>
          </cell>
          <cell r="P114">
            <v>-1.1359352558582041E-2</v>
          </cell>
          <cell r="Q114">
            <v>-8.9840471039918431E-3</v>
          </cell>
          <cell r="R114">
            <v>-6.2638092635664928E-3</v>
          </cell>
          <cell r="S114">
            <v>-2.2787019328428873E-3</v>
          </cell>
          <cell r="T114">
            <v>-5.2123394909194404E-3</v>
          </cell>
          <cell r="U114">
            <v>-5.8791507330914891E-3</v>
          </cell>
          <cell r="V114">
            <v>-6.5288334018105021E-2</v>
          </cell>
          <cell r="W114">
            <v>-6.7027148533396239E-2</v>
          </cell>
          <cell r="X114">
            <v>1.0293542980307529E-2</v>
          </cell>
          <cell r="Y114">
            <v>-4.6076469845278814E-2</v>
          </cell>
          <cell r="Z114">
            <v>-4.9257768647405692E-2</v>
          </cell>
          <cell r="AA114">
            <v>-3.064043751638338E-2</v>
          </cell>
          <cell r="AB114">
            <v>-3.5870113425220347E-2</v>
          </cell>
          <cell r="AC114">
            <v>-3.6321651841493163E-2</v>
          </cell>
          <cell r="AD114">
            <v>-3.3855788799904751E-2</v>
          </cell>
          <cell r="AE114">
            <v>-4.1930015999746308E-2</v>
          </cell>
          <cell r="AF114">
            <v>-4.1082886424458551E-2</v>
          </cell>
          <cell r="AG114">
            <v>-3.8657657656197761E-2</v>
          </cell>
          <cell r="AH114">
            <v>-3.8742712137920465E-2</v>
          </cell>
          <cell r="AI114">
            <v>-3.8206746611165132E-2</v>
          </cell>
          <cell r="AJ114">
            <v>1.4576585444539098E-2</v>
          </cell>
          <cell r="AK114">
            <v>-1.413704049927317E-2</v>
          </cell>
          <cell r="AL114">
            <v>-2.0062466010919915E-2</v>
          </cell>
          <cell r="AM114">
            <v>3.2478433812541292E-3</v>
          </cell>
          <cell r="AN114">
            <v>3.9032290922000196E-3</v>
          </cell>
          <cell r="AO114">
            <v>2.0202020007210231E-3</v>
          </cell>
          <cell r="AP114">
            <v>2.923031593557235E-3</v>
          </cell>
          <cell r="AQ114" t="e">
            <v>#DIV/0!</v>
          </cell>
          <cell r="AR114" t="e">
            <v>#DIV/0!</v>
          </cell>
          <cell r="AS114" t="e">
            <v>#DIV/0!</v>
          </cell>
          <cell r="AT114" t="e">
            <v>#DIV/0!</v>
          </cell>
          <cell r="AU114" t="e">
            <v>#DIV/0!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G115">
            <v>113</v>
          </cell>
          <cell r="H115" t="str">
            <v>4 Month Actual</v>
          </cell>
          <cell r="I115">
            <v>0</v>
          </cell>
          <cell r="J115">
            <v>0</v>
          </cell>
          <cell r="K115">
            <v>0</v>
          </cell>
          <cell r="L115">
            <v>175.45254624010875</v>
          </cell>
          <cell r="M115">
            <v>90.319131492986614</v>
          </cell>
          <cell r="N115">
            <v>78.81252997469214</v>
          </cell>
          <cell r="O115">
            <v>73.764524837173639</v>
          </cell>
          <cell r="P115">
            <v>66.936658197890921</v>
          </cell>
          <cell r="Q115">
            <v>67.646760693279504</v>
          </cell>
          <cell r="R115">
            <v>68.059485756436828</v>
          </cell>
          <cell r="S115">
            <v>68.907321396915435</v>
          </cell>
          <cell r="T115">
            <v>63.634631902938331</v>
          </cell>
          <cell r="U115">
            <v>63.596000289048668</v>
          </cell>
          <cell r="V115">
            <v>68.581023954908403</v>
          </cell>
          <cell r="W115">
            <v>80.332969484886917</v>
          </cell>
          <cell r="X115">
            <v>100.3077917645669</v>
          </cell>
          <cell r="Y115">
            <v>98.432146213964742</v>
          </cell>
          <cell r="Z115">
            <v>89.352920367399022</v>
          </cell>
          <cell r="AA115">
            <v>78.983217140376411</v>
          </cell>
          <cell r="AB115">
            <v>65.635279139947187</v>
          </cell>
          <cell r="AC115">
            <v>66.452985151400839</v>
          </cell>
          <cell r="AD115">
            <v>67.045889026875699</v>
          </cell>
          <cell r="AE115">
            <v>62.283241741440015</v>
          </cell>
          <cell r="AF115">
            <v>63.041807989344015</v>
          </cell>
          <cell r="AG115">
            <v>63.606684777767882</v>
          </cell>
          <cell r="AH115">
            <v>68.102182239244684</v>
          </cell>
          <cell r="AI115">
            <v>81.217501138638511</v>
          </cell>
          <cell r="AJ115">
            <v>100.82939701118194</v>
          </cell>
          <cell r="AK115">
            <v>99.427714094787703</v>
          </cell>
          <cell r="AL115">
            <v>91.715136570561455</v>
          </cell>
          <cell r="AM115">
            <v>79.994959420791631</v>
          </cell>
          <cell r="AN115">
            <v>66.878057719516562</v>
          </cell>
          <cell r="AO115">
            <v>66.525373744949974</v>
          </cell>
          <cell r="AP115">
            <v>66.843317674994836</v>
          </cell>
          <cell r="AQ115">
            <v>46.791758585349754</v>
          </cell>
          <cell r="AR115">
            <v>31.121860860720425</v>
          </cell>
          <cell r="AS115">
            <v>15.500442673749447</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G116">
            <v>114</v>
          </cell>
          <cell r="H116" t="str">
            <v>4 Month Target (Budget)</v>
          </cell>
          <cell r="I116">
            <v>0</v>
          </cell>
          <cell r="J116">
            <v>0</v>
          </cell>
          <cell r="K116">
            <v>0</v>
          </cell>
          <cell r="L116">
            <v>173.64119617457158</v>
          </cell>
          <cell r="M116">
            <v>90.786229424197785</v>
          </cell>
          <cell r="N116">
            <v>79.25778604156983</v>
          </cell>
          <cell r="O116">
            <v>74.236604714062906</v>
          </cell>
          <cell r="P116">
            <v>67.550877910416588</v>
          </cell>
          <cell r="Q116">
            <v>67.891070372046073</v>
          </cell>
          <cell r="R116">
            <v>68.043866554704181</v>
          </cell>
          <cell r="S116">
            <v>68.331140736571811</v>
          </cell>
          <cell r="T116">
            <v>63.529878523181381</v>
          </cell>
          <cell r="U116">
            <v>63.746871111111112</v>
          </cell>
          <cell r="V116">
            <v>81.786765474441793</v>
          </cell>
          <cell r="W116">
            <v>101.20580467807827</v>
          </cell>
          <cell r="X116">
            <v>132.16766942388847</v>
          </cell>
          <cell r="Y116">
            <v>131.63180805220298</v>
          </cell>
          <cell r="Z116">
            <v>93.680837691958089</v>
          </cell>
          <cell r="AA116">
            <v>80.90513354684245</v>
          </cell>
          <cell r="AB116">
            <v>68.55777374997821</v>
          </cell>
          <cell r="AC116">
            <v>68.893963819515847</v>
          </cell>
          <cell r="AD116">
            <v>69.486112333057662</v>
          </cell>
          <cell r="AE116">
            <v>66.007786543005878</v>
          </cell>
          <cell r="AF116">
            <v>66.0367139140576</v>
          </cell>
          <cell r="AG116">
            <v>66.339477594360986</v>
          </cell>
          <cell r="AH116">
            <v>70.792600612463076</v>
          </cell>
          <cell r="AI116">
            <v>83.822447556199364</v>
          </cell>
          <cell r="AJ116">
            <v>103.1483832351084</v>
          </cell>
          <cell r="AK116">
            <v>101.53984801372779</v>
          </cell>
          <cell r="AL116">
            <v>93.447865768753644</v>
          </cell>
          <cell r="AM116">
            <v>79.582396486054805</v>
          </cell>
          <cell r="AN116">
            <v>66.397054272894493</v>
          </cell>
          <cell r="AO116">
            <v>65.82338530832574</v>
          </cell>
          <cell r="AP116">
            <v>66.10358477640672</v>
          </cell>
          <cell r="AQ116">
            <v>47.210110757278834</v>
          </cell>
          <cell r="AR116">
            <v>31.661157061269165</v>
          </cell>
          <cell r="AS116">
            <v>16.050476529794246</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G117">
            <v>115</v>
          </cell>
          <cell r="H117" t="str">
            <v>4 Month Target (Budget) Var</v>
          </cell>
          <cell r="I117">
            <v>0</v>
          </cell>
          <cell r="J117">
            <v>0</v>
          </cell>
          <cell r="K117">
            <v>0</v>
          </cell>
          <cell r="L117">
            <v>1.8113500655371695</v>
          </cell>
          <cell r="M117">
            <v>-0.46709793121117116</v>
          </cell>
          <cell r="N117">
            <v>-0.4452560668776897</v>
          </cell>
          <cell r="O117">
            <v>-0.47207987688926778</v>
          </cell>
          <cell r="P117">
            <v>-0.61421971252566721</v>
          </cell>
          <cell r="Q117">
            <v>-0.2443096787665695</v>
          </cell>
          <cell r="R117">
            <v>1.5619201732647525E-2</v>
          </cell>
          <cell r="S117">
            <v>0.57618066034362414</v>
          </cell>
          <cell r="T117">
            <v>0.10475337975694998</v>
          </cell>
          <cell r="U117">
            <v>-0.15087082206244418</v>
          </cell>
          <cell r="V117">
            <v>-13.20574151953339</v>
          </cell>
          <cell r="W117">
            <v>-20.872835193191349</v>
          </cell>
          <cell r="X117">
            <v>-31.859877659321569</v>
          </cell>
          <cell r="Y117">
            <v>-33.199661838238242</v>
          </cell>
          <cell r="Z117">
            <v>-4.327917324559067</v>
          </cell>
          <cell r="AA117">
            <v>-1.921916406466039</v>
          </cell>
          <cell r="AB117">
            <v>-2.9224946100310234</v>
          </cell>
          <cell r="AC117">
            <v>-2.4409786681150081</v>
          </cell>
          <cell r="AD117">
            <v>-2.4402233061819629</v>
          </cell>
          <cell r="AE117">
            <v>-3.7245448015658624</v>
          </cell>
          <cell r="AF117">
            <v>-2.994905924713585</v>
          </cell>
          <cell r="AG117">
            <v>-2.7327928165931041</v>
          </cell>
          <cell r="AH117">
            <v>-2.6904183732183924</v>
          </cell>
          <cell r="AI117">
            <v>-2.6049464175608534</v>
          </cell>
          <cell r="AJ117">
            <v>-2.3189862239264585</v>
          </cell>
          <cell r="AK117">
            <v>-2.1121339189400885</v>
          </cell>
          <cell r="AL117">
            <v>-1.7327291981921888</v>
          </cell>
          <cell r="AM117">
            <v>0.41256293473682604</v>
          </cell>
          <cell r="AN117">
            <v>0.48100344662206851</v>
          </cell>
          <cell r="AO117">
            <v>0.70198843662423371</v>
          </cell>
          <cell r="AP117">
            <v>0.73973289858811597</v>
          </cell>
          <cell r="AQ117">
            <v>-0.41835217192907947</v>
          </cell>
          <cell r="AR117">
            <v>-0.5392962005487405</v>
          </cell>
          <cell r="AS117">
            <v>-0.5500338560447986</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G118">
            <v>116</v>
          </cell>
          <cell r="H118" t="str">
            <v>4 Month Target (Budget) % Var</v>
          </cell>
          <cell r="I118">
            <v>0</v>
          </cell>
          <cell r="J118">
            <v>0</v>
          </cell>
          <cell r="K118">
            <v>0</v>
          </cell>
          <cell r="L118">
            <v>1.0431568691315131E-2</v>
          </cell>
          <cell r="M118">
            <v>-5.1450306304567468E-3</v>
          </cell>
          <cell r="N118">
            <v>-5.6178211519074964E-3</v>
          </cell>
          <cell r="O118">
            <v>-6.3591253763231438E-3</v>
          </cell>
          <cell r="P118">
            <v>-9.092697704687451E-3</v>
          </cell>
          <cell r="Q118">
            <v>-3.5985539398295189E-3</v>
          </cell>
          <cell r="R118">
            <v>2.2954606378945846E-4</v>
          </cell>
          <cell r="S118">
            <v>8.4321826641955058E-3</v>
          </cell>
          <cell r="T118">
            <v>1.6488836779174161E-3</v>
          </cell>
          <cell r="U118">
            <v>-2.3667172903196394E-3</v>
          </cell>
          <cell r="V118">
            <v>-0.16146550658810635</v>
          </cell>
          <cell r="W118">
            <v>-0.206241482487936</v>
          </cell>
          <cell r="X118">
            <v>-0.24105651403400699</v>
          </cell>
          <cell r="Y118">
            <v>-0.25221610437100284</v>
          </cell>
          <cell r="Z118">
            <v>-4.619853356553185E-2</v>
          </cell>
          <cell r="AA118">
            <v>-2.3755184896311777E-2</v>
          </cell>
          <cell r="AB118">
            <v>-4.2628201736669612E-2</v>
          </cell>
          <cell r="AC118">
            <v>-3.5430951171712709E-2</v>
          </cell>
          <cell r="AD118">
            <v>-3.5118144104617569E-2</v>
          </cell>
          <cell r="AE118">
            <v>-5.6425839989941481E-2</v>
          </cell>
          <cell r="AF118">
            <v>-4.5352134399226106E-2</v>
          </cell>
          <cell r="AG118">
            <v>-4.1194065972346428E-2</v>
          </cell>
          <cell r="AH118">
            <v>-3.8004231373649278E-2</v>
          </cell>
          <cell r="AI118">
            <v>-3.1076954843323422E-2</v>
          </cell>
          <cell r="AJ118">
            <v>-2.2482041416400506E-2</v>
          </cell>
          <cell r="AK118">
            <v>-2.0801034867164035E-2</v>
          </cell>
          <cell r="AL118">
            <v>-1.8542201942631901E-2</v>
          </cell>
          <cell r="AM118">
            <v>5.1840979029717871E-3</v>
          </cell>
          <cell r="AN118">
            <v>7.2443491942447555E-3</v>
          </cell>
          <cell r="AO118">
            <v>1.0664727031829552E-2</v>
          </cell>
          <cell r="AP118">
            <v>1.1190511090892257E-2</v>
          </cell>
          <cell r="AQ118">
            <v>-8.8614952436767615E-3</v>
          </cell>
          <cell r="AR118">
            <v>-1.7033369927230396E-2</v>
          </cell>
          <cell r="AS118">
            <v>-3.426900472542229E-2</v>
          </cell>
          <cell r="AT118" t="e">
            <v>#DIV/0!</v>
          </cell>
          <cell r="AU118" t="e">
            <v>#DIV/0!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G119">
            <v>117</v>
          </cell>
          <cell r="H119" t="str">
            <v>Actual</v>
          </cell>
          <cell r="I119">
            <v>0</v>
          </cell>
          <cell r="J119">
            <v>0</v>
          </cell>
          <cell r="K119">
            <v>0</v>
          </cell>
          <cell r="L119">
            <v>20599</v>
          </cell>
          <cell r="M119">
            <v>57466</v>
          </cell>
          <cell r="N119">
            <v>57466</v>
          </cell>
          <cell r="O119">
            <v>57466</v>
          </cell>
          <cell r="P119">
            <v>57466</v>
          </cell>
          <cell r="Q119">
            <v>57466</v>
          </cell>
          <cell r="R119">
            <v>55354</v>
          </cell>
          <cell r="S119">
            <v>55354</v>
          </cell>
          <cell r="T119">
            <v>55354</v>
          </cell>
          <cell r="U119">
            <v>55354</v>
          </cell>
          <cell r="V119">
            <v>55354</v>
          </cell>
          <cell r="W119">
            <v>20829</v>
          </cell>
          <cell r="X119">
            <v>20829</v>
          </cell>
          <cell r="Y119">
            <v>58322</v>
          </cell>
          <cell r="Z119">
            <v>58322</v>
          </cell>
          <cell r="AA119">
            <v>58322</v>
          </cell>
          <cell r="AB119">
            <v>58322</v>
          </cell>
          <cell r="AC119">
            <v>58322</v>
          </cell>
          <cell r="AD119">
            <v>56135</v>
          </cell>
          <cell r="AE119">
            <v>56135</v>
          </cell>
          <cell r="AF119">
            <v>56135</v>
          </cell>
          <cell r="AG119">
            <v>56135</v>
          </cell>
          <cell r="AH119">
            <v>56135</v>
          </cell>
          <cell r="AI119">
            <v>20417</v>
          </cell>
          <cell r="AJ119">
            <v>20417</v>
          </cell>
          <cell r="AK119">
            <v>58663</v>
          </cell>
          <cell r="AL119">
            <v>58663</v>
          </cell>
          <cell r="AM119">
            <v>58663</v>
          </cell>
          <cell r="AN119">
            <v>58663</v>
          </cell>
          <cell r="AO119">
            <v>58663</v>
          </cell>
          <cell r="AP119">
            <v>56475</v>
          </cell>
          <cell r="AQ119">
            <v>56475</v>
          </cell>
          <cell r="AR119">
            <v>56475</v>
          </cell>
          <cell r="AS119">
            <v>56475</v>
          </cell>
          <cell r="AT119">
            <v>56475</v>
          </cell>
          <cell r="AU119">
            <v>56475</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G120">
            <v>118</v>
          </cell>
          <cell r="H120" t="str">
            <v>Target (Budget)</v>
          </cell>
          <cell r="I120">
            <v>0</v>
          </cell>
          <cell r="J120">
            <v>0</v>
          </cell>
          <cell r="K120">
            <v>0</v>
          </cell>
          <cell r="L120">
            <v>20599</v>
          </cell>
          <cell r="M120">
            <v>57466</v>
          </cell>
          <cell r="N120">
            <v>57466</v>
          </cell>
          <cell r="O120">
            <v>57466</v>
          </cell>
          <cell r="P120">
            <v>57466</v>
          </cell>
          <cell r="Q120">
            <v>57466</v>
          </cell>
          <cell r="R120">
            <v>56250</v>
          </cell>
          <cell r="S120">
            <v>56250</v>
          </cell>
          <cell r="T120">
            <v>56250</v>
          </cell>
          <cell r="U120">
            <v>56250</v>
          </cell>
          <cell r="V120">
            <v>20393.009999999998</v>
          </cell>
          <cell r="W120">
            <v>20393.009999999998</v>
          </cell>
          <cell r="X120">
            <v>20829</v>
          </cell>
          <cell r="Y120">
            <v>57379</v>
          </cell>
          <cell r="Z120">
            <v>57379</v>
          </cell>
          <cell r="AA120">
            <v>57379</v>
          </cell>
          <cell r="AB120">
            <v>57379</v>
          </cell>
          <cell r="AC120">
            <v>57379</v>
          </cell>
          <cell r="AD120">
            <v>55187</v>
          </cell>
          <cell r="AE120">
            <v>55187</v>
          </cell>
          <cell r="AF120">
            <v>55187</v>
          </cell>
          <cell r="AG120">
            <v>55187</v>
          </cell>
          <cell r="AH120">
            <v>55187</v>
          </cell>
          <cell r="AI120">
            <v>20829</v>
          </cell>
          <cell r="AJ120">
            <v>20829</v>
          </cell>
          <cell r="AK120">
            <v>58169</v>
          </cell>
          <cell r="AL120">
            <v>58169</v>
          </cell>
          <cell r="AM120">
            <v>58169</v>
          </cell>
          <cell r="AN120">
            <v>58169</v>
          </cell>
          <cell r="AO120">
            <v>58169</v>
          </cell>
          <cell r="AP120">
            <v>56135</v>
          </cell>
          <cell r="AQ120">
            <v>56135</v>
          </cell>
          <cell r="AR120">
            <v>56135</v>
          </cell>
          <cell r="AS120">
            <v>56135</v>
          </cell>
          <cell r="AT120">
            <v>56135</v>
          </cell>
          <cell r="AU120">
            <v>56135</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G121">
            <v>119</v>
          </cell>
          <cell r="H121" t="str">
            <v>Target (Budget) Variance</v>
          </cell>
          <cell r="I121">
            <v>0</v>
          </cell>
          <cell r="J121">
            <v>0</v>
          </cell>
          <cell r="K121">
            <v>0</v>
          </cell>
          <cell r="L121">
            <v>0</v>
          </cell>
          <cell r="M121">
            <v>0</v>
          </cell>
          <cell r="N121">
            <v>0</v>
          </cell>
          <cell r="O121">
            <v>0</v>
          </cell>
          <cell r="P121">
            <v>0</v>
          </cell>
          <cell r="Q121">
            <v>0</v>
          </cell>
          <cell r="R121">
            <v>-896</v>
          </cell>
          <cell r="S121">
            <v>-896</v>
          </cell>
          <cell r="T121">
            <v>-896</v>
          </cell>
          <cell r="U121">
            <v>-896</v>
          </cell>
          <cell r="V121">
            <v>34960.990000000005</v>
          </cell>
          <cell r="W121">
            <v>435.9900000000016</v>
          </cell>
          <cell r="X121">
            <v>0</v>
          </cell>
          <cell r="Y121">
            <v>943</v>
          </cell>
          <cell r="Z121">
            <v>943</v>
          </cell>
          <cell r="AA121">
            <v>943</v>
          </cell>
          <cell r="AB121">
            <v>943</v>
          </cell>
          <cell r="AC121">
            <v>943</v>
          </cell>
          <cell r="AD121">
            <v>948</v>
          </cell>
          <cell r="AE121">
            <v>948</v>
          </cell>
          <cell r="AF121">
            <v>948</v>
          </cell>
          <cell r="AG121">
            <v>948</v>
          </cell>
          <cell r="AH121">
            <v>948</v>
          </cell>
          <cell r="AI121">
            <v>-412</v>
          </cell>
          <cell r="AJ121">
            <v>-412</v>
          </cell>
          <cell r="AK121">
            <v>494</v>
          </cell>
          <cell r="AL121">
            <v>494</v>
          </cell>
          <cell r="AM121">
            <v>494</v>
          </cell>
          <cell r="AN121">
            <v>494</v>
          </cell>
          <cell r="AO121">
            <v>494</v>
          </cell>
          <cell r="AP121">
            <v>340</v>
          </cell>
          <cell r="AQ121">
            <v>340</v>
          </cell>
          <cell r="AR121">
            <v>340</v>
          </cell>
          <cell r="AS121">
            <v>340</v>
          </cell>
          <cell r="AT121">
            <v>340</v>
          </cell>
          <cell r="AU121">
            <v>340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G122">
            <v>120</v>
          </cell>
          <cell r="H122" t="str">
            <v>Target (Budget) %Var</v>
          </cell>
          <cell r="I122">
            <v>0</v>
          </cell>
          <cell r="J122">
            <v>0</v>
          </cell>
          <cell r="K122">
            <v>0</v>
          </cell>
          <cell r="L122">
            <v>0</v>
          </cell>
          <cell r="M122">
            <v>0</v>
          </cell>
          <cell r="N122">
            <v>0</v>
          </cell>
          <cell r="O122">
            <v>0</v>
          </cell>
          <cell r="P122">
            <v>0</v>
          </cell>
          <cell r="Q122">
            <v>0</v>
          </cell>
          <cell r="R122">
            <v>-1.5928888888888888E-2</v>
          </cell>
          <cell r="S122">
            <v>-1.5928888888888888E-2</v>
          </cell>
          <cell r="T122">
            <v>-1.5928888888888888E-2</v>
          </cell>
          <cell r="U122">
            <v>-1.5928888888888888E-2</v>
          </cell>
          <cell r="V122">
            <v>1.7143614405131959</v>
          </cell>
          <cell r="W122">
            <v>2.1379384406715912E-2</v>
          </cell>
          <cell r="X122">
            <v>0</v>
          </cell>
          <cell r="Y122">
            <v>1.6434584081284093E-2</v>
          </cell>
          <cell r="Z122">
            <v>1.6434584081284093E-2</v>
          </cell>
          <cell r="AA122">
            <v>1.6434584081284093E-2</v>
          </cell>
          <cell r="AB122">
            <v>1.6434584081284093E-2</v>
          </cell>
          <cell r="AC122">
            <v>1.6434584081284093E-2</v>
          </cell>
          <cell r="AD122">
            <v>1.7177958577201152E-2</v>
          </cell>
          <cell r="AE122">
            <v>1.7177958577201152E-2</v>
          </cell>
          <cell r="AF122">
            <v>1.7177958577201152E-2</v>
          </cell>
          <cell r="AG122">
            <v>1.7177958577201152E-2</v>
          </cell>
          <cell r="AH122">
            <v>1.7177958577201152E-2</v>
          </cell>
          <cell r="AI122">
            <v>-1.9780114263766864E-2</v>
          </cell>
          <cell r="AJ122">
            <v>-1.9780114263766864E-2</v>
          </cell>
          <cell r="AK122">
            <v>8.4924960030256669E-3</v>
          </cell>
          <cell r="AL122">
            <v>8.4924960030256669E-3</v>
          </cell>
          <cell r="AM122">
            <v>8.4924960030256669E-3</v>
          </cell>
          <cell r="AN122">
            <v>8.4924960030256669E-3</v>
          </cell>
          <cell r="AO122">
            <v>8.4924960030256669E-3</v>
          </cell>
          <cell r="AP122">
            <v>6.0568272913512069E-3</v>
          </cell>
          <cell r="AQ122">
            <v>6.0568272913512069E-3</v>
          </cell>
          <cell r="AR122">
            <v>6.0568272913512069E-3</v>
          </cell>
          <cell r="AS122">
            <v>6.0568272913512069E-3</v>
          </cell>
          <cell r="AT122">
            <v>6.0568272913512069E-3</v>
          </cell>
          <cell r="AU122">
            <v>6.0568272913512069E-3</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G123">
            <v>121</v>
          </cell>
          <cell r="H123" t="str">
            <v>YTD Actual (Average)</v>
          </cell>
          <cell r="I123">
            <v>0</v>
          </cell>
          <cell r="J123">
            <v>0</v>
          </cell>
          <cell r="K123">
            <v>0</v>
          </cell>
          <cell r="L123">
            <v>20599</v>
          </cell>
          <cell r="M123">
            <v>39032.5</v>
          </cell>
          <cell r="N123">
            <v>45177</v>
          </cell>
          <cell r="O123">
            <v>48249.25</v>
          </cell>
          <cell r="P123">
            <v>50092.6</v>
          </cell>
          <cell r="Q123">
            <v>51321.5</v>
          </cell>
          <cell r="R123">
            <v>51897.571428571428</v>
          </cell>
          <cell r="S123">
            <v>52329.625</v>
          </cell>
          <cell r="T123">
            <v>52665.666666666664</v>
          </cell>
          <cell r="U123">
            <v>52934.5</v>
          </cell>
          <cell r="V123">
            <v>53154.454545454544</v>
          </cell>
          <cell r="W123">
            <v>50460.666666666664</v>
          </cell>
          <cell r="X123">
            <v>20829</v>
          </cell>
          <cell r="Y123">
            <v>39575.5</v>
          </cell>
          <cell r="Z123">
            <v>45824.333333333336</v>
          </cell>
          <cell r="AA123">
            <v>48948.75</v>
          </cell>
          <cell r="AB123">
            <v>50823.4</v>
          </cell>
          <cell r="AC123">
            <v>52073.166666666664</v>
          </cell>
          <cell r="AD123">
            <v>52653.428571428572</v>
          </cell>
          <cell r="AE123">
            <v>53088.625</v>
          </cell>
          <cell r="AF123">
            <v>53427.111111111109</v>
          </cell>
          <cell r="AG123">
            <v>53697.9</v>
          </cell>
          <cell r="AH123">
            <v>53919.454545454544</v>
          </cell>
          <cell r="AI123">
            <v>51127.583333333336</v>
          </cell>
          <cell r="AJ123">
            <v>20417</v>
          </cell>
          <cell r="AK123">
            <v>39540</v>
          </cell>
          <cell r="AL123">
            <v>45914.333333333336</v>
          </cell>
          <cell r="AM123">
            <v>49101.5</v>
          </cell>
          <cell r="AN123">
            <v>51013.8</v>
          </cell>
          <cell r="AO123">
            <v>52288.666666666664</v>
          </cell>
          <cell r="AP123">
            <v>52886.714285714283</v>
          </cell>
          <cell r="AQ123">
            <v>53335.25</v>
          </cell>
          <cell r="AR123">
            <v>53684.111111111109</v>
          </cell>
          <cell r="AS123">
            <v>53963.199999999997</v>
          </cell>
          <cell r="AT123">
            <v>54191.545454545456</v>
          </cell>
          <cell r="AU123">
            <v>54381.833333333336</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G124">
            <v>122</v>
          </cell>
          <cell r="H124" t="str">
            <v>YTD Target (Budget) (Average)</v>
          </cell>
          <cell r="I124">
            <v>0</v>
          </cell>
          <cell r="J124">
            <v>0</v>
          </cell>
          <cell r="K124">
            <v>0</v>
          </cell>
          <cell r="L124">
            <v>20599</v>
          </cell>
          <cell r="M124">
            <v>39032.5</v>
          </cell>
          <cell r="N124">
            <v>45177</v>
          </cell>
          <cell r="O124">
            <v>48249.25</v>
          </cell>
          <cell r="P124">
            <v>50092.6</v>
          </cell>
          <cell r="Q124">
            <v>51321.5</v>
          </cell>
          <cell r="R124">
            <v>52025.571428571428</v>
          </cell>
          <cell r="S124">
            <v>52553.625</v>
          </cell>
          <cell r="T124">
            <v>52964.333333333336</v>
          </cell>
          <cell r="U124">
            <v>53292.9</v>
          </cell>
          <cell r="V124">
            <v>50302.000909090908</v>
          </cell>
          <cell r="W124">
            <v>47809.584999999999</v>
          </cell>
          <cell r="X124">
            <v>20829</v>
          </cell>
          <cell r="Y124">
            <v>39104</v>
          </cell>
          <cell r="Z124">
            <v>45195.666666666664</v>
          </cell>
          <cell r="AA124">
            <v>48241.5</v>
          </cell>
          <cell r="AB124">
            <v>50069</v>
          </cell>
          <cell r="AC124">
            <v>51287.333333333336</v>
          </cell>
          <cell r="AD124">
            <v>51844.428571428572</v>
          </cell>
          <cell r="AE124">
            <v>52262.25</v>
          </cell>
          <cell r="AF124">
            <v>52587.222222222219</v>
          </cell>
          <cell r="AG124">
            <v>52847.199999999997</v>
          </cell>
          <cell r="AH124">
            <v>53059.909090909088</v>
          </cell>
          <cell r="AI124">
            <v>50374</v>
          </cell>
          <cell r="AJ124">
            <v>20829</v>
          </cell>
          <cell r="AK124">
            <v>39499</v>
          </cell>
          <cell r="AL124">
            <v>45722.333333333336</v>
          </cell>
          <cell r="AM124">
            <v>48834</v>
          </cell>
          <cell r="AN124">
            <v>50701</v>
          </cell>
          <cell r="AO124">
            <v>51945.666666666664</v>
          </cell>
          <cell r="AP124">
            <v>52544.142857142855</v>
          </cell>
          <cell r="AQ124">
            <v>52993</v>
          </cell>
          <cell r="AR124">
            <v>53342.111111111109</v>
          </cell>
          <cell r="AS124">
            <v>53621.4</v>
          </cell>
          <cell r="AT124">
            <v>53849.909090909088</v>
          </cell>
          <cell r="AU124">
            <v>54040.333333333336</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G125">
            <v>123</v>
          </cell>
          <cell r="H125" t="str">
            <v>YTD Target (Budget) Var</v>
          </cell>
          <cell r="I125">
            <v>0</v>
          </cell>
          <cell r="J125">
            <v>0</v>
          </cell>
          <cell r="K125">
            <v>0</v>
          </cell>
          <cell r="L125">
            <v>0</v>
          </cell>
          <cell r="M125">
            <v>0</v>
          </cell>
          <cell r="N125">
            <v>0</v>
          </cell>
          <cell r="O125">
            <v>0</v>
          </cell>
          <cell r="P125">
            <v>0</v>
          </cell>
          <cell r="Q125">
            <v>0</v>
          </cell>
          <cell r="R125">
            <v>-128</v>
          </cell>
          <cell r="S125">
            <v>-224</v>
          </cell>
          <cell r="T125">
            <v>-298.66666666667152</v>
          </cell>
          <cell r="U125">
            <v>-358.40000000000146</v>
          </cell>
          <cell r="V125">
            <v>2852.4536363636362</v>
          </cell>
          <cell r="W125">
            <v>2651.0816666666651</v>
          </cell>
          <cell r="X125">
            <v>0</v>
          </cell>
          <cell r="Y125">
            <v>471.5</v>
          </cell>
          <cell r="Z125">
            <v>628.66666666667152</v>
          </cell>
          <cell r="AA125">
            <v>707.25</v>
          </cell>
          <cell r="AB125">
            <v>754.40000000000146</v>
          </cell>
          <cell r="AC125">
            <v>785.83333333332848</v>
          </cell>
          <cell r="AD125">
            <v>809</v>
          </cell>
          <cell r="AE125">
            <v>826.375</v>
          </cell>
          <cell r="AF125">
            <v>839.88888888889051</v>
          </cell>
          <cell r="AG125">
            <v>850.70000000000437</v>
          </cell>
          <cell r="AH125">
            <v>859.54545454545587</v>
          </cell>
          <cell r="AI125">
            <v>753.58333333333576</v>
          </cell>
          <cell r="AJ125">
            <v>-412</v>
          </cell>
          <cell r="AK125">
            <v>41</v>
          </cell>
          <cell r="AL125">
            <v>192</v>
          </cell>
          <cell r="AM125">
            <v>267.5</v>
          </cell>
          <cell r="AN125">
            <v>312.80000000000291</v>
          </cell>
          <cell r="AO125">
            <v>343</v>
          </cell>
          <cell r="AP125">
            <v>342.57142857142753</v>
          </cell>
          <cell r="AQ125">
            <v>342.25</v>
          </cell>
          <cell r="AR125">
            <v>342</v>
          </cell>
          <cell r="AS125">
            <v>341.79999999999563</v>
          </cell>
          <cell r="AT125">
            <v>341.63636363636761</v>
          </cell>
          <cell r="AU125">
            <v>341.5</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G126">
            <v>124</v>
          </cell>
          <cell r="H126" t="str">
            <v>YTD %Var</v>
          </cell>
          <cell r="I126">
            <v>0</v>
          </cell>
          <cell r="J126">
            <v>0</v>
          </cell>
          <cell r="K126">
            <v>0</v>
          </cell>
          <cell r="L126">
            <v>0</v>
          </cell>
          <cell r="M126">
            <v>0</v>
          </cell>
          <cell r="N126">
            <v>0</v>
          </cell>
          <cell r="O126">
            <v>0</v>
          </cell>
          <cell r="P126">
            <v>0</v>
          </cell>
          <cell r="Q126">
            <v>0</v>
          </cell>
          <cell r="R126">
            <v>-2.4603285746844271E-3</v>
          </cell>
          <cell r="S126">
            <v>-4.2623130183693323E-3</v>
          </cell>
          <cell r="T126">
            <v>-5.6390149345787073E-3</v>
          </cell>
          <cell r="U126">
            <v>-6.7250984652740126E-3</v>
          </cell>
          <cell r="V126">
            <v>5.6706564049385996E-2</v>
          </cell>
          <cell r="W126">
            <v>5.5450840384133539E-2</v>
          </cell>
          <cell r="X126">
            <v>0</v>
          </cell>
          <cell r="Y126">
            <v>1.2057590016366613E-2</v>
          </cell>
          <cell r="Z126">
            <v>1.3909888116117436E-2</v>
          </cell>
          <cell r="AA126">
            <v>1.4660613786884736E-2</v>
          </cell>
          <cell r="AB126">
            <v>1.5067207253989523E-2</v>
          </cell>
          <cell r="AC126">
            <v>1.5322171816302825E-2</v>
          </cell>
          <cell r="AD126">
            <v>1.5604376830683005E-2</v>
          </cell>
          <cell r="AE126">
            <v>1.5812082334763621E-2</v>
          </cell>
          <cell r="AF126">
            <v>1.5971349187064908E-2</v>
          </cell>
          <cell r="AG126">
            <v>1.6097352366823681E-2</v>
          </cell>
          <cell r="AH126">
            <v>1.6199527463810232E-2</v>
          </cell>
          <cell r="AI126">
            <v>1.4959767604981454E-2</v>
          </cell>
          <cell r="AJ126">
            <v>-1.9780114263766864E-2</v>
          </cell>
          <cell r="AK126">
            <v>1.0380009620496722E-3</v>
          </cell>
          <cell r="AL126">
            <v>4.1992607551378973E-3</v>
          </cell>
          <cell r="AM126">
            <v>5.4777409182127203E-3</v>
          </cell>
          <cell r="AN126">
            <v>6.1695035600876297E-3</v>
          </cell>
          <cell r="AO126">
            <v>6.603053190192317E-3</v>
          </cell>
          <cell r="AP126">
            <v>6.5196882077382355E-3</v>
          </cell>
          <cell r="AQ126">
            <v>6.4584001660596682E-3</v>
          </cell>
          <cell r="AR126">
            <v>6.4114447830461241E-3</v>
          </cell>
          <cell r="AS126">
            <v>6.3743207003173286E-3</v>
          </cell>
          <cell r="AT126">
            <v>6.3442328762267578E-3</v>
          </cell>
          <cell r="AU126">
            <v>6.31935406270625E-3</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G127">
            <v>125</v>
          </cell>
          <cell r="H127" t="str">
            <v>4 Month Actual</v>
          </cell>
          <cell r="I127">
            <v>0</v>
          </cell>
          <cell r="J127">
            <v>0</v>
          </cell>
          <cell r="K127">
            <v>0</v>
          </cell>
          <cell r="L127">
            <v>20599</v>
          </cell>
          <cell r="M127">
            <v>39032.5</v>
          </cell>
          <cell r="N127">
            <v>45177</v>
          </cell>
          <cell r="O127">
            <v>48249.25</v>
          </cell>
          <cell r="P127">
            <v>57466</v>
          </cell>
          <cell r="Q127">
            <v>57466</v>
          </cell>
          <cell r="R127">
            <v>56938</v>
          </cell>
          <cell r="S127">
            <v>56410</v>
          </cell>
          <cell r="T127">
            <v>55882</v>
          </cell>
          <cell r="U127">
            <v>55354</v>
          </cell>
          <cell r="V127">
            <v>55354</v>
          </cell>
          <cell r="W127">
            <v>46722.75</v>
          </cell>
          <cell r="X127">
            <v>38091.5</v>
          </cell>
          <cell r="Y127">
            <v>38833.5</v>
          </cell>
          <cell r="Z127">
            <v>39575.5</v>
          </cell>
          <cell r="AA127">
            <v>48948.75</v>
          </cell>
          <cell r="AB127">
            <v>58322</v>
          </cell>
          <cell r="AC127">
            <v>58322</v>
          </cell>
          <cell r="AD127">
            <v>57775.25</v>
          </cell>
          <cell r="AE127">
            <v>57228.5</v>
          </cell>
          <cell r="AF127">
            <v>56681.75</v>
          </cell>
          <cell r="AG127">
            <v>56135</v>
          </cell>
          <cell r="AH127">
            <v>56135</v>
          </cell>
          <cell r="AI127">
            <v>47205.5</v>
          </cell>
          <cell r="AJ127">
            <v>38276</v>
          </cell>
          <cell r="AK127">
            <v>38908</v>
          </cell>
          <cell r="AL127">
            <v>39540</v>
          </cell>
          <cell r="AM127">
            <v>49101.5</v>
          </cell>
          <cell r="AN127">
            <v>58663</v>
          </cell>
          <cell r="AO127">
            <v>58663</v>
          </cell>
          <cell r="AP127">
            <v>58116</v>
          </cell>
          <cell r="AQ127">
            <v>57569</v>
          </cell>
          <cell r="AR127">
            <v>57022</v>
          </cell>
          <cell r="AS127">
            <v>56475</v>
          </cell>
          <cell r="AT127">
            <v>56475</v>
          </cell>
          <cell r="AU127">
            <v>56475</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G128">
            <v>126</v>
          </cell>
          <cell r="H128" t="str">
            <v>4 Month Target (Budget)</v>
          </cell>
          <cell r="I128">
            <v>0</v>
          </cell>
          <cell r="J128">
            <v>0</v>
          </cell>
          <cell r="K128">
            <v>0</v>
          </cell>
          <cell r="L128">
            <v>20599</v>
          </cell>
          <cell r="M128">
            <v>39032.5</v>
          </cell>
          <cell r="N128">
            <v>45177</v>
          </cell>
          <cell r="O128">
            <v>48249.25</v>
          </cell>
          <cell r="P128">
            <v>57466</v>
          </cell>
          <cell r="Q128">
            <v>57466</v>
          </cell>
          <cell r="R128">
            <v>57162</v>
          </cell>
          <cell r="S128">
            <v>56858</v>
          </cell>
          <cell r="T128">
            <v>56554</v>
          </cell>
          <cell r="U128">
            <v>56250</v>
          </cell>
          <cell r="V128">
            <v>47285.752500000002</v>
          </cell>
          <cell r="W128">
            <v>38321.505000000005</v>
          </cell>
          <cell r="X128">
            <v>29466.254999999997</v>
          </cell>
          <cell r="Y128">
            <v>29748.504999999997</v>
          </cell>
          <cell r="Z128">
            <v>38995.002500000002</v>
          </cell>
          <cell r="AA128">
            <v>48241.5</v>
          </cell>
          <cell r="AB128">
            <v>57379</v>
          </cell>
          <cell r="AC128">
            <v>57379</v>
          </cell>
          <cell r="AD128">
            <v>56831</v>
          </cell>
          <cell r="AE128">
            <v>56283</v>
          </cell>
          <cell r="AF128">
            <v>55735</v>
          </cell>
          <cell r="AG128">
            <v>55187</v>
          </cell>
          <cell r="AH128">
            <v>55187</v>
          </cell>
          <cell r="AI128">
            <v>46597.5</v>
          </cell>
          <cell r="AJ128">
            <v>38008</v>
          </cell>
          <cell r="AK128">
            <v>38753.5</v>
          </cell>
          <cell r="AL128">
            <v>39499</v>
          </cell>
          <cell r="AM128">
            <v>48834</v>
          </cell>
          <cell r="AN128">
            <v>58169</v>
          </cell>
          <cell r="AO128">
            <v>58169</v>
          </cell>
          <cell r="AP128">
            <v>57660.5</v>
          </cell>
          <cell r="AQ128">
            <v>57152</v>
          </cell>
          <cell r="AR128">
            <v>56643.5</v>
          </cell>
          <cell r="AS128">
            <v>56135</v>
          </cell>
          <cell r="AT128">
            <v>56135</v>
          </cell>
          <cell r="AU128">
            <v>56135</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G129">
            <v>127</v>
          </cell>
          <cell r="H129" t="str">
            <v>4 Month Target (Budget) Var</v>
          </cell>
          <cell r="I129">
            <v>0</v>
          </cell>
          <cell r="J129">
            <v>0</v>
          </cell>
          <cell r="K129">
            <v>0</v>
          </cell>
          <cell r="L129">
            <v>0</v>
          </cell>
          <cell r="M129">
            <v>0</v>
          </cell>
          <cell r="N129">
            <v>0</v>
          </cell>
          <cell r="O129">
            <v>0</v>
          </cell>
          <cell r="P129">
            <v>0</v>
          </cell>
          <cell r="Q129">
            <v>0</v>
          </cell>
          <cell r="R129">
            <v>-224</v>
          </cell>
          <cell r="S129">
            <v>-448</v>
          </cell>
          <cell r="T129">
            <v>-672</v>
          </cell>
          <cell r="U129">
            <v>-896</v>
          </cell>
          <cell r="V129">
            <v>8068.2474999999977</v>
          </cell>
          <cell r="W129">
            <v>8401.2449999999953</v>
          </cell>
          <cell r="X129">
            <v>8625.2450000000026</v>
          </cell>
          <cell r="Y129">
            <v>9084.9950000000026</v>
          </cell>
          <cell r="Z129">
            <v>580.49749999999767</v>
          </cell>
          <cell r="AA129">
            <v>707.25</v>
          </cell>
          <cell r="AB129">
            <v>943</v>
          </cell>
          <cell r="AC129">
            <v>943</v>
          </cell>
          <cell r="AD129">
            <v>944.25</v>
          </cell>
          <cell r="AE129">
            <v>945.5</v>
          </cell>
          <cell r="AF129">
            <v>946.75</v>
          </cell>
          <cell r="AG129">
            <v>948</v>
          </cell>
          <cell r="AH129">
            <v>948</v>
          </cell>
          <cell r="AI129">
            <v>608</v>
          </cell>
          <cell r="AJ129">
            <v>268</v>
          </cell>
          <cell r="AK129">
            <v>154.5</v>
          </cell>
          <cell r="AL129">
            <v>41</v>
          </cell>
          <cell r="AM129">
            <v>267.5</v>
          </cell>
          <cell r="AN129">
            <v>494</v>
          </cell>
          <cell r="AO129">
            <v>494</v>
          </cell>
          <cell r="AP129">
            <v>455.5</v>
          </cell>
          <cell r="AQ129">
            <v>417</v>
          </cell>
          <cell r="AR129">
            <v>378.5</v>
          </cell>
          <cell r="AS129">
            <v>340</v>
          </cell>
          <cell r="AT129">
            <v>340</v>
          </cell>
          <cell r="AU129">
            <v>340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G130">
            <v>128</v>
          </cell>
          <cell r="H130" t="str">
            <v>4 Month Target (Budget) % Var</v>
          </cell>
          <cell r="I130">
            <v>0</v>
          </cell>
          <cell r="J130">
            <v>0</v>
          </cell>
          <cell r="K130">
            <v>0</v>
          </cell>
          <cell r="L130">
            <v>0</v>
          </cell>
          <cell r="M130">
            <v>0</v>
          </cell>
          <cell r="N130">
            <v>0</v>
          </cell>
          <cell r="O130">
            <v>0</v>
          </cell>
          <cell r="P130">
            <v>0</v>
          </cell>
          <cell r="Q130">
            <v>0</v>
          </cell>
          <cell r="R130">
            <v>-3.9186872397746755E-3</v>
          </cell>
          <cell r="S130">
            <v>-7.8792782018361537E-3</v>
          </cell>
          <cell r="T130">
            <v>-1.1882448633164762E-2</v>
          </cell>
          <cell r="U130">
            <v>-1.5928888888888888E-2</v>
          </cell>
          <cell r="V130">
            <v>0.17062745274065369</v>
          </cell>
          <cell r="W130">
            <v>0.21923055996887372</v>
          </cell>
          <cell r="X130">
            <v>0.29271602380417883</v>
          </cell>
          <cell r="Y130">
            <v>0.30539332984968498</v>
          </cell>
          <cell r="Z130">
            <v>1.4886458848156188E-2</v>
          </cell>
          <cell r="AA130">
            <v>1.4660613786884736E-2</v>
          </cell>
          <cell r="AB130">
            <v>1.6434584081284093E-2</v>
          </cell>
          <cell r="AC130">
            <v>1.6434584081284093E-2</v>
          </cell>
          <cell r="AD130">
            <v>1.6615051644349035E-2</v>
          </cell>
          <cell r="AE130">
            <v>1.6799033455928078E-2</v>
          </cell>
          <cell r="AF130">
            <v>1.698663317484525E-2</v>
          </cell>
          <cell r="AG130">
            <v>1.7177958577201152E-2</v>
          </cell>
          <cell r="AH130">
            <v>1.7177958577201152E-2</v>
          </cell>
          <cell r="AI130">
            <v>1.3047910295616718E-2</v>
          </cell>
          <cell r="AJ130">
            <v>7.0511471269206483E-3</v>
          </cell>
          <cell r="AK130">
            <v>3.9867366818480913E-3</v>
          </cell>
          <cell r="AL130">
            <v>1.0380009620496722E-3</v>
          </cell>
          <cell r="AM130">
            <v>5.4777409182127203E-3</v>
          </cell>
          <cell r="AN130">
            <v>8.4924960030256669E-3</v>
          </cell>
          <cell r="AO130">
            <v>8.4924960030256669E-3</v>
          </cell>
          <cell r="AP130">
            <v>7.8996886950338623E-3</v>
          </cell>
          <cell r="AQ130">
            <v>7.2963325867861145E-3</v>
          </cell>
          <cell r="AR130">
            <v>6.6821435822292056E-3</v>
          </cell>
          <cell r="AS130">
            <v>6.0568272913512069E-3</v>
          </cell>
          <cell r="AT130">
            <v>6.0568272913512069E-3</v>
          </cell>
          <cell r="AU130">
            <v>6.0568272913512069E-3</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G131">
            <v>129</v>
          </cell>
          <cell r="H131" t="str">
            <v>Actual</v>
          </cell>
          <cell r="I131">
            <v>0</v>
          </cell>
          <cell r="J131">
            <v>0</v>
          </cell>
          <cell r="K131">
            <v>0</v>
          </cell>
          <cell r="L131" t="e">
            <v>#DIV/0!</v>
          </cell>
          <cell r="M131" t="e">
            <v>#DIV/0!</v>
          </cell>
          <cell r="N131" t="e">
            <v>#DIV/0!</v>
          </cell>
          <cell r="O131" t="e">
            <v>#REF!</v>
          </cell>
          <cell r="P131" t="e">
            <v>#REF!</v>
          </cell>
          <cell r="Q131" t="e">
            <v>#REF!</v>
          </cell>
          <cell r="R131" t="e">
            <v>#REF!</v>
          </cell>
          <cell r="S131" t="e">
            <v>#REF!</v>
          </cell>
          <cell r="T131" t="e">
            <v>#REF!</v>
          </cell>
          <cell r="U131" t="e">
            <v>#REF!</v>
          </cell>
          <cell r="V131" t="e">
            <v>#REF!</v>
          </cell>
          <cell r="W131" t="e">
            <v>#REF!</v>
          </cell>
          <cell r="X131">
            <v>137073.15</v>
          </cell>
          <cell r="Y131">
            <v>132337.75</v>
          </cell>
          <cell r="Z131">
            <v>140733.31</v>
          </cell>
          <cell r="AA131">
            <v>150870.52999999997</v>
          </cell>
          <cell r="AB131">
            <v>121781.79000000001</v>
          </cell>
          <cell r="AC131">
            <v>134887.91</v>
          </cell>
          <cell r="AD131">
            <v>134631.70000000001</v>
          </cell>
          <cell r="AE131">
            <v>135814.9</v>
          </cell>
          <cell r="AF131">
            <v>144025.79999999999</v>
          </cell>
          <cell r="AG131">
            <v>144504.80000000002</v>
          </cell>
          <cell r="AH131">
            <v>132742.20000000001</v>
          </cell>
          <cell r="AI131">
            <v>138467.20000000001</v>
          </cell>
          <cell r="AJ131">
            <v>137937.90000000002</v>
          </cell>
          <cell r="AK131">
            <v>133666.29999999999</v>
          </cell>
          <cell r="AL131">
            <v>137768.29999999999</v>
          </cell>
          <cell r="AM131">
            <v>143184.30000000002</v>
          </cell>
          <cell r="AN131">
            <v>125282.20000000001</v>
          </cell>
          <cell r="AO131">
            <v>132061.20000000001</v>
          </cell>
          <cell r="AP131">
            <v>127930.09999999999</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G132">
            <v>130</v>
          </cell>
          <cell r="H132" t="str">
            <v>Target (Budget)</v>
          </cell>
          <cell r="I132">
            <v>0</v>
          </cell>
          <cell r="J132">
            <v>0</v>
          </cell>
          <cell r="K132">
            <v>0</v>
          </cell>
          <cell r="L132">
            <v>137073.15</v>
          </cell>
          <cell r="M132">
            <v>132337.75</v>
          </cell>
          <cell r="N132">
            <v>140733.31</v>
          </cell>
          <cell r="O132">
            <v>150870.52999999997</v>
          </cell>
          <cell r="P132">
            <v>121781.79000000001</v>
          </cell>
          <cell r="Q132">
            <v>134887.91</v>
          </cell>
          <cell r="R132">
            <v>134631.70000000001</v>
          </cell>
          <cell r="S132">
            <v>135814.9</v>
          </cell>
          <cell r="T132">
            <v>144025.79999999999</v>
          </cell>
          <cell r="U132">
            <v>144504.80000000002</v>
          </cell>
          <cell r="V132">
            <v>132742.20000000001</v>
          </cell>
          <cell r="W132">
            <v>138467.20000000001</v>
          </cell>
          <cell r="X132">
            <v>159990.86215440842</v>
          </cell>
          <cell r="Y132">
            <v>164652.34745405536</v>
          </cell>
          <cell r="Z132">
            <v>159853.5664319809</v>
          </cell>
          <cell r="AA132">
            <v>178281.22664477414</v>
          </cell>
          <cell r="AB132">
            <v>147487.25132665085</v>
          </cell>
          <cell r="AC132">
            <v>148302.53094198275</v>
          </cell>
          <cell r="AD132">
            <v>167023.10157733833</v>
          </cell>
          <cell r="AE132">
            <v>156455.52831771399</v>
          </cell>
          <cell r="AF132">
            <v>164466.84205933471</v>
          </cell>
          <cell r="AG132">
            <v>167923.64558114344</v>
          </cell>
          <cell r="AH132">
            <v>158381.1535777197</v>
          </cell>
          <cell r="AI132">
            <v>148646.4947656937</v>
          </cell>
          <cell r="AJ132">
            <v>136050.70000000001</v>
          </cell>
          <cell r="AK132">
            <v>131350.70000000001</v>
          </cell>
          <cell r="AL132">
            <v>139294.12177337275</v>
          </cell>
          <cell r="AM132">
            <v>149327.67500340383</v>
          </cell>
          <cell r="AN132">
            <v>120536.40666903456</v>
          </cell>
          <cell r="AO132">
            <v>133508.498885557</v>
          </cell>
          <cell r="AP132">
            <v>133254.90897894886</v>
          </cell>
          <cell r="AQ132">
            <v>134426.00916043573</v>
          </cell>
          <cell r="AR132">
            <v>142552.94161494126</v>
          </cell>
          <cell r="AS132">
            <v>143027.04319280828</v>
          </cell>
          <cell r="AT132">
            <v>131384.73166917913</v>
          </cell>
          <cell r="AU132">
            <v>137051.18580965631</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G133">
            <v>131</v>
          </cell>
          <cell r="H133" t="str">
            <v>Target (Budget) Variance</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-22917.712154408422</v>
          </cell>
          <cell r="Y133">
            <v>-32314.597454055358</v>
          </cell>
          <cell r="Z133">
            <v>-19120.256431980903</v>
          </cell>
          <cell r="AA133">
            <v>-27410.696644774172</v>
          </cell>
          <cell r="AB133">
            <v>-25705.461326650839</v>
          </cell>
          <cell r="AC133">
            <v>-13414.62094198275</v>
          </cell>
          <cell r="AD133">
            <v>-32391.401577338314</v>
          </cell>
          <cell r="AE133">
            <v>-20640.628317713999</v>
          </cell>
          <cell r="AF133">
            <v>-20441.042059334723</v>
          </cell>
          <cell r="AG133">
            <v>-23418.845581143425</v>
          </cell>
          <cell r="AH133">
            <v>-25638.953577719687</v>
          </cell>
          <cell r="AI133">
            <v>-10179.294765693689</v>
          </cell>
          <cell r="AJ133">
            <v>1887.2000000000116</v>
          </cell>
          <cell r="AK133">
            <v>2315.5999999999767</v>
          </cell>
          <cell r="AL133">
            <v>-1525.8217733727652</v>
          </cell>
          <cell r="AM133">
            <v>-6143.3750034038094</v>
          </cell>
          <cell r="AN133">
            <v>4745.7933309654472</v>
          </cell>
          <cell r="AO133">
            <v>-1447.2988855569856</v>
          </cell>
          <cell r="AP133">
            <v>-5324.8089789488731</v>
          </cell>
          <cell r="AQ133">
            <v>-134426.00916043573</v>
          </cell>
          <cell r="AR133">
            <v>-142552.94161494126</v>
          </cell>
          <cell r="AS133">
            <v>-143027.04319280828</v>
          </cell>
          <cell r="AT133">
            <v>-131384.73166917913</v>
          </cell>
          <cell r="AU133">
            <v>-137051.18580965631</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G134">
            <v>132</v>
          </cell>
          <cell r="H134" t="str">
            <v>Target (Budget) %Var</v>
          </cell>
          <cell r="I134">
            <v>0</v>
          </cell>
          <cell r="J134">
            <v>0</v>
          </cell>
          <cell r="K134">
            <v>0</v>
          </cell>
          <cell r="L134" t="e">
            <v>#DIV/0!</v>
          </cell>
          <cell r="M134" t="e">
            <v>#DIV/0!</v>
          </cell>
          <cell r="N134" t="e">
            <v>#DIV/0!</v>
          </cell>
          <cell r="O134" t="e">
            <v>#DIV/0!</v>
          </cell>
          <cell r="P134" t="e">
            <v>#DIV/0!</v>
          </cell>
          <cell r="Q134" t="e">
            <v>#DIV/0!</v>
          </cell>
          <cell r="R134" t="e">
            <v>#DIV/0!</v>
          </cell>
          <cell r="S134" t="e">
            <v>#DIV/0!</v>
          </cell>
          <cell r="T134" t="e">
            <v>#DIV/0!</v>
          </cell>
          <cell r="U134" t="e">
            <v>#DIV/0!</v>
          </cell>
          <cell r="V134" t="e">
            <v>#DIV/0!</v>
          </cell>
          <cell r="W134" t="e">
            <v>#DIV/0!</v>
          </cell>
          <cell r="X134">
            <v>-0.14324388184301651</v>
          </cell>
          <cell r="Y134">
            <v>-0.19625956115246054</v>
          </cell>
          <cell r="Z134">
            <v>-0.11961107192510928</v>
          </cell>
          <cell r="AA134">
            <v>-0.15374976468717069</v>
          </cell>
          <cell r="AB134">
            <v>-0.1742893782034019</v>
          </cell>
          <cell r="AC134">
            <v>-9.045443025669378E-2</v>
          </cell>
          <cell r="AD134">
            <v>-0.19393366110100529</v>
          </cell>
          <cell r="AE134">
            <v>-0.13192648760738648</v>
          </cell>
          <cell r="AF134">
            <v>-0.12428670608243458</v>
          </cell>
          <cell r="AG134">
            <v>-0.13946127420052382</v>
          </cell>
          <cell r="AH134">
            <v>-0.16188134129947676</v>
          </cell>
          <cell r="AI134">
            <v>-6.8479884317076953E-2</v>
          </cell>
          <cell r="AJ134">
            <v>1.3871299449396522E-2</v>
          </cell>
          <cell r="AK134">
            <v>1.7629140918167748E-2</v>
          </cell>
          <cell r="AL134">
            <v>-1.0953956663406301E-2</v>
          </cell>
          <cell r="AM134">
            <v>-4.1140230725910484E-2</v>
          </cell>
          <cell r="AN134">
            <v>3.9372281471740829E-2</v>
          </cell>
          <cell r="AO134">
            <v>-1.0840500025377448E-2</v>
          </cell>
          <cell r="AP134">
            <v>-3.9959570868717993E-2</v>
          </cell>
          <cell r="AQ134">
            <v>-1</v>
          </cell>
          <cell r="AR134">
            <v>-1</v>
          </cell>
          <cell r="AS134">
            <v>-1</v>
          </cell>
          <cell r="AT134">
            <v>-1</v>
          </cell>
          <cell r="AU134">
            <v>-1</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G135">
            <v>133</v>
          </cell>
          <cell r="H135" t="str">
            <v xml:space="preserve">YTD Actual </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137073.15</v>
          </cell>
          <cell r="X135">
            <v>137073.15</v>
          </cell>
          <cell r="Y135">
            <v>269410.90000000002</v>
          </cell>
          <cell r="Z135">
            <v>410144.21</v>
          </cell>
          <cell r="AA135">
            <v>561014.74</v>
          </cell>
          <cell r="AB135">
            <v>682796.53</v>
          </cell>
          <cell r="AC135">
            <v>817684.44000000006</v>
          </cell>
          <cell r="AD135">
            <v>952316.14000000013</v>
          </cell>
          <cell r="AE135">
            <v>1088131.04</v>
          </cell>
          <cell r="AF135">
            <v>1232156.8400000001</v>
          </cell>
          <cell r="AG135">
            <v>1376661.6400000001</v>
          </cell>
          <cell r="AH135">
            <v>1509403.84</v>
          </cell>
          <cell r="AI135">
            <v>1647871.04</v>
          </cell>
          <cell r="AJ135">
            <v>137937.90000000002</v>
          </cell>
          <cell r="AK135">
            <v>271604.2</v>
          </cell>
          <cell r="AL135">
            <v>409372.5</v>
          </cell>
          <cell r="AM135">
            <v>552556.80000000005</v>
          </cell>
          <cell r="AN135">
            <v>677839</v>
          </cell>
          <cell r="AO135">
            <v>809900.2</v>
          </cell>
          <cell r="AP135">
            <v>937830.29999999993</v>
          </cell>
          <cell r="AQ135">
            <v>937830.29999999993</v>
          </cell>
          <cell r="AR135">
            <v>937830.29999999993</v>
          </cell>
          <cell r="AS135">
            <v>937830.29999999993</v>
          </cell>
          <cell r="AT135">
            <v>937830.29999999993</v>
          </cell>
          <cell r="AU135">
            <v>937830.29999999993</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G136">
            <v>134</v>
          </cell>
          <cell r="H136" t="str">
            <v xml:space="preserve">YTD Target (Budget) </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159990.86215440842</v>
          </cell>
          <cell r="Y136">
            <v>324643.2096084638</v>
          </cell>
          <cell r="Z136">
            <v>484496.77604044473</v>
          </cell>
          <cell r="AA136">
            <v>662778.00268521882</v>
          </cell>
          <cell r="AB136">
            <v>810265.25401186966</v>
          </cell>
          <cell r="AC136">
            <v>958567.78495385242</v>
          </cell>
          <cell r="AD136">
            <v>1125590.8865311907</v>
          </cell>
          <cell r="AE136">
            <v>1282046.4148489046</v>
          </cell>
          <cell r="AF136">
            <v>1446513.2569082393</v>
          </cell>
          <cell r="AG136">
            <v>1614436.9024893828</v>
          </cell>
          <cell r="AH136">
            <v>1772818.0560671026</v>
          </cell>
          <cell r="AI136">
            <v>1921464.5508327964</v>
          </cell>
          <cell r="AJ136">
            <v>136050.70000000001</v>
          </cell>
          <cell r="AK136">
            <v>267401.40000000002</v>
          </cell>
          <cell r="AL136">
            <v>406695.52177337278</v>
          </cell>
          <cell r="AM136">
            <v>556023.19677677657</v>
          </cell>
          <cell r="AN136">
            <v>676559.6034458112</v>
          </cell>
          <cell r="AO136">
            <v>810068.10233136825</v>
          </cell>
          <cell r="AP136">
            <v>943323.01131031709</v>
          </cell>
          <cell r="AQ136">
            <v>1077749.0204707528</v>
          </cell>
          <cell r="AR136">
            <v>1220301.9620856941</v>
          </cell>
          <cell r="AS136">
            <v>1363329.0052785024</v>
          </cell>
          <cell r="AT136">
            <v>1494713.7369476815</v>
          </cell>
          <cell r="AU136">
            <v>1631764.9227573378</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G137">
            <v>135</v>
          </cell>
          <cell r="H137" t="str">
            <v>YTD Target (Budget) Var</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137073.15</v>
          </cell>
          <cell r="X137">
            <v>-22917.712154408422</v>
          </cell>
          <cell r="Y137">
            <v>-55232.30960846378</v>
          </cell>
          <cell r="Z137">
            <v>-74352.566040444712</v>
          </cell>
          <cell r="AA137">
            <v>-101763.26268521883</v>
          </cell>
          <cell r="AB137">
            <v>-127468.72401186964</v>
          </cell>
          <cell r="AC137">
            <v>-140883.34495385236</v>
          </cell>
          <cell r="AD137">
            <v>-173274.74653119058</v>
          </cell>
          <cell r="AE137">
            <v>-193915.37484890455</v>
          </cell>
          <cell r="AF137">
            <v>-214356.41690823925</v>
          </cell>
          <cell r="AG137">
            <v>-237775.26248938264</v>
          </cell>
          <cell r="AH137">
            <v>-263414.2160671025</v>
          </cell>
          <cell r="AI137">
            <v>-273593.51083279634</v>
          </cell>
          <cell r="AJ137">
            <v>1887.2000000000116</v>
          </cell>
          <cell r="AK137">
            <v>4202.7999999999884</v>
          </cell>
          <cell r="AL137">
            <v>2676.9782266272232</v>
          </cell>
          <cell r="AM137">
            <v>-3466.396776776528</v>
          </cell>
          <cell r="AN137">
            <v>1279.3965541888028</v>
          </cell>
          <cell r="AO137">
            <v>-167.9023313682992</v>
          </cell>
          <cell r="AP137">
            <v>-5492.7113103171578</v>
          </cell>
          <cell r="AQ137">
            <v>-139918.72047075292</v>
          </cell>
          <cell r="AR137">
            <v>-282471.66208569414</v>
          </cell>
          <cell r="AS137">
            <v>-425498.70527850243</v>
          </cell>
          <cell r="AT137">
            <v>-556883.43694768159</v>
          </cell>
          <cell r="AU137">
            <v>-693934.62275733787</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G138">
            <v>136</v>
          </cell>
          <cell r="H138" t="str">
            <v>YTD %Var</v>
          </cell>
          <cell r="I138">
            <v>0</v>
          </cell>
          <cell r="J138">
            <v>0</v>
          </cell>
          <cell r="K138">
            <v>0</v>
          </cell>
          <cell r="L138" t="e">
            <v>#DIV/0!</v>
          </cell>
          <cell r="M138" t="e">
            <v>#DIV/0!</v>
          </cell>
          <cell r="N138" t="e">
            <v>#DIV/0!</v>
          </cell>
          <cell r="O138" t="e">
            <v>#DIV/0!</v>
          </cell>
          <cell r="P138" t="e">
            <v>#DIV/0!</v>
          </cell>
          <cell r="Q138" t="e">
            <v>#DIV/0!</v>
          </cell>
          <cell r="R138" t="e">
            <v>#DIV/0!</v>
          </cell>
          <cell r="S138" t="e">
            <v>#DIV/0!</v>
          </cell>
          <cell r="T138" t="e">
            <v>#DIV/0!</v>
          </cell>
          <cell r="U138" t="e">
            <v>#DIV/0!</v>
          </cell>
          <cell r="V138" t="e">
            <v>#DIV/0!</v>
          </cell>
          <cell r="W138" t="e">
            <v>#DIV/0!</v>
          </cell>
          <cell r="X138">
            <v>-0.14324388184301651</v>
          </cell>
          <cell r="Y138">
            <v>-0.17013234213362033</v>
          </cell>
          <cell r="Z138">
            <v>-0.15346348978437355</v>
          </cell>
          <cell r="AA138">
            <v>-0.15354049511741338</v>
          </cell>
          <cell r="AB138">
            <v>-0.15731727774421181</v>
          </cell>
          <cell r="AC138">
            <v>-0.14697275160424339</v>
          </cell>
          <cell r="AD138">
            <v>-0.15394114203001683</v>
          </cell>
          <cell r="AE138">
            <v>-0.15125456660768277</v>
          </cell>
          <cell r="AF138">
            <v>-0.14818835284399826</v>
          </cell>
          <cell r="AG138">
            <v>-0.14728061661793335</v>
          </cell>
          <cell r="AH138">
            <v>-0.14858502549972452</v>
          </cell>
          <cell r="AI138">
            <v>-0.14238800851892694</v>
          </cell>
          <cell r="AJ138">
            <v>1.3871299449396522E-2</v>
          </cell>
          <cell r="AK138">
            <v>1.5717195197930856E-2</v>
          </cell>
          <cell r="AL138">
            <v>6.5822662982725046E-3</v>
          </cell>
          <cell r="AM138">
            <v>-6.2342664782170272E-3</v>
          </cell>
          <cell r="AN138">
            <v>1.8910330260226299E-3</v>
          </cell>
          <cell r="AO138">
            <v>-2.0726940227010283E-4</v>
          </cell>
          <cell r="AP138">
            <v>-5.8227258791106349E-3</v>
          </cell>
          <cell r="AQ138">
            <v>-0.12982495721465601</v>
          </cell>
          <cell r="AR138">
            <v>-0.23147685643552046</v>
          </cell>
          <cell r="AS138">
            <v>-0.31210273061826416</v>
          </cell>
          <cell r="AT138">
            <v>-0.37256862179167477</v>
          </cell>
          <cell r="AU138">
            <v>-0.42526629484395034</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G139">
            <v>137</v>
          </cell>
          <cell r="H139" t="str">
            <v>4 Month Actual</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137073.15</v>
          </cell>
          <cell r="X139">
            <v>269410.90000000002</v>
          </cell>
          <cell r="Y139">
            <v>410144.21</v>
          </cell>
          <cell r="Z139">
            <v>561014.74</v>
          </cell>
          <cell r="AA139">
            <v>682796.53</v>
          </cell>
          <cell r="AB139">
            <v>680611.29</v>
          </cell>
          <cell r="AC139">
            <v>682905.24</v>
          </cell>
          <cell r="AD139">
            <v>677986.83</v>
          </cell>
          <cell r="AE139">
            <v>671142.10000000009</v>
          </cell>
          <cell r="AF139">
            <v>693865.1100000001</v>
          </cell>
          <cell r="AG139">
            <v>691719.39999999991</v>
          </cell>
          <cell r="AH139">
            <v>695554.89999999991</v>
          </cell>
          <cell r="AI139">
            <v>697677.9</v>
          </cell>
          <cell r="AJ139">
            <v>687318.40000000014</v>
          </cell>
          <cell r="AK139">
            <v>680581.90000000014</v>
          </cell>
          <cell r="AL139">
            <v>691024</v>
          </cell>
          <cell r="AM139">
            <v>677839</v>
          </cell>
          <cell r="AN139">
            <v>671962.3</v>
          </cell>
          <cell r="AO139">
            <v>666226.1</v>
          </cell>
          <cell r="AP139">
            <v>528457.80000000005</v>
          </cell>
          <cell r="AQ139">
            <v>385273.5</v>
          </cell>
          <cell r="AR139">
            <v>259991.3</v>
          </cell>
          <cell r="AS139">
            <v>127930.09999999999</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G140">
            <v>138</v>
          </cell>
          <cell r="H140" t="str">
            <v>4 Month Target (Budget)</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159990.86215440842</v>
          </cell>
          <cell r="Y140">
            <v>324643.2096084638</v>
          </cell>
          <cell r="Z140">
            <v>484496.77604044473</v>
          </cell>
          <cell r="AA140">
            <v>662778.00268521882</v>
          </cell>
          <cell r="AB140">
            <v>650274.39185746131</v>
          </cell>
          <cell r="AC140">
            <v>633924.57534538861</v>
          </cell>
          <cell r="AD140">
            <v>641094.1104907461</v>
          </cell>
          <cell r="AE140">
            <v>619268.41216368589</v>
          </cell>
          <cell r="AF140">
            <v>636248.00289636978</v>
          </cell>
          <cell r="AG140">
            <v>655869.11753553047</v>
          </cell>
          <cell r="AH140">
            <v>647227.16953591187</v>
          </cell>
          <cell r="AI140">
            <v>639418.13598389155</v>
          </cell>
          <cell r="AJ140">
            <v>611001.99392455677</v>
          </cell>
          <cell r="AK140">
            <v>574429.04834341339</v>
          </cell>
          <cell r="AL140">
            <v>555342.01653906656</v>
          </cell>
          <cell r="AM140">
            <v>556023.19677677657</v>
          </cell>
          <cell r="AN140">
            <v>540508.90344581124</v>
          </cell>
          <cell r="AO140">
            <v>542666.70233136811</v>
          </cell>
          <cell r="AP140">
            <v>536627.48953694431</v>
          </cell>
          <cell r="AQ140">
            <v>521725.82369397616</v>
          </cell>
          <cell r="AR140">
            <v>543742.35863988288</v>
          </cell>
          <cell r="AS140">
            <v>553260.90294713411</v>
          </cell>
          <cell r="AT140">
            <v>551390.72563736443</v>
          </cell>
          <cell r="AU140">
            <v>554015.90228658495</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G141">
            <v>139</v>
          </cell>
          <cell r="H141" t="str">
            <v>4 Month Target (Budget) Var</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137073.15</v>
          </cell>
          <cell r="X141">
            <v>109420.03784559161</v>
          </cell>
          <cell r="Y141">
            <v>85501.000391536218</v>
          </cell>
          <cell r="Z141">
            <v>76517.963959555258</v>
          </cell>
          <cell r="AA141">
            <v>20018.527314781211</v>
          </cell>
          <cell r="AB141">
            <v>30336.898142538732</v>
          </cell>
          <cell r="AC141">
            <v>48980.664654611377</v>
          </cell>
          <cell r="AD141">
            <v>36892.71950925386</v>
          </cell>
          <cell r="AE141">
            <v>51873.687836314202</v>
          </cell>
          <cell r="AF141">
            <v>57617.107103630318</v>
          </cell>
          <cell r="AG141">
            <v>35850.282464469434</v>
          </cell>
          <cell r="AH141">
            <v>48327.730464088032</v>
          </cell>
          <cell r="AI141">
            <v>58259.764016108471</v>
          </cell>
          <cell r="AJ141">
            <v>76316.406075443374</v>
          </cell>
          <cell r="AK141">
            <v>106152.85165658675</v>
          </cell>
          <cell r="AL141">
            <v>135681.98346093344</v>
          </cell>
          <cell r="AM141">
            <v>121815.80322322343</v>
          </cell>
          <cell r="AN141">
            <v>131453.3965541888</v>
          </cell>
          <cell r="AO141">
            <v>123559.39766863186</v>
          </cell>
          <cell r="AP141">
            <v>-8169.6895369442645</v>
          </cell>
          <cell r="AQ141">
            <v>-136452.32369397616</v>
          </cell>
          <cell r="AR141">
            <v>-283751.05863988289</v>
          </cell>
          <cell r="AS141">
            <v>-425330.80294713413</v>
          </cell>
          <cell r="AT141">
            <v>-551390.72563736443</v>
          </cell>
          <cell r="AU141">
            <v>-554015.90228658495</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G142">
            <v>140</v>
          </cell>
          <cell r="H142" t="str">
            <v>4 Month Target (Budget) % Var</v>
          </cell>
          <cell r="I142">
            <v>0</v>
          </cell>
          <cell r="J142">
            <v>0</v>
          </cell>
          <cell r="K142">
            <v>0</v>
          </cell>
          <cell r="L142" t="e">
            <v>#DIV/0!</v>
          </cell>
          <cell r="M142" t="e">
            <v>#DIV/0!</v>
          </cell>
          <cell r="N142" t="e">
            <v>#DIV/0!</v>
          </cell>
          <cell r="O142" t="e">
            <v>#DIV/0!</v>
          </cell>
          <cell r="P142" t="e">
            <v>#DIV/0!</v>
          </cell>
          <cell r="Q142" t="e">
            <v>#DIV/0!</v>
          </cell>
          <cell r="R142" t="e">
            <v>#DIV/0!</v>
          </cell>
          <cell r="S142" t="e">
            <v>#DIV/0!</v>
          </cell>
          <cell r="T142" t="e">
            <v>#DIV/0!</v>
          </cell>
          <cell r="U142" t="e">
            <v>#DIV/0!</v>
          </cell>
          <cell r="V142" t="e">
            <v>#DIV/0!</v>
          </cell>
          <cell r="W142" t="e">
            <v>#DIV/0!</v>
          </cell>
          <cell r="X142">
            <v>0.68391429593016062</v>
          </cell>
          <cell r="Y142">
            <v>0.2633691322071845</v>
          </cell>
          <cell r="Z142">
            <v>0.1579328650747672</v>
          </cell>
          <cell r="AA142">
            <v>3.0203970611089898E-2</v>
          </cell>
          <cell r="AB142">
            <v>4.6652457058755765E-2</v>
          </cell>
          <cell r="AC142">
            <v>7.7265760880030024E-2</v>
          </cell>
          <cell r="AD142">
            <v>5.7546495757094293E-2</v>
          </cell>
          <cell r="AE142">
            <v>8.3766080777591609E-2</v>
          </cell>
          <cell r="AF142">
            <v>9.0557623507408994E-2</v>
          </cell>
          <cell r="AG142">
            <v>5.4660726516868381E-2</v>
          </cell>
          <cell r="AH142">
            <v>7.4668884031461435E-2</v>
          </cell>
          <cell r="AI142">
            <v>9.1113718453516263E-2</v>
          </cell>
          <cell r="AJ142">
            <v>0.12490369398838085</v>
          </cell>
          <cell r="AK142">
            <v>0.18479715112374492</v>
          </cell>
          <cell r="AL142">
            <v>0.24432148013311475</v>
          </cell>
          <cell r="AM142">
            <v>0.2190840308990348</v>
          </cell>
          <cell r="AN142">
            <v>0.24320301796354715</v>
          </cell>
          <cell r="AO142">
            <v>0.22768929277916686</v>
          </cell>
          <cell r="AP142">
            <v>-1.5224135356900719E-2</v>
          </cell>
          <cell r="AQ142">
            <v>-0.26154029089043851</v>
          </cell>
          <cell r="AR142">
            <v>-0.52184836095841014</v>
          </cell>
          <cell r="AS142">
            <v>-0.76877075658421479</v>
          </cell>
          <cell r="AT142">
            <v>-1</v>
          </cell>
          <cell r="AU142">
            <v>-1</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G143">
            <v>141</v>
          </cell>
          <cell r="H143" t="str">
            <v>Actual</v>
          </cell>
          <cell r="I143">
            <v>0</v>
          </cell>
          <cell r="J143">
            <v>0</v>
          </cell>
          <cell r="K143">
            <v>0</v>
          </cell>
          <cell r="L143">
            <v>-0.14324388184301651</v>
          </cell>
          <cell r="M143">
            <v>-0.17013234213362033</v>
          </cell>
          <cell r="N143">
            <v>-0.15346348978437355</v>
          </cell>
          <cell r="O143">
            <v>-0.15354049511741338</v>
          </cell>
          <cell r="P143">
            <v>-0.16077983873672</v>
          </cell>
          <cell r="Q143">
            <v>-0.13511234408087477</v>
          </cell>
          <cell r="R143">
            <v>-0.15430212019109488</v>
          </cell>
          <cell r="S143">
            <v>-0.14880802952908903</v>
          </cell>
          <cell r="T143">
            <v>-0.1365626178798737</v>
          </cell>
          <cell r="U143">
            <v>-0.14773056840914847</v>
          </cell>
          <cell r="V143">
            <v>-0.13927021883297264</v>
          </cell>
          <cell r="W143">
            <v>9.1113718453516263E-2</v>
          </cell>
          <cell r="X143">
            <v>163511.28</v>
          </cell>
          <cell r="Y143">
            <v>150531.58999999997</v>
          </cell>
          <cell r="Z143">
            <v>160892.53999999998</v>
          </cell>
          <cell r="AA143">
            <v>165723.08000000002</v>
          </cell>
          <cell r="AB143">
            <v>149763.41000000003</v>
          </cell>
          <cell r="AC143">
            <v>163100.5</v>
          </cell>
          <cell r="AD143">
            <v>160971.4</v>
          </cell>
          <cell r="AE143">
            <v>148713.1</v>
          </cell>
          <cell r="AF143">
            <v>158797.79999999999</v>
          </cell>
          <cell r="AG143">
            <v>160380.70000000001</v>
          </cell>
          <cell r="AH143">
            <v>154129.1</v>
          </cell>
          <cell r="AI143">
            <v>155577.80000000002</v>
          </cell>
          <cell r="AJ143">
            <v>161944.4</v>
          </cell>
          <cell r="AK143">
            <v>151105.4</v>
          </cell>
          <cell r="AL143">
            <v>157481.5</v>
          </cell>
          <cell r="AM143">
            <v>158517.6</v>
          </cell>
          <cell r="AN143">
            <v>153503.30000000002</v>
          </cell>
          <cell r="AO143">
            <v>160154.5</v>
          </cell>
          <cell r="AP143">
            <v>150316.4</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G144">
            <v>142</v>
          </cell>
          <cell r="H144" t="str">
            <v>Target (Budget)</v>
          </cell>
          <cell r="I144">
            <v>0</v>
          </cell>
          <cell r="J144">
            <v>0</v>
          </cell>
          <cell r="K144">
            <v>0</v>
          </cell>
          <cell r="L144">
            <v>163511.28</v>
          </cell>
          <cell r="M144">
            <v>150531.58999999997</v>
          </cell>
          <cell r="N144">
            <v>160892.53999999998</v>
          </cell>
          <cell r="O144">
            <v>165723.08000000002</v>
          </cell>
          <cell r="P144">
            <v>149763.41000000003</v>
          </cell>
          <cell r="Q144">
            <v>163100.5</v>
          </cell>
          <cell r="R144">
            <v>160971.4</v>
          </cell>
          <cell r="S144">
            <v>148713.1</v>
          </cell>
          <cell r="T144">
            <v>158797.79999999999</v>
          </cell>
          <cell r="U144">
            <v>160380.70000000001</v>
          </cell>
          <cell r="V144">
            <v>138467.20000000001</v>
          </cell>
          <cell r="W144">
            <v>155577.80000000002</v>
          </cell>
          <cell r="X144">
            <v>189268.54058429683</v>
          </cell>
          <cell r="Y144">
            <v>184952.46881028952</v>
          </cell>
          <cell r="Z144">
            <v>181323.0142995599</v>
          </cell>
          <cell r="AA144">
            <v>195538.78885820584</v>
          </cell>
          <cell r="AB144">
            <v>180621.87393732581</v>
          </cell>
          <cell r="AC144">
            <v>187822.38600825513</v>
          </cell>
          <cell r="AD144">
            <v>201133.85199090128</v>
          </cell>
          <cell r="AE144">
            <v>173138.55622511357</v>
          </cell>
          <cell r="AF144">
            <v>181677.91230133167</v>
          </cell>
          <cell r="AG144">
            <v>187038.31025853372</v>
          </cell>
          <cell r="AH144">
            <v>183167.96370621622</v>
          </cell>
          <cell r="AI144">
            <v>168546.81587711337</v>
          </cell>
          <cell r="AJ144">
            <v>162291.79999999999</v>
          </cell>
          <cell r="AK144">
            <v>149408.9</v>
          </cell>
          <cell r="AL144">
            <v>159247.19641133468</v>
          </cell>
          <cell r="AM144">
            <v>164028.3376137348</v>
          </cell>
          <cell r="AN144">
            <v>148231.87680113228</v>
          </cell>
          <cell r="AO144">
            <v>161432.57703736227</v>
          </cell>
          <cell r="AP144">
            <v>159325.24996129415</v>
          </cell>
          <cell r="AQ144">
            <v>147192.30763985985</v>
          </cell>
          <cell r="AR144">
            <v>157173.87795784592</v>
          </cell>
          <cell r="AS144">
            <v>158740.59066683479</v>
          </cell>
          <cell r="AT144">
            <v>152552.92172279861</v>
          </cell>
          <cell r="AU144">
            <v>153986.80680809284</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G145">
            <v>143</v>
          </cell>
          <cell r="H145" t="str">
            <v>Actual</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6.5808800230447932</v>
          </cell>
          <cell r="Y145">
            <v>2.2690879942388809</v>
          </cell>
          <cell r="Z145">
            <v>2.4130398477418469</v>
          </cell>
          <cell r="AA145">
            <v>2.5868545317375942</v>
          </cell>
          <cell r="AB145">
            <v>2.0880935153115465</v>
          </cell>
          <cell r="AC145">
            <v>2.3128135180549365</v>
          </cell>
          <cell r="AD145">
            <v>2.3983557495323775</v>
          </cell>
          <cell r="AE145">
            <v>2.4194335085062795</v>
          </cell>
          <cell r="AF145">
            <v>2.5657041061726193</v>
          </cell>
          <cell r="AG145">
            <v>2.5742371069742589</v>
          </cell>
          <cell r="AH145">
            <v>2.3646958225705887</v>
          </cell>
          <cell r="AI145">
            <v>6.7819562129597886</v>
          </cell>
          <cell r="AJ145">
            <v>6.7560317382573354</v>
          </cell>
          <cell r="AK145">
            <v>2.2785452499872147</v>
          </cell>
          <cell r="AL145">
            <v>2.3484700748342222</v>
          </cell>
          <cell r="AM145">
            <v>2.4407940268994088</v>
          </cell>
          <cell r="AN145">
            <v>2.1356255220496738</v>
          </cell>
          <cell r="AO145">
            <v>2.2511838808107325</v>
          </cell>
          <cell r="AP145">
            <v>2.2652518813634348</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G146">
            <v>144</v>
          </cell>
          <cell r="H146" t="str">
            <v>Target (Budget)</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7.6811590644970194</v>
          </cell>
          <cell r="Y146">
            <v>2.8695576335254249</v>
          </cell>
          <cell r="Z146">
            <v>2.785924579235973</v>
          </cell>
          <cell r="AA146">
            <v>3.1070814521824035</v>
          </cell>
          <cell r="AB146">
            <v>2.5704047007903736</v>
          </cell>
          <cell r="AC146">
            <v>2.5846133767054629</v>
          </cell>
          <cell r="AD146">
            <v>3.0264935868472342</v>
          </cell>
          <cell r="AE146">
            <v>2.8350069457972711</v>
          </cell>
          <cell r="AF146">
            <v>2.9801736289222953</v>
          </cell>
          <cell r="AG146">
            <v>3.0428116328327945</v>
          </cell>
          <cell r="AH146">
            <v>2.8698996788685687</v>
          </cell>
          <cell r="AI146">
            <v>7.1365161441112726</v>
          </cell>
          <cell r="AJ146">
            <v>6.5317922127802586</v>
          </cell>
          <cell r="AK146">
            <v>2.2580876411834483</v>
          </cell>
          <cell r="AL146">
            <v>2.3946452882699161</v>
          </cell>
          <cell r="AM146">
            <v>2.5671349860476167</v>
          </cell>
          <cell r="AN146">
            <v>2.0721760159025351</v>
          </cell>
          <cell r="AO146">
            <v>2.2951829820962542</v>
          </cell>
          <cell r="AP146">
            <v>2.3738293217947604</v>
          </cell>
          <cell r="AQ146">
            <v>2.3946915322069251</v>
          </cell>
          <cell r="AR146">
            <v>2.5394663153993275</v>
          </cell>
          <cell r="AS146">
            <v>2.5479120547396148</v>
          </cell>
          <cell r="AT146">
            <v>2.340513613060998</v>
          </cell>
          <cell r="AU146">
            <v>2.4414569485999165</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G147">
            <v>145</v>
          </cell>
          <cell r="H147" t="str">
            <v>Target (Budget) Variance</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-1.1002790414522261</v>
          </cell>
          <cell r="Y147">
            <v>-0.60046963928654407</v>
          </cell>
          <cell r="Z147">
            <v>-0.37288473149412615</v>
          </cell>
          <cell r="AA147">
            <v>-0.52022692044480934</v>
          </cell>
          <cell r="AB147">
            <v>-0.48231118547882712</v>
          </cell>
          <cell r="AC147">
            <v>-0.27179985865052636</v>
          </cell>
          <cell r="AD147">
            <v>-0.62813783731485673</v>
          </cell>
          <cell r="AE147">
            <v>-0.41557343729099161</v>
          </cell>
          <cell r="AF147">
            <v>-0.41446952274967597</v>
          </cell>
          <cell r="AG147">
            <v>-0.46857452585853565</v>
          </cell>
          <cell r="AH147">
            <v>-0.50520385629797993</v>
          </cell>
          <cell r="AI147">
            <v>-0.35455993115148399</v>
          </cell>
          <cell r="AJ147">
            <v>0.22423952547707682</v>
          </cell>
          <cell r="AK147">
            <v>2.0457608803766458E-2</v>
          </cell>
          <cell r="AL147">
            <v>-4.6175213435693863E-2</v>
          </cell>
          <cell r="AM147">
            <v>-0.12634095914820787</v>
          </cell>
          <cell r="AN147">
            <v>6.3449506147138734E-2</v>
          </cell>
          <cell r="AO147">
            <v>-4.3999101285521647E-2</v>
          </cell>
          <cell r="AP147">
            <v>-0.10857744043132556</v>
          </cell>
          <cell r="AQ147">
            <v>-2.3946915322069251</v>
          </cell>
          <cell r="AR147">
            <v>-2.5394663153993275</v>
          </cell>
          <cell r="AS147">
            <v>-2.5479120547396148</v>
          </cell>
          <cell r="AT147">
            <v>-2.340513613060998</v>
          </cell>
          <cell r="AU147">
            <v>-2.4414569485999165</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G148">
            <v>146</v>
          </cell>
          <cell r="H148" t="str">
            <v>Target (Budget) %Var</v>
          </cell>
          <cell r="I148">
            <v>0</v>
          </cell>
          <cell r="J148">
            <v>0</v>
          </cell>
          <cell r="K148">
            <v>0</v>
          </cell>
          <cell r="L148" t="e">
            <v>#DIV/0!</v>
          </cell>
          <cell r="M148" t="e">
            <v>#DIV/0!</v>
          </cell>
          <cell r="N148" t="e">
            <v>#DIV/0!</v>
          </cell>
          <cell r="O148" t="e">
            <v>#DIV/0!</v>
          </cell>
          <cell r="P148" t="e">
            <v>#DIV/0!</v>
          </cell>
          <cell r="Q148" t="e">
            <v>#DIV/0!</v>
          </cell>
          <cell r="R148" t="e">
            <v>#DIV/0!</v>
          </cell>
          <cell r="S148" t="e">
            <v>#DIV/0!</v>
          </cell>
          <cell r="T148" t="e">
            <v>#DIV/0!</v>
          </cell>
          <cell r="U148" t="e">
            <v>#DIV/0!</v>
          </cell>
          <cell r="V148" t="e">
            <v>#DIV/0!</v>
          </cell>
          <cell r="W148" t="e">
            <v>#DIV/0!</v>
          </cell>
          <cell r="X148">
            <v>-0.14324388184301648</v>
          </cell>
          <cell r="Y148">
            <v>-0.20925512429901288</v>
          </cell>
          <cell r="Z148">
            <v>-0.13384595343079533</v>
          </cell>
          <cell r="AA148">
            <v>-0.16743266259705028</v>
          </cell>
          <cell r="AB148">
            <v>-0.18764017406695579</v>
          </cell>
          <cell r="AC148">
            <v>-0.10516074129314548</v>
          </cell>
          <cell r="AD148">
            <v>-0.20754639628006016</v>
          </cell>
          <cell r="AE148">
            <v>-0.14658639122809011</v>
          </cell>
          <cell r="AF148">
            <v>-0.13907562926109054</v>
          </cell>
          <cell r="AG148">
            <v>-0.15399393140294473</v>
          </cell>
          <cell r="AH148">
            <v>-0.17603537155596738</v>
          </cell>
          <cell r="AI148">
            <v>-4.9682495491031806E-2</v>
          </cell>
          <cell r="AJ148">
            <v>3.4330474419918697E-2</v>
          </cell>
          <cell r="AK148">
            <v>9.0597054032166644E-3</v>
          </cell>
          <cell r="AL148">
            <v>-1.928269446079613E-2</v>
          </cell>
          <cell r="AM148">
            <v>-4.9214770487282983E-2</v>
          </cell>
          <cell r="AN148">
            <v>3.0619747386422355E-2</v>
          </cell>
          <cell r="AO148">
            <v>-1.9170193238944307E-2</v>
          </cell>
          <cell r="AP148">
            <v>-4.5739362739539491E-2</v>
          </cell>
          <cell r="AQ148">
            <v>-1</v>
          </cell>
          <cell r="AR148">
            <v>-1</v>
          </cell>
          <cell r="AS148">
            <v>-1</v>
          </cell>
          <cell r="AT148">
            <v>-1</v>
          </cell>
          <cell r="AU148">
            <v>-1</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G149">
            <v>147</v>
          </cell>
          <cell r="H149" t="str">
            <v>YTD Actual</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6.5808800230447932</v>
          </cell>
          <cell r="Y149">
            <v>3.4037586385516296</v>
          </cell>
          <cell r="Z149">
            <v>2.9834528234635167</v>
          </cell>
          <cell r="AA149">
            <v>2.8653169897086239</v>
          </cell>
          <cell r="AB149">
            <v>2.6869376310911903</v>
          </cell>
          <cell r="AC149">
            <v>2.6171010661281082</v>
          </cell>
          <cell r="AD149">
            <v>2.5837854542100098</v>
          </cell>
          <cell r="AE149">
            <v>2.5620625887372297</v>
          </cell>
          <cell r="AF149">
            <v>2.5624877091114793</v>
          </cell>
          <cell r="AG149">
            <v>2.5637159739952589</v>
          </cell>
          <cell r="AH149">
            <v>2.5448798038825591</v>
          </cell>
          <cell r="AI149">
            <v>2.6858806482476028</v>
          </cell>
          <cell r="AJ149">
            <v>6.7560317382573354</v>
          </cell>
          <cell r="AK149">
            <v>3.4345498229640872</v>
          </cell>
          <cell r="AL149">
            <v>2.9720022070087047</v>
          </cell>
          <cell r="AM149">
            <v>2.8133397146726682</v>
          </cell>
          <cell r="AN149">
            <v>2.657473075912792</v>
          </cell>
          <cell r="AO149">
            <v>2.5815033213060827</v>
          </cell>
          <cell r="AP149">
            <v>2.5332592306466379</v>
          </cell>
          <cell r="AQ149">
            <v>2.1979607764095976</v>
          </cell>
          <cell r="AR149">
            <v>1.9410466991060875</v>
          </cell>
          <cell r="AS149">
            <v>1.7379071293029322</v>
          </cell>
          <cell r="AT149">
            <v>1.5732583244283325</v>
          </cell>
          <cell r="AU149">
            <v>1.4371072141125558</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G150">
            <v>148</v>
          </cell>
          <cell r="H150" t="str">
            <v>YTD Target (Budget)</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7.6811590644970194</v>
          </cell>
          <cell r="Y150">
            <v>4.1510230361147684</v>
          </cell>
          <cell r="Z150">
            <v>3.5733276497042099</v>
          </cell>
          <cell r="AA150">
            <v>3.434687990035648</v>
          </cell>
          <cell r="AB150">
            <v>3.2365945156159288</v>
          </cell>
          <cell r="AC150">
            <v>3.1150244535813014</v>
          </cell>
          <cell r="AD150">
            <v>3.1015617783180742</v>
          </cell>
          <cell r="AE150">
            <v>3.0663777747057019</v>
          </cell>
          <cell r="AF150">
            <v>3.0563260126736309</v>
          </cell>
          <cell r="AG150">
            <v>3.0549147400229013</v>
          </cell>
          <cell r="AH150">
            <v>3.0374209188363457</v>
          </cell>
          <cell r="AI150">
            <v>3.1786645075382745</v>
          </cell>
          <cell r="AJ150">
            <v>6.5317922127802586</v>
          </cell>
          <cell r="AK150">
            <v>3.3849135421149907</v>
          </cell>
          <cell r="AL150">
            <v>2.9649662220021784</v>
          </cell>
          <cell r="AM150">
            <v>2.8464962770650395</v>
          </cell>
          <cell r="AN150">
            <v>2.6688215358506193</v>
          </cell>
          <cell r="AO150">
            <v>2.599087836429629</v>
          </cell>
          <cell r="AP150">
            <v>2.5647088877931674</v>
          </cell>
          <cell r="AQ150">
            <v>2.5421966591595893</v>
          </cell>
          <cell r="AR150">
            <v>2.5418774036891723</v>
          </cell>
          <cell r="AS150">
            <v>2.5425091573112644</v>
          </cell>
          <cell r="AT150">
            <v>2.5233666925202565</v>
          </cell>
          <cell r="AU150">
            <v>2.5162763040527412</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G151">
            <v>149</v>
          </cell>
          <cell r="H151" t="str">
            <v>YTD Target (Budget) Var</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-1.1002790414522261</v>
          </cell>
          <cell r="Y151">
            <v>-0.74726439756313878</v>
          </cell>
          <cell r="Z151">
            <v>-0.58987482624069321</v>
          </cell>
          <cell r="AA151">
            <v>-0.56937100032702403</v>
          </cell>
          <cell r="AB151">
            <v>-0.54965688452473849</v>
          </cell>
          <cell r="AC151">
            <v>-0.4979233874531932</v>
          </cell>
          <cell r="AD151">
            <v>-0.5177763241080644</v>
          </cell>
          <cell r="AE151">
            <v>-0.50431518596847225</v>
          </cell>
          <cell r="AF151">
            <v>-0.49383830356215164</v>
          </cell>
          <cell r="AG151">
            <v>-0.49119876602764245</v>
          </cell>
          <cell r="AH151">
            <v>-0.49254111495378661</v>
          </cell>
          <cell r="AI151">
            <v>-0.4927838592906717</v>
          </cell>
          <cell r="AJ151">
            <v>0.22423952547707682</v>
          </cell>
          <cell r="AK151">
            <v>4.9636280849096437E-2</v>
          </cell>
          <cell r="AL151">
            <v>7.0359850065262464E-3</v>
          </cell>
          <cell r="AM151">
            <v>-3.3156562392371303E-2</v>
          </cell>
          <cell r="AN151">
            <v>-1.1348459937827293E-2</v>
          </cell>
          <cell r="AO151">
            <v>-1.7584515123546307E-2</v>
          </cell>
          <cell r="AP151">
            <v>-3.1449657146529475E-2</v>
          </cell>
          <cell r="AQ151">
            <v>-0.34423588274999162</v>
          </cell>
          <cell r="AR151">
            <v>-0.60083070458308474</v>
          </cell>
          <cell r="AS151">
            <v>-0.80460202800833214</v>
          </cell>
          <cell r="AT151">
            <v>-0.950108368091924</v>
          </cell>
          <cell r="AU151">
            <v>-1.0791690899401853</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G152">
            <v>150</v>
          </cell>
          <cell r="H152" t="str">
            <v>YTD Target (Budget) %Var</v>
          </cell>
          <cell r="I152">
            <v>0</v>
          </cell>
          <cell r="J152">
            <v>0</v>
          </cell>
          <cell r="K152">
            <v>0</v>
          </cell>
          <cell r="L152" t="e">
            <v>#DIV/0!</v>
          </cell>
          <cell r="M152" t="e">
            <v>#DIV/0!</v>
          </cell>
          <cell r="N152" t="e">
            <v>#DIV/0!</v>
          </cell>
          <cell r="O152" t="e">
            <v>#DIV/0!</v>
          </cell>
          <cell r="P152" t="e">
            <v>#DIV/0!</v>
          </cell>
          <cell r="Q152" t="e">
            <v>#DIV/0!</v>
          </cell>
          <cell r="R152" t="e">
            <v>#DIV/0!</v>
          </cell>
          <cell r="S152" t="e">
            <v>#DIV/0!</v>
          </cell>
          <cell r="T152" t="e">
            <v>#DIV/0!</v>
          </cell>
          <cell r="U152" t="e">
            <v>#DIV/0!</v>
          </cell>
          <cell r="V152" t="e">
            <v>#DIV/0!</v>
          </cell>
          <cell r="W152" t="e">
            <v>#DIV/0!</v>
          </cell>
          <cell r="X152">
            <v>-0.14324388184301648</v>
          </cell>
          <cell r="Y152">
            <v>-0.18001933283958732</v>
          </cell>
          <cell r="Z152">
            <v>-0.16507717289499646</v>
          </cell>
          <cell r="AA152">
            <v>-0.16577080712391423</v>
          </cell>
          <cell r="AB152">
            <v>-0.16982568618736535</v>
          </cell>
          <cell r="AC152">
            <v>-0.15984573953528275</v>
          </cell>
          <cell r="AD152">
            <v>-0.16694051613856487</v>
          </cell>
          <cell r="AE152">
            <v>-0.164466097468005</v>
          </cell>
          <cell r="AF152">
            <v>-0.16157906634120778</v>
          </cell>
          <cell r="AG152">
            <v>-0.16078968083540038</v>
          </cell>
          <cell r="AH152">
            <v>-0.16215767524985708</v>
          </cell>
          <cell r="AI152">
            <v>-0.15502858452725152</v>
          </cell>
          <cell r="AJ152">
            <v>3.4330474419918697E-2</v>
          </cell>
          <cell r="AK152">
            <v>1.4663973017781207E-2</v>
          </cell>
          <cell r="AL152">
            <v>2.3730405271784162E-3</v>
          </cell>
          <cell r="AM152">
            <v>-1.1648201566087524E-2</v>
          </cell>
          <cell r="AN152">
            <v>-4.252236346785271E-3</v>
          </cell>
          <cell r="AO152">
            <v>-6.7656486545303457E-3</v>
          </cell>
          <cell r="AP152">
            <v>-1.226246662777805E-2</v>
          </cell>
          <cell r="AQ152">
            <v>-0.13540883295149583</v>
          </cell>
          <cell r="AR152">
            <v>-0.23637280999904431</v>
          </cell>
          <cell r="AS152">
            <v>-0.31645983484252577</v>
          </cell>
          <cell r="AT152">
            <v>-0.37652409810600562</v>
          </cell>
          <cell r="AU152">
            <v>-0.42887543319549776</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G153">
            <v>151</v>
          </cell>
          <cell r="H153" t="str">
            <v>4 Month Actual</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0.89963082314952147</v>
          </cell>
          <cell r="Y153">
            <v>1.7343974918562584</v>
          </cell>
          <cell r="Z153">
            <v>2.5908972091319127</v>
          </cell>
          <cell r="AA153">
            <v>2.8653169897086239</v>
          </cell>
          <cell r="AB153">
            <v>2.3392689722574671</v>
          </cell>
          <cell r="AC153">
            <v>2.3502003532114815</v>
          </cell>
          <cell r="AD153">
            <v>2.3460388747776943</v>
          </cell>
          <cell r="AE153">
            <v>2.302682666853054</v>
          </cell>
          <cell r="AF153">
            <v>2.4230034799560709</v>
          </cell>
          <cell r="AG153">
            <v>2.4894326177963837</v>
          </cell>
          <cell r="AH153">
            <v>2.4810176360559364</v>
          </cell>
          <cell r="AI153">
            <v>2.9643791507345543</v>
          </cell>
          <cell r="AJ153">
            <v>3.6161831173581365</v>
          </cell>
          <cell r="AK153">
            <v>3.4878019944484433</v>
          </cell>
          <cell r="AL153">
            <v>3.4638321952453208</v>
          </cell>
          <cell r="AM153">
            <v>2.8133397146726682</v>
          </cell>
          <cell r="AN153">
            <v>2.3008587184426301</v>
          </cell>
          <cell r="AO153">
            <v>2.2940183761485091</v>
          </cell>
          <cell r="AP153">
            <v>2.2732887672930002</v>
          </cell>
          <cell r="AQ153">
            <v>1.673094460560371</v>
          </cell>
          <cell r="AR153">
            <v>1.1398727684051768</v>
          </cell>
          <cell r="AS153">
            <v>0.5663129703408587</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G154">
            <v>152</v>
          </cell>
          <cell r="H154" t="str">
            <v>4 Month Target (Budget)</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1.3574075001591519</v>
          </cell>
          <cell r="Y154">
            <v>2.7282312977447423</v>
          </cell>
          <cell r="Z154">
            <v>3.1061465891715527</v>
          </cell>
          <cell r="AA154">
            <v>3.434687990035648</v>
          </cell>
          <cell r="AB154">
            <v>2.8332420914335441</v>
          </cell>
          <cell r="AC154">
            <v>2.7620060272285532</v>
          </cell>
          <cell r="AD154">
            <v>2.8201778540354123</v>
          </cell>
          <cell r="AE154">
            <v>2.7506903157422573</v>
          </cell>
          <cell r="AF154">
            <v>2.8538979227432035</v>
          </cell>
          <cell r="AG154">
            <v>2.9711214485998987</v>
          </cell>
          <cell r="AH154">
            <v>2.9319729716052327</v>
          </cell>
          <cell r="AI154">
            <v>3.4305388485642552</v>
          </cell>
          <cell r="AJ154">
            <v>4.0189038750036623</v>
          </cell>
          <cell r="AK154">
            <v>3.705659155582163</v>
          </cell>
          <cell r="AL154">
            <v>3.5149118745985124</v>
          </cell>
          <cell r="AM154">
            <v>2.8464962770650395</v>
          </cell>
          <cell r="AN154">
            <v>2.3230109828508794</v>
          </cell>
          <cell r="AO154">
            <v>2.3322848180790805</v>
          </cell>
          <cell r="AP154">
            <v>2.3266685579250281</v>
          </cell>
          <cell r="AQ154">
            <v>2.2821853290085041</v>
          </cell>
          <cell r="AR154">
            <v>2.3998444598227637</v>
          </cell>
          <cell r="AS154">
            <v>2.4639748060351567</v>
          </cell>
          <cell r="AT154">
            <v>2.4556458788517164</v>
          </cell>
          <cell r="AU154">
            <v>2.4673372329499643</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G155">
            <v>153</v>
          </cell>
          <cell r="H155" t="str">
            <v>4 Month Target (Budget) Var</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-0.45777667700963043</v>
          </cell>
          <cell r="Y155">
            <v>-0.99383380588848391</v>
          </cell>
          <cell r="Z155">
            <v>-0.51524938003964005</v>
          </cell>
          <cell r="AA155">
            <v>-0.56937100032702403</v>
          </cell>
          <cell r="AB155">
            <v>-0.493973119176077</v>
          </cell>
          <cell r="AC155">
            <v>-0.41180567401707169</v>
          </cell>
          <cell r="AD155">
            <v>-0.47413897925771797</v>
          </cell>
          <cell r="AE155">
            <v>-0.4480076488892033</v>
          </cell>
          <cell r="AF155">
            <v>-0.43089444278713263</v>
          </cell>
          <cell r="AG155">
            <v>-0.48168883080351499</v>
          </cell>
          <cell r="AH155">
            <v>-0.45095533554929634</v>
          </cell>
          <cell r="AI155">
            <v>-0.4661596978297009</v>
          </cell>
          <cell r="AJ155">
            <v>-0.40272075764552584</v>
          </cell>
          <cell r="AK155">
            <v>-0.21785716113371967</v>
          </cell>
          <cell r="AL155">
            <v>-5.1079679353191576E-2</v>
          </cell>
          <cell r="AM155">
            <v>-3.3156562392371303E-2</v>
          </cell>
          <cell r="AN155">
            <v>-2.2152264408249245E-2</v>
          </cell>
          <cell r="AO155">
            <v>-3.8266441930571382E-2</v>
          </cell>
          <cell r="AP155">
            <v>-5.3379790632027913E-2</v>
          </cell>
          <cell r="AQ155">
            <v>-0.60909086844813309</v>
          </cell>
          <cell r="AR155">
            <v>-1.2599716914175869</v>
          </cell>
          <cell r="AS155">
            <v>-1.897661835694298</v>
          </cell>
          <cell r="AT155">
            <v>-2.4556458788517164</v>
          </cell>
          <cell r="AU155">
            <v>-2.4673372329499643</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G156">
            <v>154</v>
          </cell>
          <cell r="H156" t="str">
            <v>4 Month Target (Budget) % Var</v>
          </cell>
          <cell r="I156">
            <v>0</v>
          </cell>
          <cell r="J156">
            <v>0</v>
          </cell>
          <cell r="K156">
            <v>0</v>
          </cell>
          <cell r="L156" t="e">
            <v>#DIV/0!</v>
          </cell>
          <cell r="M156" t="e">
            <v>#DIV/0!</v>
          </cell>
          <cell r="N156" t="e">
            <v>#DIV/0!</v>
          </cell>
          <cell r="O156" t="e">
            <v>#DIV/0!</v>
          </cell>
          <cell r="P156" t="e">
            <v>#DIV/0!</v>
          </cell>
          <cell r="Q156" t="e">
            <v>#DIV/0!</v>
          </cell>
          <cell r="R156" t="e">
            <v>#DIV/0!</v>
          </cell>
          <cell r="S156" t="e">
            <v>#DIV/0!</v>
          </cell>
          <cell r="T156" t="e">
            <v>#DIV/0!</v>
          </cell>
          <cell r="U156" t="e">
            <v>#DIV/0!</v>
          </cell>
          <cell r="V156" t="e">
            <v>#DIV/0!</v>
          </cell>
          <cell r="W156" t="e">
            <v>#DIV/0!</v>
          </cell>
          <cell r="X156">
            <v>-0.33724336793185355</v>
          </cell>
          <cell r="Y156">
            <v>-0.36427769401737453</v>
          </cell>
          <cell r="Z156">
            <v>-0.16588057428965816</v>
          </cell>
          <cell r="AA156">
            <v>-0.16577080712391423</v>
          </cell>
          <cell r="AB156">
            <v>-0.17434906839398956</v>
          </cell>
          <cell r="AC156">
            <v>-0.14909658775447532</v>
          </cell>
          <cell r="AD156">
            <v>-0.16812378644108178</v>
          </cell>
          <cell r="AE156">
            <v>-0.1628709878117672</v>
          </cell>
          <cell r="AF156">
            <v>-0.15098453219130953</v>
          </cell>
          <cell r="AG156">
            <v>-0.16212357493178356</v>
          </cell>
          <cell r="AH156">
            <v>-0.15380610255162133</v>
          </cell>
          <cell r="AI156">
            <v>-0.13588527004286732</v>
          </cell>
          <cell r="AJ156">
            <v>-0.10020661607517518</v>
          </cell>
          <cell r="AK156">
            <v>-5.8790393823873979E-2</v>
          </cell>
          <cell r="AL156">
            <v>-1.4532278809700202E-2</v>
          </cell>
          <cell r="AM156">
            <v>-1.1648201566087524E-2</v>
          </cell>
          <cell r="AN156">
            <v>-9.5360136356579858E-3</v>
          </cell>
          <cell r="AO156">
            <v>-1.6407276518692275E-2</v>
          </cell>
          <cell r="AP156">
            <v>-2.2942584774357861E-2</v>
          </cell>
          <cell r="AQ156">
            <v>-0.26688931030537855</v>
          </cell>
          <cell r="AR156">
            <v>-0.52502223061182884</v>
          </cell>
          <cell r="AS156">
            <v>-0.77016284056405304</v>
          </cell>
          <cell r="AT156">
            <v>-1</v>
          </cell>
          <cell r="AU156">
            <v>-1</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G157">
            <v>155</v>
          </cell>
          <cell r="H157" t="str">
            <v>Actual</v>
          </cell>
          <cell r="I157">
            <v>0</v>
          </cell>
          <cell r="J157">
            <v>0</v>
          </cell>
          <cell r="K157">
            <v>0</v>
          </cell>
          <cell r="L157" t="e">
            <v>#DIV/0!</v>
          </cell>
          <cell r="M157" t="e">
            <v>#DIV/0!</v>
          </cell>
          <cell r="N157" t="e">
            <v>#DIV/0!</v>
          </cell>
          <cell r="O157" t="e">
            <v>#DIV/0!</v>
          </cell>
          <cell r="P157" t="e">
            <v>#DIV/0!</v>
          </cell>
          <cell r="Q157" t="e">
            <v>#DIV/0!</v>
          </cell>
          <cell r="R157" t="e">
            <v>#DIV/0!</v>
          </cell>
          <cell r="S157" t="e">
            <v>#DIV/0!</v>
          </cell>
          <cell r="T157" t="e">
            <v>#DIV/0!</v>
          </cell>
          <cell r="U157" t="e">
            <v>#DIV/0!</v>
          </cell>
          <cell r="V157" t="e">
            <v>#DIV/0!</v>
          </cell>
          <cell r="W157" t="e">
            <v>#DIV/0!</v>
          </cell>
          <cell r="X157">
            <v>0.83831005420543458</v>
          </cell>
          <cell r="Y157">
            <v>0.8791360670540983</v>
          </cell>
          <cell r="Z157">
            <v>0.8747037619021989</v>
          </cell>
          <cell r="AA157">
            <v>0.91037729928746169</v>
          </cell>
          <cell r="AB157">
            <v>0.81316117201124083</v>
          </cell>
          <cell r="AC157">
            <v>0.82702327705923651</v>
          </cell>
          <cell r="AD157">
            <v>0.83637031174481935</v>
          </cell>
          <cell r="AE157">
            <v>0.91326789637227646</v>
          </cell>
          <cell r="AF157">
            <v>0.90697604122979036</v>
          </cell>
          <cell r="AG157">
            <v>0.90101115657931419</v>
          </cell>
          <cell r="AH157">
            <v>0.86124034981064579</v>
          </cell>
          <cell r="AI157">
            <v>0.89001901299542729</v>
          </cell>
          <cell r="AJ157">
            <v>0.85176085125512235</v>
          </cell>
          <cell r="AK157">
            <v>0.88458982935090336</v>
          </cell>
          <cell r="AL157">
            <v>0.87482212196353215</v>
          </cell>
          <cell r="AM157">
            <v>0.90327067783009596</v>
          </cell>
          <cell r="AN157">
            <v>0.81615313807585899</v>
          </cell>
          <cell r="AO157">
            <v>0.82458625889375581</v>
          </cell>
          <cell r="AP157">
            <v>0.85107213850251862</v>
          </cell>
          <cell r="AQ157" t="e">
            <v>#DIV/0!</v>
          </cell>
          <cell r="AR157" t="e">
            <v>#DIV/0!</v>
          </cell>
          <cell r="AS157" t="e">
            <v>#DIV/0!</v>
          </cell>
          <cell r="AT157" t="e">
            <v>#DIV/0!</v>
          </cell>
          <cell r="AU157" t="e">
            <v>#DIV/0!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G158">
            <v>156</v>
          </cell>
          <cell r="H158" t="str">
            <v>Target (Budget)</v>
          </cell>
          <cell r="I158">
            <v>0</v>
          </cell>
          <cell r="J158">
            <v>0</v>
          </cell>
          <cell r="K158">
            <v>0</v>
          </cell>
          <cell r="L158" t="e">
            <v>#DIV/0!</v>
          </cell>
          <cell r="M158" t="e">
            <v>#DIV/0!</v>
          </cell>
          <cell r="N158" t="e">
            <v>#DIV/0!</v>
          </cell>
          <cell r="O158" t="e">
            <v>#DIV/0!</v>
          </cell>
          <cell r="P158" t="e">
            <v>#DIV/0!</v>
          </cell>
          <cell r="Q158" t="e">
            <v>#DIV/0!</v>
          </cell>
          <cell r="R158" t="e">
            <v>#DIV/0!</v>
          </cell>
          <cell r="S158" t="e">
            <v>#DIV/0!</v>
          </cell>
          <cell r="T158" t="e">
            <v>#DIV/0!</v>
          </cell>
          <cell r="U158" t="e">
            <v>#DIV/0!</v>
          </cell>
          <cell r="V158" t="e">
            <v>#DIV/0!</v>
          </cell>
          <cell r="W158" t="e">
            <v>#DIV/0!</v>
          </cell>
          <cell r="X158">
            <v>0.84531143770906469</v>
          </cell>
          <cell r="Y158">
            <v>0.89024141452766159</v>
          </cell>
          <cell r="Z158">
            <v>0.88159557157973456</v>
          </cell>
          <cell r="AA158">
            <v>0.91174353531489882</v>
          </cell>
          <cell r="AB158">
            <v>0.81655254766002272</v>
          </cell>
          <cell r="AC158">
            <v>0.78958921827063044</v>
          </cell>
          <cell r="AD158">
            <v>0.83040771070647013</v>
          </cell>
          <cell r="AE158">
            <v>0.9036434848994096</v>
          </cell>
          <cell r="AF158">
            <v>0.90526602808243073</v>
          </cell>
          <cell r="AG158">
            <v>0.89780347859767862</v>
          </cell>
          <cell r="AH158">
            <v>0.8646771540887348</v>
          </cell>
          <cell r="AI158">
            <v>0.88193000853882109</v>
          </cell>
          <cell r="AJ158">
            <v>0.83830914439300086</v>
          </cell>
          <cell r="AK158">
            <v>0.87913571413751135</v>
          </cell>
          <cell r="AL158">
            <v>0.87470376190219867</v>
          </cell>
          <cell r="AM158">
            <v>0.91037729928746158</v>
          </cell>
          <cell r="AN158">
            <v>0.81316117201124072</v>
          </cell>
          <cell r="AO158">
            <v>0.82702327705923651</v>
          </cell>
          <cell r="AP158">
            <v>0.83637031174481946</v>
          </cell>
          <cell r="AQ158">
            <v>0.91326789637227623</v>
          </cell>
          <cell r="AR158">
            <v>0.90697604122979003</v>
          </cell>
          <cell r="AS158">
            <v>0.90101115657931408</v>
          </cell>
          <cell r="AT158">
            <v>0.86124034981064579</v>
          </cell>
          <cell r="AU158">
            <v>0.89001901299542718</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G159">
            <v>157</v>
          </cell>
          <cell r="H159" t="str">
            <v>Target (Budget) Variance</v>
          </cell>
          <cell r="I159">
            <v>0</v>
          </cell>
          <cell r="J159">
            <v>0</v>
          </cell>
          <cell r="K159">
            <v>0</v>
          </cell>
          <cell r="L159" t="e">
            <v>#DIV/0!</v>
          </cell>
          <cell r="M159" t="e">
            <v>#DIV/0!</v>
          </cell>
          <cell r="N159" t="e">
            <v>#DIV/0!</v>
          </cell>
          <cell r="O159" t="e">
            <v>#DIV/0!</v>
          </cell>
          <cell r="P159" t="e">
            <v>#DIV/0!</v>
          </cell>
          <cell r="Q159" t="e">
            <v>#DIV/0!</v>
          </cell>
          <cell r="R159" t="e">
            <v>#DIV/0!</v>
          </cell>
          <cell r="S159" t="e">
            <v>#DIV/0!</v>
          </cell>
          <cell r="T159" t="e">
            <v>#DIV/0!</v>
          </cell>
          <cell r="U159" t="e">
            <v>#DIV/0!</v>
          </cell>
          <cell r="V159" t="e">
            <v>#DIV/0!</v>
          </cell>
          <cell r="W159" t="e">
            <v>#DIV/0!</v>
          </cell>
          <cell r="X159">
            <v>-7.0013835036301098E-3</v>
          </cell>
          <cell r="Y159">
            <v>-1.1105347473563287E-2</v>
          </cell>
          <cell r="Z159">
            <v>-6.8918096775356652E-3</v>
          </cell>
          <cell r="AA159">
            <v>-1.3662360274371288E-3</v>
          </cell>
          <cell r="AB159">
            <v>-3.3913756487818913E-3</v>
          </cell>
          <cell r="AC159">
            <v>3.7434058788606062E-2</v>
          </cell>
          <cell r="AD159">
            <v>5.9626010383492245E-3</v>
          </cell>
          <cell r="AE159">
            <v>9.6244114728668562E-3</v>
          </cell>
          <cell r="AF159">
            <v>1.7100131473596347E-3</v>
          </cell>
          <cell r="AG159">
            <v>3.2076779816355705E-3</v>
          </cell>
          <cell r="AH159">
            <v>-3.4368042780890118E-3</v>
          </cell>
          <cell r="AI159">
            <v>8.089004456606208E-3</v>
          </cell>
          <cell r="AJ159">
            <v>1.3451706862121493E-2</v>
          </cell>
          <cell r="AK159">
            <v>5.4541152133920079E-3</v>
          </cell>
          <cell r="AL159">
            <v>1.1836006133347787E-4</v>
          </cell>
          <cell r="AM159">
            <v>-7.106621457365625E-3</v>
          </cell>
          <cell r="AN159">
            <v>2.9919660646182678E-3</v>
          </cell>
          <cell r="AO159">
            <v>-2.4370181654806977E-3</v>
          </cell>
          <cell r="AP159">
            <v>1.4701826757699155E-2</v>
          </cell>
          <cell r="AQ159" t="e">
            <v>#DIV/0!</v>
          </cell>
          <cell r="AR159" t="e">
            <v>#DIV/0!</v>
          </cell>
          <cell r="AS159" t="e">
            <v>#DIV/0!</v>
          </cell>
          <cell r="AT159" t="e">
            <v>#DIV/0!</v>
          </cell>
          <cell r="AU159" t="e">
            <v>#DIV/0!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G160">
            <v>158</v>
          </cell>
          <cell r="H160" t="str">
            <v>Target (Budget) %Var</v>
          </cell>
          <cell r="I160">
            <v>0</v>
          </cell>
          <cell r="J160">
            <v>0</v>
          </cell>
          <cell r="K160">
            <v>0</v>
          </cell>
          <cell r="L160" t="e">
            <v>#DIV/0!</v>
          </cell>
          <cell r="M160" t="e">
            <v>#DIV/0!</v>
          </cell>
          <cell r="N160" t="e">
            <v>#DIV/0!</v>
          </cell>
          <cell r="O160" t="e">
            <v>#DIV/0!</v>
          </cell>
          <cell r="P160" t="e">
            <v>#DIV/0!</v>
          </cell>
          <cell r="Q160" t="e">
            <v>#DIV/0!</v>
          </cell>
          <cell r="R160" t="e">
            <v>#DIV/0!</v>
          </cell>
          <cell r="S160" t="e">
            <v>#DIV/0!</v>
          </cell>
          <cell r="T160" t="e">
            <v>#DIV/0!</v>
          </cell>
          <cell r="U160" t="e">
            <v>#DIV/0!</v>
          </cell>
          <cell r="V160" t="e">
            <v>#DIV/0!</v>
          </cell>
          <cell r="W160" t="e">
            <v>#DIV/0!</v>
          </cell>
          <cell r="X160">
            <v>-8.2826082687406065E-3</v>
          </cell>
          <cell r="Y160">
            <v>-1.2474534763646655E-2</v>
          </cell>
          <cell r="Z160">
            <v>-7.8174277409154905E-3</v>
          </cell>
          <cell r="AA160">
            <v>-1.4984872110612301E-3</v>
          </cell>
          <cell r="AB160">
            <v>-4.153285246002213E-3</v>
          </cell>
          <cell r="AC160">
            <v>4.7409536405011547E-2</v>
          </cell>
          <cell r="AD160">
            <v>7.1803295676006384E-3</v>
          </cell>
          <cell r="AE160">
            <v>1.0650673228655228E-2</v>
          </cell>
          <cell r="AF160">
            <v>1.888962022557999E-3</v>
          </cell>
          <cell r="AG160">
            <v>3.5728063636440719E-3</v>
          </cell>
          <cell r="AH160">
            <v>-3.9746676107234357E-3</v>
          </cell>
          <cell r="AI160">
            <v>9.171934709431246E-3</v>
          </cell>
          <cell r="AJ160">
            <v>1.6046236584788234E-2</v>
          </cell>
          <cell r="AK160">
            <v>6.2039513645999987E-3</v>
          </cell>
          <cell r="AL160">
            <v>1.3531445329111527E-4</v>
          </cell>
          <cell r="AM160">
            <v>-7.8062375489018334E-3</v>
          </cell>
          <cell r="AN160">
            <v>3.6794256386074816E-3</v>
          </cell>
          <cell r="AO160">
            <v>-2.9467346725068578E-3</v>
          </cell>
          <cell r="AP160">
            <v>1.7578130824644517E-2</v>
          </cell>
          <cell r="AQ160" t="e">
            <v>#DIV/0!</v>
          </cell>
          <cell r="AR160" t="e">
            <v>#DIV/0!</v>
          </cell>
          <cell r="AS160" t="e">
            <v>#DIV/0!</v>
          </cell>
          <cell r="AT160" t="e">
            <v>#DIV/0!</v>
          </cell>
          <cell r="AU160" t="e">
            <v>#DIV/0!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G161">
            <v>159</v>
          </cell>
          <cell r="H161" t="str">
            <v>YTD Actual</v>
          </cell>
          <cell r="I161">
            <v>0</v>
          </cell>
          <cell r="J161">
            <v>0</v>
          </cell>
          <cell r="K161">
            <v>0</v>
          </cell>
          <cell r="L161" t="e">
            <v>#DIV/0!</v>
          </cell>
          <cell r="M161" t="e">
            <v>#DIV/0!</v>
          </cell>
          <cell r="N161" t="e">
            <v>#DIV/0!</v>
          </cell>
          <cell r="O161" t="e">
            <v>#DIV/0!</v>
          </cell>
          <cell r="P161" t="e">
            <v>#DIV/0!</v>
          </cell>
          <cell r="Q161" t="e">
            <v>#DIV/0!</v>
          </cell>
          <cell r="R161" t="e">
            <v>#DIV/0!</v>
          </cell>
          <cell r="S161" t="e">
            <v>#DIV/0!</v>
          </cell>
          <cell r="T161" t="e">
            <v>#DIV/0!</v>
          </cell>
          <cell r="U161" t="e">
            <v>#DIV/0!</v>
          </cell>
          <cell r="V161" t="e">
            <v>#DIV/0!</v>
          </cell>
          <cell r="W161" t="e">
            <v>#DIV/0!</v>
          </cell>
          <cell r="X161">
            <v>0.83831005420543458</v>
          </cell>
          <cell r="Y161">
            <v>0.85787937169215156</v>
          </cell>
          <cell r="Z161">
            <v>0.86357892328980068</v>
          </cell>
          <cell r="AA161">
            <v>0.87568454762848769</v>
          </cell>
          <cell r="AB161">
            <v>0.86383807179431649</v>
          </cell>
          <cell r="AC161">
            <v>0.8575408821019832</v>
          </cell>
          <cell r="AD161">
            <v>0.85448312049829267</v>
          </cell>
          <cell r="AE161">
            <v>0.86140365446072209</v>
          </cell>
          <cell r="AF161">
            <v>0.86649280413770779</v>
          </cell>
          <cell r="AG161">
            <v>0.86999136872723926</v>
          </cell>
          <cell r="AH161">
            <v>0.86921464807808968</v>
          </cell>
          <cell r="AI161">
            <v>0.87092529259804075</v>
          </cell>
          <cell r="AJ161">
            <v>0.85176085125512235</v>
          </cell>
          <cell r="AK161">
            <v>0.86760700693627668</v>
          </cell>
          <cell r="AL161">
            <v>0.87002182426546337</v>
          </cell>
          <cell r="AM161">
            <v>0.87840039144810522</v>
          </cell>
          <cell r="AN161">
            <v>0.86619014041491404</v>
          </cell>
          <cell r="AO161">
            <v>0.85912214265582276</v>
          </cell>
          <cell r="AP161">
            <v>0.85801507763193641</v>
          </cell>
          <cell r="AQ161">
            <v>0.85801507763193641</v>
          </cell>
          <cell r="AR161">
            <v>0.85801507763193641</v>
          </cell>
          <cell r="AS161">
            <v>0.85801507763193641</v>
          </cell>
          <cell r="AT161">
            <v>0.85801507763193641</v>
          </cell>
          <cell r="AU161">
            <v>0.85801507763193641</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G162">
            <v>160</v>
          </cell>
          <cell r="H162" t="str">
            <v>YTD Target (Budget)</v>
          </cell>
          <cell r="I162">
            <v>0</v>
          </cell>
          <cell r="J162">
            <v>0</v>
          </cell>
          <cell r="K162">
            <v>0</v>
          </cell>
          <cell r="L162" t="e">
            <v>#DIV/0!</v>
          </cell>
          <cell r="M162" t="e">
            <v>#DIV/0!</v>
          </cell>
          <cell r="N162" t="e">
            <v>#DIV/0!</v>
          </cell>
          <cell r="O162" t="e">
            <v>#DIV/0!</v>
          </cell>
          <cell r="P162" t="e">
            <v>#DIV/0!</v>
          </cell>
          <cell r="Q162" t="e">
            <v>#DIV/0!</v>
          </cell>
          <cell r="R162" t="e">
            <v>#DIV/0!</v>
          </cell>
          <cell r="S162" t="e">
            <v>#DIV/0!</v>
          </cell>
          <cell r="T162" t="e">
            <v>#DIV/0!</v>
          </cell>
          <cell r="U162" t="e">
            <v>#DIV/0!</v>
          </cell>
          <cell r="V162" t="e">
            <v>#DIV/0!</v>
          </cell>
          <cell r="W162" t="e">
            <v>#DIV/0!</v>
          </cell>
          <cell r="X162">
            <v>0.84531143770906469</v>
          </cell>
          <cell r="Y162">
            <v>0.86751732654901081</v>
          </cell>
          <cell r="Z162">
            <v>0.87211229961351111</v>
          </cell>
          <cell r="AA162">
            <v>0.88242999521310694</v>
          </cell>
          <cell r="AB162">
            <v>0.86965887985886658</v>
          </cell>
          <cell r="AC162">
            <v>0.8562256407208253</v>
          </cell>
          <cell r="AD162">
            <v>0.85229362485064375</v>
          </cell>
          <cell r="AE162">
            <v>0.85824532100932471</v>
          </cell>
          <cell r="AF162">
            <v>0.86334394181530327</v>
          </cell>
          <cell r="AG162">
            <v>0.86680445144791363</v>
          </cell>
          <cell r="AH162">
            <v>0.86661397589601485</v>
          </cell>
          <cell r="AI162">
            <v>0.86777982947530619</v>
          </cell>
          <cell r="AJ162">
            <v>0.83830914439300086</v>
          </cell>
          <cell r="AK162">
            <v>0.85787872789506103</v>
          </cell>
          <cell r="AL162">
            <v>0.86356797614434477</v>
          </cell>
          <cell r="AM162">
            <v>0.87565985462508555</v>
          </cell>
          <cell r="AN162">
            <v>0.86383120155907522</v>
          </cell>
          <cell r="AO162">
            <v>0.85754098117819766</v>
          </cell>
          <cell r="AP162">
            <v>0.85448561317837812</v>
          </cell>
          <cell r="AQ162">
            <v>0.86140104529339079</v>
          </cell>
          <cell r="AR162">
            <v>0.86648734470395072</v>
          </cell>
          <cell r="AS162">
            <v>0.86998452147175021</v>
          </cell>
          <cell r="AT162">
            <v>0.86920880092701835</v>
          </cell>
          <cell r="AU162">
            <v>0.87091913228078099</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G163">
            <v>161</v>
          </cell>
          <cell r="H163" t="str">
            <v>YTD Target (Budget) Var</v>
          </cell>
          <cell r="I163">
            <v>0</v>
          </cell>
          <cell r="J163">
            <v>0</v>
          </cell>
          <cell r="K163">
            <v>0</v>
          </cell>
          <cell r="L163" t="e">
            <v>#DIV/0!</v>
          </cell>
          <cell r="M163" t="e">
            <v>#DIV/0!</v>
          </cell>
          <cell r="N163" t="e">
            <v>#DIV/0!</v>
          </cell>
          <cell r="O163" t="e">
            <v>#DIV/0!</v>
          </cell>
          <cell r="P163" t="e">
            <v>#DIV/0!</v>
          </cell>
          <cell r="Q163" t="e">
            <v>#DIV/0!</v>
          </cell>
          <cell r="R163" t="e">
            <v>#DIV/0!</v>
          </cell>
          <cell r="S163" t="e">
            <v>#DIV/0!</v>
          </cell>
          <cell r="T163" t="e">
            <v>#DIV/0!</v>
          </cell>
          <cell r="U163" t="e">
            <v>#DIV/0!</v>
          </cell>
          <cell r="V163" t="e">
            <v>#DIV/0!</v>
          </cell>
          <cell r="W163" t="e">
            <v>#DIV/0!</v>
          </cell>
          <cell r="X163">
            <v>-7.0013835036301098E-3</v>
          </cell>
          <cell r="Y163">
            <v>-9.6379548568592543E-3</v>
          </cell>
          <cell r="Z163">
            <v>-8.5333763237104288E-3</v>
          </cell>
          <cell r="AA163">
            <v>-6.7454475846192574E-3</v>
          </cell>
          <cell r="AB163">
            <v>-5.8208080645500981E-3</v>
          </cell>
          <cell r="AC163">
            <v>1.3152413811579056E-3</v>
          </cell>
          <cell r="AD163">
            <v>2.1894956476489202E-3</v>
          </cell>
          <cell r="AE163">
            <v>3.1583334513973771E-3</v>
          </cell>
          <cell r="AF163">
            <v>3.148862322404522E-3</v>
          </cell>
          <cell r="AG163">
            <v>3.1869172793256295E-3</v>
          </cell>
          <cell r="AH163">
            <v>2.6006721820748258E-3</v>
          </cell>
          <cell r="AI163">
            <v>3.1454631227345597E-3</v>
          </cell>
          <cell r="AJ163">
            <v>1.3451706862121493E-2</v>
          </cell>
          <cell r="AK163">
            <v>9.7282790412156483E-3</v>
          </cell>
          <cell r="AL163">
            <v>6.4538481211185994E-3</v>
          </cell>
          <cell r="AM163">
            <v>2.7405368230196681E-3</v>
          </cell>
          <cell r="AN163">
            <v>2.3589388558388213E-3</v>
          </cell>
          <cell r="AO163">
            <v>1.5811614776251037E-3</v>
          </cell>
          <cell r="AP163">
            <v>3.5294644535582842E-3</v>
          </cell>
          <cell r="AQ163">
            <v>-3.385967661454381E-3</v>
          </cell>
          <cell r="AR163">
            <v>-8.4722670720143167E-3</v>
          </cell>
          <cell r="AS163">
            <v>-1.1969443839813798E-2</v>
          </cell>
          <cell r="AT163">
            <v>-1.1193723295081948E-2</v>
          </cell>
          <cell r="AU163">
            <v>-1.2904054648844587E-2</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G164">
            <v>162</v>
          </cell>
          <cell r="H164" t="str">
            <v>YTD %Var</v>
          </cell>
          <cell r="I164">
            <v>0</v>
          </cell>
          <cell r="J164">
            <v>0</v>
          </cell>
          <cell r="K164">
            <v>0</v>
          </cell>
          <cell r="L164" t="e">
            <v>#DIV/0!</v>
          </cell>
          <cell r="M164" t="e">
            <v>#DIV/0!</v>
          </cell>
          <cell r="N164" t="e">
            <v>#DIV/0!</v>
          </cell>
          <cell r="O164" t="e">
            <v>#DIV/0!</v>
          </cell>
          <cell r="P164" t="e">
            <v>#DIV/0!</v>
          </cell>
          <cell r="Q164" t="e">
            <v>#DIV/0!</v>
          </cell>
          <cell r="R164" t="e">
            <v>#DIV/0!</v>
          </cell>
          <cell r="S164" t="e">
            <v>#DIV/0!</v>
          </cell>
          <cell r="T164" t="e">
            <v>#DIV/0!</v>
          </cell>
          <cell r="U164" t="e">
            <v>#DIV/0!</v>
          </cell>
          <cell r="V164" t="e">
            <v>#DIV/0!</v>
          </cell>
          <cell r="W164" t="e">
            <v>#DIV/0!</v>
          </cell>
          <cell r="X164">
            <v>-8.2826082687406065E-3</v>
          </cell>
          <cell r="Y164">
            <v>-1.110981252120819E-2</v>
          </cell>
          <cell r="Z164">
            <v>-9.7847219073645842E-3</v>
          </cell>
          <cell r="AA164">
            <v>-7.644173046259869E-3</v>
          </cell>
          <cell r="AB164">
            <v>-6.6932083364626069E-3</v>
          </cell>
          <cell r="AC164">
            <v>1.5360920283240427E-3</v>
          </cell>
          <cell r="AD164">
            <v>2.5689452364877283E-3</v>
          </cell>
          <cell r="AE164">
            <v>3.6799891290791695E-3</v>
          </cell>
          <cell r="AF164">
            <v>3.6472860581885729E-3</v>
          </cell>
          <cell r="AG164">
            <v>3.676627726129221E-3</v>
          </cell>
          <cell r="AH164">
            <v>3.0009580440771484E-3</v>
          </cell>
          <cell r="AI164">
            <v>3.6247248621075123E-3</v>
          </cell>
          <cell r="AJ164">
            <v>1.6046236584788234E-2</v>
          </cell>
          <cell r="AK164">
            <v>1.1339923377148533E-2</v>
          </cell>
          <cell r="AL164">
            <v>7.4734685622939809E-3</v>
          </cell>
          <cell r="AM164">
            <v>3.1296819290556961E-3</v>
          </cell>
          <cell r="AN164">
            <v>2.7307868152728443E-3</v>
          </cell>
          <cell r="AO164">
            <v>1.843831971100326E-3</v>
          </cell>
          <cell r="AP164">
            <v>4.130513608567323E-3</v>
          </cell>
          <cell r="AQ164">
            <v>-3.9307679970380458E-3</v>
          </cell>
          <cell r="AR164">
            <v>-9.7777158821736772E-3</v>
          </cell>
          <cell r="AS164">
            <v>-1.3758226203341096E-2</v>
          </cell>
          <cell r="AT164">
            <v>-1.2878060234944411E-2</v>
          </cell>
          <cell r="AU164">
            <v>-1.4816593378826324E-2</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G165">
            <v>163</v>
          </cell>
          <cell r="H165" t="str">
            <v>4 Month Actual</v>
          </cell>
          <cell r="I165">
            <v>0</v>
          </cell>
          <cell r="J165">
            <v>0</v>
          </cell>
          <cell r="K165">
            <v>0</v>
          </cell>
          <cell r="L165" t="e">
            <v>#DIV/0!</v>
          </cell>
          <cell r="M165" t="e">
            <v>#DIV/0!</v>
          </cell>
          <cell r="N165" t="e">
            <v>#DIV/0!</v>
          </cell>
          <cell r="O165" t="e">
            <v>#DIV/0!</v>
          </cell>
          <cell r="P165" t="e">
            <v>#DIV/0!</v>
          </cell>
          <cell r="Q165" t="e">
            <v>#DIV/0!</v>
          </cell>
          <cell r="R165" t="e">
            <v>#DIV/0!</v>
          </cell>
          <cell r="S165" t="e">
            <v>#DIV/0!</v>
          </cell>
          <cell r="T165" t="e">
            <v>#DIV/0!</v>
          </cell>
          <cell r="U165" t="e">
            <v>#DIV/0!</v>
          </cell>
          <cell r="V165" t="e">
            <v>#DIV/0!</v>
          </cell>
          <cell r="W165" t="e">
            <v>#DIV/0!</v>
          </cell>
          <cell r="X165">
            <v>0.83831005420543458</v>
          </cell>
          <cell r="Y165">
            <v>0.85787937169215156</v>
          </cell>
          <cell r="Z165">
            <v>0.86357892328980068</v>
          </cell>
          <cell r="AA165">
            <v>0.87568454762848769</v>
          </cell>
          <cell r="AB165">
            <v>0.87049630775117515</v>
          </cell>
          <cell r="AC165">
            <v>0.85737465278990244</v>
          </cell>
          <cell r="AD165">
            <v>0.84772858659550998</v>
          </cell>
          <cell r="AE165">
            <v>0.84670732674427684</v>
          </cell>
          <cell r="AF165">
            <v>0.86981518496070509</v>
          </cell>
          <cell r="AG165">
            <v>0.8888695948084081</v>
          </cell>
          <cell r="AH165">
            <v>0.89560958341096986</v>
          </cell>
          <cell r="AI165">
            <v>0.89005087413382467</v>
          </cell>
          <cell r="AJ165">
            <v>0.87598745000253153</v>
          </cell>
          <cell r="AK165">
            <v>0.87163028514988283</v>
          </cell>
          <cell r="AL165">
            <v>0.87499079633246024</v>
          </cell>
          <cell r="AM165">
            <v>0.87840039144810522</v>
          </cell>
          <cell r="AN165">
            <v>0.86995538889456436</v>
          </cell>
          <cell r="AO165">
            <v>0.85490367849538373</v>
          </cell>
          <cell r="AP165">
            <v>0.84893937558695554</v>
          </cell>
          <cell r="AQ165">
            <v>0.83037699078957394</v>
          </cell>
          <cell r="AR165">
            <v>0.83740956076720863</v>
          </cell>
          <cell r="AS165">
            <v>0.85107213850251862</v>
          </cell>
          <cell r="AT165" t="e">
            <v>#DIV/0!</v>
          </cell>
          <cell r="AU165" t="e">
            <v>#DIV/0!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G166">
            <v>164</v>
          </cell>
          <cell r="H166" t="str">
            <v>4 Month Target (Budget)</v>
          </cell>
          <cell r="I166">
            <v>0</v>
          </cell>
          <cell r="J166">
            <v>0</v>
          </cell>
          <cell r="K166">
            <v>0</v>
          </cell>
          <cell r="L166" t="e">
            <v>#DIV/0!</v>
          </cell>
          <cell r="M166" t="e">
            <v>#DIV/0!</v>
          </cell>
          <cell r="N166" t="e">
            <v>#DIV/0!</v>
          </cell>
          <cell r="O166" t="e">
            <v>#DIV/0!</v>
          </cell>
          <cell r="P166" t="e">
            <v>#DIV/0!</v>
          </cell>
          <cell r="Q166" t="e">
            <v>#DIV/0!</v>
          </cell>
          <cell r="R166" t="e">
            <v>#DIV/0!</v>
          </cell>
          <cell r="S166" t="e">
            <v>#DIV/0!</v>
          </cell>
          <cell r="T166" t="e">
            <v>#DIV/0!</v>
          </cell>
          <cell r="U166" t="e">
            <v>#DIV/0!</v>
          </cell>
          <cell r="V166" t="e">
            <v>#DIV/0!</v>
          </cell>
          <cell r="W166" t="e">
            <v>#DIV/0!</v>
          </cell>
          <cell r="X166">
            <v>0.84531143770906469</v>
          </cell>
          <cell r="Y166">
            <v>0.86751732654901081</v>
          </cell>
          <cell r="Z166">
            <v>0.87211229961351111</v>
          </cell>
          <cell r="AA166">
            <v>0.88242999521310694</v>
          </cell>
          <cell r="AB166">
            <v>0.87586575013056378</v>
          </cell>
          <cell r="AC166">
            <v>0.85055604231343351</v>
          </cell>
          <cell r="AD166">
            <v>0.83790347569747081</v>
          </cell>
          <cell r="AE166">
            <v>0.83378822464901137</v>
          </cell>
          <cell r="AF166">
            <v>0.85543338349760933</v>
          </cell>
          <cell r="AG166">
            <v>0.88274448675025685</v>
          </cell>
          <cell r="AH166">
            <v>0.89269912735705947</v>
          </cell>
          <cell r="AI166">
            <v>0.88754944482080866</v>
          </cell>
          <cell r="AJ166">
            <v>0.87155901537543778</v>
          </cell>
          <cell r="AK166">
            <v>0.86586621208204895</v>
          </cell>
          <cell r="AL166">
            <v>0.86840751904227809</v>
          </cell>
          <cell r="AM166">
            <v>0.87565985462508555</v>
          </cell>
          <cell r="AN166">
            <v>0.87050202099957885</v>
          </cell>
          <cell r="AO166">
            <v>0.85737465278990233</v>
          </cell>
          <cell r="AP166">
            <v>0.84772858659551009</v>
          </cell>
          <cell r="AQ166">
            <v>0.84670732674427673</v>
          </cell>
          <cell r="AR166">
            <v>0.86981518496070509</v>
          </cell>
          <cell r="AS166">
            <v>0.88886959480840821</v>
          </cell>
          <cell r="AT166">
            <v>0.89560958341096986</v>
          </cell>
          <cell r="AU166">
            <v>0.89005087413382455</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G167">
            <v>165</v>
          </cell>
          <cell r="H167" t="str">
            <v>4 Month Target (Budget) Var</v>
          </cell>
          <cell r="I167">
            <v>0</v>
          </cell>
          <cell r="J167">
            <v>0</v>
          </cell>
          <cell r="K167">
            <v>0</v>
          </cell>
          <cell r="L167" t="e">
            <v>#DIV/0!</v>
          </cell>
          <cell r="M167" t="e">
            <v>#DIV/0!</v>
          </cell>
          <cell r="N167" t="e">
            <v>#DIV/0!</v>
          </cell>
          <cell r="O167" t="e">
            <v>#DIV/0!</v>
          </cell>
          <cell r="P167" t="e">
            <v>#DIV/0!</v>
          </cell>
          <cell r="Q167" t="e">
            <v>#DIV/0!</v>
          </cell>
          <cell r="R167" t="e">
            <v>#DIV/0!</v>
          </cell>
          <cell r="S167" t="e">
            <v>#DIV/0!</v>
          </cell>
          <cell r="T167" t="e">
            <v>#DIV/0!</v>
          </cell>
          <cell r="U167" t="e">
            <v>#DIV/0!</v>
          </cell>
          <cell r="V167" t="e">
            <v>#DIV/0!</v>
          </cell>
          <cell r="W167" t="e">
            <v>#DIV/0!</v>
          </cell>
          <cell r="X167">
            <v>-7.0013835036301098E-3</v>
          </cell>
          <cell r="Y167">
            <v>-9.6379548568592543E-3</v>
          </cell>
          <cell r="Z167">
            <v>-8.5333763237104288E-3</v>
          </cell>
          <cell r="AA167">
            <v>-6.7454475846192574E-3</v>
          </cell>
          <cell r="AB167">
            <v>-5.3694423793886337E-3</v>
          </cell>
          <cell r="AC167">
            <v>6.8186104764689226E-3</v>
          </cell>
          <cell r="AD167">
            <v>9.8251108980391688E-3</v>
          </cell>
          <cell r="AE167">
            <v>1.2919102095265478E-2</v>
          </cell>
          <cell r="AF167">
            <v>1.4381801463095756E-2</v>
          </cell>
          <cell r="AG167">
            <v>6.1251080581512518E-3</v>
          </cell>
          <cell r="AH167">
            <v>2.9104560539103819E-3</v>
          </cell>
          <cell r="AI167">
            <v>2.5014293130160015E-3</v>
          </cell>
          <cell r="AJ167">
            <v>4.4284346270937469E-3</v>
          </cell>
          <cell r="AK167">
            <v>5.7640730678338858E-3</v>
          </cell>
          <cell r="AL167">
            <v>6.5832772901821546E-3</v>
          </cell>
          <cell r="AM167">
            <v>2.7405368230196681E-3</v>
          </cell>
          <cell r="AN167">
            <v>-5.4663210501448845E-4</v>
          </cell>
          <cell r="AO167">
            <v>-2.4709742945185909E-3</v>
          </cell>
          <cell r="AP167">
            <v>1.2107889914454439E-3</v>
          </cell>
          <cell r="AQ167">
            <v>-1.633033595470279E-2</v>
          </cell>
          <cell r="AR167">
            <v>-3.2405624193496463E-2</v>
          </cell>
          <cell r="AS167">
            <v>-3.7797456305889598E-2</v>
          </cell>
          <cell r="AT167" t="e">
            <v>#DIV/0!</v>
          </cell>
          <cell r="AU167" t="e">
            <v>#DIV/0!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G168">
            <v>166</v>
          </cell>
          <cell r="H168" t="str">
            <v>4 Month Target (Budget) % Var</v>
          </cell>
          <cell r="I168">
            <v>0</v>
          </cell>
          <cell r="J168">
            <v>0</v>
          </cell>
          <cell r="K168">
            <v>0</v>
          </cell>
          <cell r="L168" t="e">
            <v>#DIV/0!</v>
          </cell>
          <cell r="M168" t="e">
            <v>#DIV/0!</v>
          </cell>
          <cell r="N168" t="e">
            <v>#DIV/0!</v>
          </cell>
          <cell r="O168" t="e">
            <v>#DIV/0!</v>
          </cell>
          <cell r="P168" t="e">
            <v>#DIV/0!</v>
          </cell>
          <cell r="Q168" t="e">
            <v>#DIV/0!</v>
          </cell>
          <cell r="R168" t="e">
            <v>#DIV/0!</v>
          </cell>
          <cell r="S168" t="e">
            <v>#DIV/0!</v>
          </cell>
          <cell r="T168" t="e">
            <v>#DIV/0!</v>
          </cell>
          <cell r="U168" t="e">
            <v>#DIV/0!</v>
          </cell>
          <cell r="V168" t="e">
            <v>#DIV/0!</v>
          </cell>
          <cell r="W168" t="e">
            <v>#DIV/0!</v>
          </cell>
          <cell r="X168">
            <v>-8.2826082687406065E-3</v>
          </cell>
          <cell r="Y168">
            <v>-1.110981252120819E-2</v>
          </cell>
          <cell r="Z168">
            <v>-9.7847219073645842E-3</v>
          </cell>
          <cell r="AA168">
            <v>-7.644173046259869E-3</v>
          </cell>
          <cell r="AB168">
            <v>-6.1304399430942699E-3</v>
          </cell>
          <cell r="AC168">
            <v>8.0166504465983626E-3</v>
          </cell>
          <cell r="AD168">
            <v>1.1725826641142342E-2</v>
          </cell>
          <cell r="AE168">
            <v>1.5494464557476641E-2</v>
          </cell>
          <cell r="AF168">
            <v>1.6812298585183693E-2</v>
          </cell>
          <cell r="AG168">
            <v>6.9387100685276183E-3</v>
          </cell>
          <cell r="AH168">
            <v>3.260287777503635E-3</v>
          </cell>
          <cell r="AI168">
            <v>2.8183548844662129E-3</v>
          </cell>
          <cell r="AJ168">
            <v>5.0810496466336579E-3</v>
          </cell>
          <cell r="AK168">
            <v>6.657001956426596E-3</v>
          </cell>
          <cell r="AL168">
            <v>7.5808616874281694E-3</v>
          </cell>
          <cell r="AM168">
            <v>3.1296819290556961E-3</v>
          </cell>
          <cell r="AN168">
            <v>-6.2795041462029291E-4</v>
          </cell>
          <cell r="AO168">
            <v>-2.8820239628941976E-3</v>
          </cell>
          <cell r="AP168">
            <v>1.4282743446319176E-3</v>
          </cell>
          <cell r="AQ168">
            <v>-1.9286872144469929E-2</v>
          </cell>
          <cell r="AR168">
            <v>-3.7255758181504298E-2</v>
          </cell>
          <cell r="AS168">
            <v>-4.2523061342914614E-2</v>
          </cell>
          <cell r="AT168" t="e">
            <v>#DIV/0!</v>
          </cell>
          <cell r="AU168" t="e">
            <v>#DIV/0!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G169">
            <v>167</v>
          </cell>
          <cell r="H169" t="str">
            <v>Actual</v>
          </cell>
          <cell r="I169">
            <v>0</v>
          </cell>
          <cell r="J169">
            <v>0</v>
          </cell>
          <cell r="K169">
            <v>0</v>
          </cell>
          <cell r="L169">
            <v>2.5838738712066777E-2</v>
          </cell>
          <cell r="M169">
            <v>2.939024901240057E-2</v>
          </cell>
          <cell r="N169">
            <v>4.210061865528545E-2</v>
          </cell>
          <cell r="O169">
            <v>4.1031948151100867E-2</v>
          </cell>
          <cell r="P169">
            <v>4.2785449555145592E-2</v>
          </cell>
          <cell r="Q169">
            <v>3.8510568377565356E-2</v>
          </cell>
          <cell r="R169">
            <v>3.386464249350974E-2</v>
          </cell>
          <cell r="S169">
            <v>4.5113543779000127E-2</v>
          </cell>
          <cell r="T169">
            <v>3.772248799933256E-2</v>
          </cell>
          <cell r="U169">
            <v>2.7441404752764981E-2</v>
          </cell>
          <cell r="V169">
            <v>3.6291493790323731E-2</v>
          </cell>
          <cell r="W169">
            <v>2.4629779464914448E-2</v>
          </cell>
          <cell r="X169">
            <v>3.2403729914110627E-2</v>
          </cell>
          <cell r="Y169">
            <v>3.0879042981241635E-2</v>
          </cell>
          <cell r="Z169">
            <v>4.513130416166039E-2</v>
          </cell>
          <cell r="AA169">
            <v>4.7890827058996138E-2</v>
          </cell>
          <cell r="AB169">
            <v>4.3513129921243239E-2</v>
          </cell>
          <cell r="AC169">
            <v>5.0883466301187515E-2</v>
          </cell>
          <cell r="AD169">
            <v>4.5984056603079172E-2</v>
          </cell>
          <cell r="AE169">
            <v>4.4879455068322784E-2</v>
          </cell>
          <cell r="AF169">
            <v>4.1252282447067128E-2</v>
          </cell>
          <cell r="AG169">
            <v>2.6484903434851843E-2</v>
          </cell>
          <cell r="AH169">
            <v>3.9815794427814466E-2</v>
          </cell>
          <cell r="AI169">
            <v>3.4916586608323856E-2</v>
          </cell>
          <cell r="AJ169">
            <v>2.9023934508930649E-2</v>
          </cell>
          <cell r="AK169">
            <v>2.6684287519930124E-2</v>
          </cell>
          <cell r="AL169">
            <v>3.6203153646440431E-2</v>
          </cell>
          <cell r="AM169">
            <v>4.885375613553148E-2</v>
          </cell>
          <cell r="AN169">
            <v>4.0460536336772837E-2</v>
          </cell>
          <cell r="AO169">
            <v>4.652133891469299E-2</v>
          </cell>
          <cell r="AP169">
            <v>3.5919521354828579E-2</v>
          </cell>
          <cell r="AQ169" t="e">
            <v>#DIV/0!</v>
          </cell>
          <cell r="AR169" t="e">
            <v>#DIV/0!</v>
          </cell>
          <cell r="AS169" t="e">
            <v>#DIV/0!</v>
          </cell>
          <cell r="AT169" t="e">
            <v>#DIV/0!</v>
          </cell>
          <cell r="AU169" t="e">
            <v>#DIV/0!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G170">
            <v>168</v>
          </cell>
          <cell r="H170" t="str">
            <v>Target (Budget)</v>
          </cell>
          <cell r="I170">
            <v>0</v>
          </cell>
          <cell r="J170">
            <v>0</v>
          </cell>
          <cell r="K170">
            <v>0</v>
          </cell>
          <cell r="L170">
            <v>2.1244759682792189E-2</v>
          </cell>
          <cell r="M170">
            <v>2.2160488059453188E-2</v>
          </cell>
          <cell r="N170">
            <v>4.2879228163495375E-2</v>
          </cell>
          <cell r="O170">
            <v>4.0377849454268588E-2</v>
          </cell>
          <cell r="P170">
            <v>4.324282569394261E-2</v>
          </cell>
          <cell r="Q170">
            <v>2.7949138798246665E-2</v>
          </cell>
          <cell r="R170">
            <v>2.8555261778283086E-2</v>
          </cell>
          <cell r="S170">
            <v>2.7585170910743917E-2</v>
          </cell>
          <cell r="T170">
            <v>2.1672009413212592E-2</v>
          </cell>
          <cell r="U170">
            <v>2.7496228400906587E-2</v>
          </cell>
          <cell r="V170">
            <v>2.6353839425866027E-2</v>
          </cell>
          <cell r="W170">
            <v>1.0599390009769699E-2</v>
          </cell>
          <cell r="X170">
            <v>2.4475485437223686E-2</v>
          </cell>
          <cell r="Y170">
            <v>2.5766578688802489E-2</v>
          </cell>
          <cell r="Z170">
            <v>3.7986003427177902E-2</v>
          </cell>
          <cell r="AA170">
            <v>2.8896799529727173E-2</v>
          </cell>
          <cell r="AB170">
            <v>4.5628213947990853E-2</v>
          </cell>
          <cell r="AC170">
            <v>3.4822410701694298E-2</v>
          </cell>
          <cell r="AD170">
            <v>2.4040323803766799E-2</v>
          </cell>
          <cell r="AE170">
            <v>2.5991494385124558E-2</v>
          </cell>
          <cell r="AF170">
            <v>2.8170442896357829E-2</v>
          </cell>
          <cell r="AG170">
            <v>2.3123540923553381E-2</v>
          </cell>
          <cell r="AH170">
            <v>2.3950180492679839E-2</v>
          </cell>
          <cell r="AI170">
            <v>1.8723099073823982E-2</v>
          </cell>
          <cell r="AJ170">
            <v>2.5483134696338405E-2</v>
          </cell>
          <cell r="AK170">
            <v>2.9069698360832816E-2</v>
          </cell>
          <cell r="AL170">
            <v>3.5686546429262722E-2</v>
          </cell>
          <cell r="AM170">
            <v>3.2865822086762912E-2</v>
          </cell>
          <cell r="AN170">
            <v>3.5731555611556075E-2</v>
          </cell>
          <cell r="AO170">
            <v>3.4902865038053059E-2</v>
          </cell>
          <cell r="AP170">
            <v>4.0480036759421682E-2</v>
          </cell>
          <cell r="AQ170" t="e">
            <v>#DIV/0!</v>
          </cell>
          <cell r="AR170" t="e">
            <v>#DIV/0!</v>
          </cell>
          <cell r="AS170" t="e">
            <v>#DIV/0!</v>
          </cell>
          <cell r="AT170" t="e">
            <v>#DIV/0!</v>
          </cell>
          <cell r="AU170" t="e">
            <v>#DIV/0!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G171">
            <v>169</v>
          </cell>
          <cell r="H171" t="str">
            <v>Target (Budget) Variance</v>
          </cell>
          <cell r="I171">
            <v>0</v>
          </cell>
          <cell r="J171">
            <v>0</v>
          </cell>
          <cell r="K171">
            <v>0</v>
          </cell>
          <cell r="L171">
            <v>4.5939790292745877E-3</v>
          </cell>
          <cell r="M171">
            <v>7.2297609529473825E-3</v>
          </cell>
          <cell r="N171">
            <v>-7.7860950820992508E-4</v>
          </cell>
          <cell r="O171">
            <v>6.5409869683227817E-4</v>
          </cell>
          <cell r="P171">
            <v>-4.5737613879701794E-4</v>
          </cell>
          <cell r="Q171">
            <v>1.0561429579318691E-2</v>
          </cell>
          <cell r="R171">
            <v>5.3093807152266546E-3</v>
          </cell>
          <cell r="S171">
            <v>1.752837286825621E-2</v>
          </cell>
          <cell r="T171">
            <v>1.6050478586119968E-2</v>
          </cell>
          <cell r="U171">
            <v>-5.4823648141605341E-5</v>
          </cell>
          <cell r="V171">
            <v>9.9376543644577042E-3</v>
          </cell>
          <cell r="W171">
            <v>1.4030389455144749E-2</v>
          </cell>
          <cell r="X171">
            <v>7.9282444768869406E-3</v>
          </cell>
          <cell r="Y171">
            <v>5.1124642924391464E-3</v>
          </cell>
          <cell r="Z171">
            <v>7.145300734482489E-3</v>
          </cell>
          <cell r="AA171">
            <v>1.8994027529268966E-2</v>
          </cell>
          <cell r="AB171">
            <v>-2.1150840267476143E-3</v>
          </cell>
          <cell r="AC171">
            <v>1.6061055599493217E-2</v>
          </cell>
          <cell r="AD171">
            <v>2.1943732799312374E-2</v>
          </cell>
          <cell r="AE171">
            <v>1.8887960683198226E-2</v>
          </cell>
          <cell r="AF171">
            <v>1.3081839550709299E-2</v>
          </cell>
          <cell r="AG171">
            <v>3.3613625112984616E-3</v>
          </cell>
          <cell r="AH171">
            <v>1.5865613935134627E-2</v>
          </cell>
          <cell r="AI171">
            <v>1.6193487534499874E-2</v>
          </cell>
          <cell r="AJ171">
            <v>3.5407998125922442E-3</v>
          </cell>
          <cell r="AK171">
            <v>-2.3854108409026922E-3</v>
          </cell>
          <cell r="AL171">
            <v>5.1660721717770863E-4</v>
          </cell>
          <cell r="AM171">
            <v>1.5987934048768568E-2</v>
          </cell>
          <cell r="AN171">
            <v>4.7289807252167623E-3</v>
          </cell>
          <cell r="AO171">
            <v>1.1618473876639931E-2</v>
          </cell>
          <cell r="AP171">
            <v>-4.5605154045931032E-3</v>
          </cell>
          <cell r="AQ171" t="e">
            <v>#DIV/0!</v>
          </cell>
          <cell r="AR171" t="e">
            <v>#DIV/0!</v>
          </cell>
          <cell r="AS171" t="e">
            <v>#DIV/0!</v>
          </cell>
          <cell r="AT171" t="e">
            <v>#DIV/0!</v>
          </cell>
          <cell r="AU171" t="e">
            <v>#DIV/0!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G172">
            <v>170</v>
          </cell>
          <cell r="H172" t="str">
            <v>Target (Budget) %Var</v>
          </cell>
          <cell r="I172">
            <v>0</v>
          </cell>
          <cell r="J172">
            <v>0</v>
          </cell>
          <cell r="K172">
            <v>0</v>
          </cell>
          <cell r="L172">
            <v>0.2162405740459194</v>
          </cell>
          <cell r="M172">
            <v>0.32624556523985587</v>
          </cell>
          <cell r="N172">
            <v>-1.8158197839782557E-2</v>
          </cell>
          <cell r="O172">
            <v>1.6199443647267584E-2</v>
          </cell>
          <cell r="P172">
            <v>-1.0576925338648405E-2</v>
          </cell>
          <cell r="Q172">
            <v>0.37788032237978086</v>
          </cell>
          <cell r="R172">
            <v>0.18593353324691134</v>
          </cell>
          <cell r="S172">
            <v>0.63542737962262297</v>
          </cell>
          <cell r="T172">
            <v>0.74060869391901463</v>
          </cell>
          <cell r="U172">
            <v>-1.9938606612606453E-3</v>
          </cell>
          <cell r="V172">
            <v>0.37708563841001463</v>
          </cell>
          <cell r="W172">
            <v>1.3236978205550149</v>
          </cell>
          <cell r="X172">
            <v>0.32392593385826063</v>
          </cell>
          <cell r="Y172">
            <v>0.19841455686396176</v>
          </cell>
          <cell r="Z172">
            <v>0.1881035141846544</v>
          </cell>
          <cell r="AA172">
            <v>0.65730557841636161</v>
          </cell>
          <cell r="AB172">
            <v>-4.6354740712807319E-2</v>
          </cell>
          <cell r="AC172">
            <v>0.46122756224662415</v>
          </cell>
          <cell r="AD172">
            <v>0.91278857050478179</v>
          </cell>
          <cell r="AE172">
            <v>0.72669775747900733</v>
          </cell>
          <cell r="AF172">
            <v>0.46438174929797277</v>
          </cell>
          <cell r="AG172">
            <v>0.14536538856272724</v>
          </cell>
          <cell r="AH172">
            <v>0.66244235361749404</v>
          </cell>
          <cell r="AI172">
            <v>0.86489354516845685</v>
          </cell>
          <cell r="AJ172">
            <v>0.13894679185999087</v>
          </cell>
          <cell r="AK172">
            <v>-8.2058327929425162E-2</v>
          </cell>
          <cell r="AL172">
            <v>1.447624578079358E-2</v>
          </cell>
          <cell r="AM172">
            <v>0.48646079828953653</v>
          </cell>
          <cell r="AN172">
            <v>0.13234746274767129</v>
          </cell>
          <cell r="AO172">
            <v>0.3328802338711398</v>
          </cell>
          <cell r="AP172">
            <v>-0.11266085136475694</v>
          </cell>
          <cell r="AQ172" t="e">
            <v>#DIV/0!</v>
          </cell>
          <cell r="AR172" t="e">
            <v>#DIV/0!</v>
          </cell>
          <cell r="AS172" t="e">
            <v>#DIV/0!</v>
          </cell>
          <cell r="AT172" t="e">
            <v>#DIV/0!</v>
          </cell>
          <cell r="AU172" t="e">
            <v>#DIV/0!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G173">
            <v>171</v>
          </cell>
          <cell r="H173" t="str">
            <v>YTD Actual</v>
          </cell>
          <cell r="I173">
            <v>0</v>
          </cell>
          <cell r="J173">
            <v>0</v>
          </cell>
          <cell r="K173">
            <v>0</v>
          </cell>
          <cell r="L173">
            <v>2.5838738712066777E-2</v>
          </cell>
          <cell r="M173">
            <v>2.7569778253817602E-2</v>
          </cell>
          <cell r="N173">
            <v>3.2508979743653091E-2</v>
          </cell>
          <cell r="O173">
            <v>3.4588560367421299E-2</v>
          </cell>
          <cell r="P173">
            <v>3.6680238958223997E-2</v>
          </cell>
          <cell r="Q173">
            <v>3.6971736415390262E-2</v>
          </cell>
          <cell r="R173">
            <v>3.6546664769705403E-2</v>
          </cell>
          <cell r="S173">
            <v>3.7582802913453874E-2</v>
          </cell>
          <cell r="T173">
            <v>3.7597264532741675E-2</v>
          </cell>
          <cell r="U173">
            <v>3.6640196458758899E-2</v>
          </cell>
          <cell r="V173">
            <v>3.6600698800674285E-2</v>
          </cell>
          <cell r="W173">
            <v>3.5683888212285124E-2</v>
          </cell>
          <cell r="X173">
            <v>3.2403729914110627E-2</v>
          </cell>
          <cell r="Y173">
            <v>3.20586570838403E-2</v>
          </cell>
          <cell r="Z173">
            <v>3.6421511358822586E-2</v>
          </cell>
          <cell r="AA173">
            <v>3.9968985886807605E-2</v>
          </cell>
          <cell r="AB173">
            <v>4.0635479403884407E-2</v>
          </cell>
          <cell r="AC173">
            <v>4.2294533080760151E-2</v>
          </cell>
          <cell r="AD173">
            <v>4.2999531069048587E-2</v>
          </cell>
          <cell r="AE173">
            <v>4.3056415499568956E-2</v>
          </cell>
          <cell r="AF173">
            <v>4.2861096745898761E-2</v>
          </cell>
          <cell r="AG173">
            <v>4.1241391589528976E-2</v>
          </cell>
          <cell r="AH173">
            <v>4.1084902872900016E-2</v>
          </cell>
          <cell r="AI173">
            <v>4.0596483365154229E-2</v>
          </cell>
          <cell r="AJ173">
            <v>2.9023934508930649E-2</v>
          </cell>
          <cell r="AK173">
            <v>2.8289635082106801E-2</v>
          </cell>
          <cell r="AL173">
            <v>3.0896925816599415E-2</v>
          </cell>
          <cell r="AM173">
            <v>3.6377154348803099E-2</v>
          </cell>
          <cell r="AN173">
            <v>3.7155595765735329E-2</v>
          </cell>
          <cell r="AO173">
            <v>3.8627839284547598E-2</v>
          </cell>
          <cell r="AP173">
            <v>3.8591133774126818E-2</v>
          </cell>
          <cell r="AQ173" t="e">
            <v>#DIV/0!</v>
          </cell>
          <cell r="AR173" t="e">
            <v>#DIV/0!</v>
          </cell>
          <cell r="AS173" t="e">
            <v>#DIV/0!</v>
          </cell>
          <cell r="AT173" t="e">
            <v>#DIV/0!</v>
          </cell>
          <cell r="AU173" t="e">
            <v>#DIV/0!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G174">
            <v>172</v>
          </cell>
          <cell r="H174" t="str">
            <v>YTD Target (Budget)</v>
          </cell>
          <cell r="I174">
            <v>0</v>
          </cell>
          <cell r="J174">
            <v>0</v>
          </cell>
          <cell r="K174">
            <v>0</v>
          </cell>
          <cell r="L174">
            <v>2.1244759682792189E-2</v>
          </cell>
          <cell r="M174">
            <v>1.5936923439322823E-2</v>
          </cell>
          <cell r="N174">
            <v>3.3493128913266855E-2</v>
          </cell>
          <cell r="O174">
            <v>3.5131833571291647E-2</v>
          </cell>
          <cell r="P174">
            <v>3.7134597814669802E-2</v>
          </cell>
          <cell r="Q174">
            <v>3.5692735179137423E-2</v>
          </cell>
          <cell r="R174">
            <v>3.4717991755489744E-2</v>
          </cell>
          <cell r="S174">
            <v>3.386907128729575E-2</v>
          </cell>
          <cell r="T174">
            <v>3.2558984380384626E-2</v>
          </cell>
          <cell r="U174">
            <v>3.2073788030966846E-2</v>
          </cell>
          <cell r="V174">
            <v>3.1427329356777528E-2</v>
          </cell>
          <cell r="W174">
            <v>2.9773621814669495E-2</v>
          </cell>
          <cell r="X174">
            <v>2.4475485437223686E-2</v>
          </cell>
          <cell r="Y174">
            <v>2.5106500443703474E-2</v>
          </cell>
          <cell r="Z174">
            <v>2.9412157564260098E-2</v>
          </cell>
          <cell r="AA174">
            <v>2.9262074863529525E-2</v>
          </cell>
          <cell r="AB174">
            <v>3.2599679773162395E-2</v>
          </cell>
          <cell r="AC174">
            <v>3.2935857293398721E-2</v>
          </cell>
          <cell r="AD174">
            <v>3.1716052160417806E-2</v>
          </cell>
          <cell r="AE174">
            <v>3.1023412580973991E-2</v>
          </cell>
          <cell r="AF174">
            <v>3.0717669470670821E-2</v>
          </cell>
          <cell r="AG174">
            <v>2.9988141153686788E-2</v>
          </cell>
          <cell r="AH174">
            <v>2.9325419866217655E-2</v>
          </cell>
          <cell r="AI174">
            <v>2.8479432873727284E-2</v>
          </cell>
          <cell r="AJ174">
            <v>2.5483134696338405E-2</v>
          </cell>
          <cell r="AK174">
            <v>2.7457779758549156E-2</v>
          </cell>
          <cell r="AL174">
            <v>3.0252578159132452E-2</v>
          </cell>
          <cell r="AM174">
            <v>3.1006794564968437E-2</v>
          </cell>
          <cell r="AN174">
            <v>3.1902377879381064E-2</v>
          </cell>
          <cell r="AO174">
            <v>3.2340472950015985E-2</v>
          </cell>
          <cell r="AP174">
            <v>3.3786679042033543E-2</v>
          </cell>
          <cell r="AQ174" t="e">
            <v>#DIV/0!</v>
          </cell>
          <cell r="AR174" t="e">
            <v>#DIV/0!</v>
          </cell>
          <cell r="AS174" t="e">
            <v>#DIV/0!</v>
          </cell>
          <cell r="AT174" t="e">
            <v>#DIV/0!</v>
          </cell>
          <cell r="AU174" t="e">
            <v>#DIV/0!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G175">
            <v>173</v>
          </cell>
          <cell r="H175" t="str">
            <v>YTD Target (Budget) Var</v>
          </cell>
          <cell r="I175">
            <v>0</v>
          </cell>
          <cell r="J175">
            <v>0</v>
          </cell>
          <cell r="K175">
            <v>0</v>
          </cell>
          <cell r="L175">
            <v>4.5939790292745877E-3</v>
          </cell>
          <cell r="M175">
            <v>1.1632854814494779E-2</v>
          </cell>
          <cell r="N175">
            <v>-9.8414916961376414E-4</v>
          </cell>
          <cell r="O175">
            <v>-5.4327320387034805E-4</v>
          </cell>
          <cell r="P175">
            <v>-4.5435885644580509E-4</v>
          </cell>
          <cell r="Q175">
            <v>1.2790012362528386E-3</v>
          </cell>
          <cell r="R175">
            <v>1.8286730142156593E-3</v>
          </cell>
          <cell r="S175">
            <v>3.7137316261581232E-3</v>
          </cell>
          <cell r="T175">
            <v>5.0382801523570497E-3</v>
          </cell>
          <cell r="U175">
            <v>4.5664084277920527E-3</v>
          </cell>
          <cell r="V175">
            <v>5.1733694438967567E-3</v>
          </cell>
          <cell r="W175">
            <v>5.9102663976156287E-3</v>
          </cell>
          <cell r="X175">
            <v>7.9282444768869406E-3</v>
          </cell>
          <cell r="Y175">
            <v>6.9521566401368265E-3</v>
          </cell>
          <cell r="Z175">
            <v>7.0093537945624881E-3</v>
          </cell>
          <cell r="AA175">
            <v>1.070691102327808E-2</v>
          </cell>
          <cell r="AB175">
            <v>8.0357996307220125E-3</v>
          </cell>
          <cell r="AC175">
            <v>9.3586757873614299E-3</v>
          </cell>
          <cell r="AD175">
            <v>1.1283478908630781E-2</v>
          </cell>
          <cell r="AE175">
            <v>1.2033002918594965E-2</v>
          </cell>
          <cell r="AF175">
            <v>1.2143427275227939E-2</v>
          </cell>
          <cell r="AG175">
            <v>1.1253250435842188E-2</v>
          </cell>
          <cell r="AH175">
            <v>1.1759483006682361E-2</v>
          </cell>
          <cell r="AI175">
            <v>1.2117050491426945E-2</v>
          </cell>
          <cell r="AJ175">
            <v>3.5407998125922442E-3</v>
          </cell>
          <cell r="AK175">
            <v>8.3185532355764535E-4</v>
          </cell>
          <cell r="AL175">
            <v>6.4434765746696279E-4</v>
          </cell>
          <cell r="AM175">
            <v>5.370359783834662E-3</v>
          </cell>
          <cell r="AN175">
            <v>5.2532178863542653E-3</v>
          </cell>
          <cell r="AO175">
            <v>6.2873663345316133E-3</v>
          </cell>
          <cell r="AP175">
            <v>4.8044547320932746E-3</v>
          </cell>
          <cell r="AQ175" t="e">
            <v>#DIV/0!</v>
          </cell>
          <cell r="AR175" t="e">
            <v>#DIV/0!</v>
          </cell>
          <cell r="AS175" t="e">
            <v>#DIV/0!</v>
          </cell>
          <cell r="AT175" t="e">
            <v>#DIV/0!</v>
          </cell>
          <cell r="AU175" t="e">
            <v>#DIV/0!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G176">
            <v>174</v>
          </cell>
          <cell r="H176" t="str">
            <v>YTD %Var</v>
          </cell>
          <cell r="I176">
            <v>0</v>
          </cell>
          <cell r="J176">
            <v>0</v>
          </cell>
          <cell r="K176">
            <v>0</v>
          </cell>
          <cell r="L176">
            <v>0.2162405740459194</v>
          </cell>
          <cell r="M176">
            <v>0.72993102205610338</v>
          </cell>
          <cell r="N176">
            <v>-2.938361393951271E-2</v>
          </cell>
          <cell r="O176">
            <v>-1.5463844287201951E-2</v>
          </cell>
          <cell r="P176">
            <v>-1.2235459199353798E-2</v>
          </cell>
          <cell r="Q176">
            <v>3.5833657180759322E-2</v>
          </cell>
          <cell r="R176">
            <v>5.2672200255549126E-2</v>
          </cell>
          <cell r="S176">
            <v>0.10964964449884812</v>
          </cell>
          <cell r="T176">
            <v>0.15474316070474223</v>
          </cell>
          <cell r="U176">
            <v>0.1423719712614937</v>
          </cell>
          <cell r="V176">
            <v>0.16461371518929535</v>
          </cell>
          <cell r="W176">
            <v>0.19850680022756365</v>
          </cell>
          <cell r="X176">
            <v>0.32392593385826063</v>
          </cell>
          <cell r="Y176">
            <v>0.27690663841126356</v>
          </cell>
          <cell r="Z176">
            <v>0.23831484579967835</v>
          </cell>
          <cell r="AA176">
            <v>0.36589719195280046</v>
          </cell>
          <cell r="AB176">
            <v>0.24649934252843381</v>
          </cell>
          <cell r="AC176">
            <v>0.2841485407224294</v>
          </cell>
          <cell r="AD176">
            <v>0.35576555529545895</v>
          </cell>
          <cell r="AE176">
            <v>0.38786844893957778</v>
          </cell>
          <cell r="AF176">
            <v>0.39532384729975895</v>
          </cell>
          <cell r="AG176">
            <v>0.37525668490655001</v>
          </cell>
          <cell r="AH176">
            <v>0.40099964673409738</v>
          </cell>
          <cell r="AI176">
            <v>0.42546670592605484</v>
          </cell>
          <cell r="AJ176">
            <v>0.13894679185999087</v>
          </cell>
          <cell r="AK176">
            <v>3.0295797069995866E-2</v>
          </cell>
          <cell r="AL176">
            <v>2.1298933733105697E-2</v>
          </cell>
          <cell r="AM176">
            <v>0.17319945061016109</v>
          </cell>
          <cell r="AN176">
            <v>0.16466540225358847</v>
          </cell>
          <cell r="AO176">
            <v>0.19441170029421309</v>
          </cell>
          <cell r="AP176">
            <v>0.14219967360852834</v>
          </cell>
          <cell r="AQ176" t="e">
            <v>#DIV/0!</v>
          </cell>
          <cell r="AR176" t="e">
            <v>#DIV/0!</v>
          </cell>
          <cell r="AS176" t="e">
            <v>#DIV/0!</v>
          </cell>
          <cell r="AT176" t="e">
            <v>#DIV/0!</v>
          </cell>
          <cell r="AU176" t="e">
            <v>#DIV/0!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G177">
            <v>175</v>
          </cell>
          <cell r="H177" t="str">
            <v>4 Month Actual</v>
          </cell>
          <cell r="I177">
            <v>0</v>
          </cell>
          <cell r="J177">
            <v>0</v>
          </cell>
          <cell r="K177">
            <v>0</v>
          </cell>
          <cell r="L177">
            <v>2.5838738712066777E-2</v>
          </cell>
          <cell r="M177">
            <v>2.7569782164001258E-2</v>
          </cell>
          <cell r="N177">
            <v>3.2508979743653091E-2</v>
          </cell>
          <cell r="O177">
            <v>3.4637152322662887E-2</v>
          </cell>
          <cell r="P177">
            <v>3.9226838268363963E-2</v>
          </cell>
          <cell r="Q177">
            <v>4.1235006403720235E-2</v>
          </cell>
          <cell r="R177">
            <v>3.9329103154415637E-2</v>
          </cell>
          <cell r="S177">
            <v>4.0279972380167846E-2</v>
          </cell>
          <cell r="T177">
            <v>3.8822290753692916E-2</v>
          </cell>
          <cell r="U177">
            <v>3.6108002941800582E-2</v>
          </cell>
          <cell r="V177">
            <v>3.6693799697278935E-2</v>
          </cell>
          <cell r="W177">
            <v>3.1916655859732725E-2</v>
          </cell>
          <cell r="X177">
            <v>3.0728111504847354E-2</v>
          </cell>
          <cell r="Y177">
            <v>3.1505391907145776E-2</v>
          </cell>
          <cell r="Z177">
            <v>3.3330609118042843E-2</v>
          </cell>
          <cell r="AA177">
            <v>3.9733857871686797E-2</v>
          </cell>
          <cell r="AB177">
            <v>4.2387948267503694E-2</v>
          </cell>
          <cell r="AC177">
            <v>4.69614164876224E-2</v>
          </cell>
          <cell r="AD177">
            <v>4.7156799901280286E-2</v>
          </cell>
          <cell r="AE177">
            <v>4.6350953666089989E-2</v>
          </cell>
          <cell r="AF177">
            <v>4.5775497296631704E-2</v>
          </cell>
          <cell r="AG177">
            <v>3.9548194278980653E-2</v>
          </cell>
          <cell r="AH177">
            <v>3.8141042073642217E-2</v>
          </cell>
          <cell r="AI177">
            <v>3.5849016125888623E-2</v>
          </cell>
          <cell r="AJ177">
            <v>3.2957786111947468E-2</v>
          </cell>
          <cell r="AK177">
            <v>3.2989826765103626E-2</v>
          </cell>
          <cell r="AL177">
            <v>3.164418648547402E-2</v>
          </cell>
          <cell r="AM177">
            <v>3.6121017166417697E-2</v>
          </cell>
          <cell r="AN177">
            <v>3.8808658853876264E-2</v>
          </cell>
          <cell r="AO177">
            <v>4.3443846606012741E-2</v>
          </cell>
          <cell r="AP177">
            <v>4.3413317682053122E-2</v>
          </cell>
          <cell r="AQ177">
            <v>4.1008094742106718E-2</v>
          </cell>
          <cell r="AR177">
            <v>4.1291688425888033E-2</v>
          </cell>
          <cell r="AS177">
            <v>3.5919521354828579E-2</v>
          </cell>
          <cell r="AT177" t="e">
            <v>#DIV/0!</v>
          </cell>
          <cell r="AU177" t="e">
            <v>#DIV/0!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G178">
            <v>176</v>
          </cell>
          <cell r="H178" t="str">
            <v>4 Month Target (Budget)</v>
          </cell>
          <cell r="I178">
            <v>0</v>
          </cell>
          <cell r="J178">
            <v>0</v>
          </cell>
          <cell r="K178">
            <v>0</v>
          </cell>
          <cell r="L178">
            <v>2.1244759682792189E-2</v>
          </cell>
          <cell r="M178">
            <v>2.1698331378407945E-2</v>
          </cell>
          <cell r="N178">
            <v>2.8904604935799456E-2</v>
          </cell>
          <cell r="O178">
            <v>3.1775874576913311E-2</v>
          </cell>
          <cell r="P178">
            <v>3.7729475708122004E-2</v>
          </cell>
          <cell r="Q178">
            <v>3.8982582852830884E-2</v>
          </cell>
          <cell r="R178">
            <v>3.5649739614634031E-2</v>
          </cell>
          <cell r="S178">
            <v>3.2707239216178845E-2</v>
          </cell>
          <cell r="T178">
            <v>2.6435143226425959E-2</v>
          </cell>
          <cell r="U178">
            <v>2.6319723160617346E-2</v>
          </cell>
          <cell r="V178">
            <v>2.5808895564435455E-2</v>
          </cell>
          <cell r="W178">
            <v>2.1858924216332488E-2</v>
          </cell>
          <cell r="X178">
            <v>2.2519016468475143E-2</v>
          </cell>
          <cell r="Y178">
            <v>2.2143598726151247E-2</v>
          </cell>
          <cell r="Z178">
            <v>2.4772079594654873E-2</v>
          </cell>
          <cell r="AA178">
            <v>2.9269712796744032E-2</v>
          </cell>
          <cell r="AB178">
            <v>3.4334309536904292E-2</v>
          </cell>
          <cell r="AC178">
            <v>3.6424568343046575E-2</v>
          </cell>
          <cell r="AD178">
            <v>3.3186415099499801E-2</v>
          </cell>
          <cell r="AE178">
            <v>3.2737670052720422E-2</v>
          </cell>
          <cell r="AF178">
            <v>2.8279964475478401E-2</v>
          </cell>
          <cell r="AG178">
            <v>2.5333394062279628E-2</v>
          </cell>
          <cell r="AH178">
            <v>2.5225238484513503E-2</v>
          </cell>
          <cell r="AI178">
            <v>2.3516439739559206E-2</v>
          </cell>
          <cell r="AJ178">
            <v>2.2897036096813803E-2</v>
          </cell>
          <cell r="AK178">
            <v>2.4296799168594757E-2</v>
          </cell>
          <cell r="AL178">
            <v>2.7239596572536797E-2</v>
          </cell>
          <cell r="AM178">
            <v>3.086359117899698E-2</v>
          </cell>
          <cell r="AN178">
            <v>3.329788120280399E-2</v>
          </cell>
          <cell r="AO178">
            <v>3.4694279437553613E-2</v>
          </cell>
          <cell r="AP178">
            <v>3.5822876727234734E-2</v>
          </cell>
          <cell r="AQ178">
            <v>3.7043128311235955E-2</v>
          </cell>
          <cell r="AR178">
            <v>3.7704804913017809E-2</v>
          </cell>
          <cell r="AS178">
            <v>4.0480036759421682E-2</v>
          </cell>
          <cell r="AT178" t="e">
            <v>#DIV/0!</v>
          </cell>
          <cell r="AU178" t="e">
            <v>#DIV/0!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G179">
            <v>177</v>
          </cell>
          <cell r="H179" t="str">
            <v>4 Month Target (Budget) % Var</v>
          </cell>
          <cell r="I179">
            <v>0</v>
          </cell>
          <cell r="J179">
            <v>0</v>
          </cell>
          <cell r="K179">
            <v>0</v>
          </cell>
          <cell r="L179">
            <v>0.2162405740459194</v>
          </cell>
          <cell r="M179">
            <v>0.27059457629244271</v>
          </cell>
          <cell r="N179">
            <v>0.12469898190476492</v>
          </cell>
          <cell r="O179">
            <v>9.0045601697724173E-2</v>
          </cell>
          <cell r="P179">
            <v>3.9686810700092043E-2</v>
          </cell>
          <cell r="Q179">
            <v>5.7780254309798308E-2</v>
          </cell>
          <cell r="R179">
            <v>0.10320870725998926</v>
          </cell>
          <cell r="S179">
            <v>0.23153079701826684</v>
          </cell>
          <cell r="T179">
            <v>0.46858635949753857</v>
          </cell>
          <cell r="U179">
            <v>0.37189904017796083</v>
          </cell>
          <cell r="V179">
            <v>0.42175009409712327</v>
          </cell>
          <cell r="W179">
            <v>0.46012015705170561</v>
          </cell>
          <cell r="X179">
            <v>0.36454056720746658</v>
          </cell>
          <cell r="Y179">
            <v>0.42277650063891359</v>
          </cell>
          <cell r="Z179">
            <v>0.34549095850776546</v>
          </cell>
          <cell r="AA179">
            <v>0.35750761025939409</v>
          </cell>
          <cell r="AB179">
            <v>0.23456533243934713</v>
          </cell>
          <cell r="AC179">
            <v>0.28927860023871227</v>
          </cell>
          <cell r="AD179">
            <v>0.42096697579097814</v>
          </cell>
          <cell r="AE179">
            <v>0.41582933640197572</v>
          </cell>
          <cell r="AF179">
            <v>0.61865469584743304</v>
          </cell>
          <cell r="AG179">
            <v>0.56110918978149371</v>
          </cell>
          <cell r="AH179">
            <v>0.5120190874333298</v>
          </cell>
          <cell r="AI179">
            <v>0.52442361696373774</v>
          </cell>
          <cell r="AJ179">
            <v>0.43939093132379925</v>
          </cell>
          <cell r="AK179">
            <v>0.3577848891200941</v>
          </cell>
          <cell r="AL179">
            <v>0.16169805970540582</v>
          </cell>
          <cell r="AM179">
            <v>0.17034394853566021</v>
          </cell>
          <cell r="AN179">
            <v>0.16549934866751267</v>
          </cell>
          <cell r="AO179">
            <v>0.25219048529909704</v>
          </cell>
          <cell r="AP179">
            <v>0.21188809074754381</v>
          </cell>
          <cell r="AQ179">
            <v>0.10703648994105354</v>
          </cell>
          <cell r="AR179">
            <v>9.513067422427722E-2</v>
          </cell>
          <cell r="AS179">
            <v>-0.11266085136475694</v>
          </cell>
          <cell r="AT179" t="e">
            <v>#DIV/0!</v>
          </cell>
          <cell r="AU179" t="e">
            <v>#DIV/0!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G180">
            <v>178</v>
          </cell>
          <cell r="H180" t="str">
            <v>4 Month Target (Budget) Var</v>
          </cell>
          <cell r="I180">
            <v>0</v>
          </cell>
          <cell r="J180">
            <v>0</v>
          </cell>
          <cell r="K180">
            <v>0</v>
          </cell>
          <cell r="L180">
            <v>4.5939790292745877E-3</v>
          </cell>
          <cell r="M180">
            <v>5.8714507855933129E-3</v>
          </cell>
          <cell r="N180">
            <v>3.6043748078536351E-3</v>
          </cell>
          <cell r="O180">
            <v>2.8612777457495756E-3</v>
          </cell>
          <cell r="P180">
            <v>1.4973625602419591E-3</v>
          </cell>
          <cell r="Q180">
            <v>2.2524235508893514E-3</v>
          </cell>
          <cell r="R180">
            <v>3.6793635397816063E-3</v>
          </cell>
          <cell r="S180">
            <v>7.5727331639890011E-3</v>
          </cell>
          <cell r="T180">
            <v>1.2387147527266957E-2</v>
          </cell>
          <cell r="U180">
            <v>9.7882797811832366E-3</v>
          </cell>
          <cell r="V180">
            <v>1.088490413284348E-2</v>
          </cell>
          <cell r="W180">
            <v>1.0057731643400236E-2</v>
          </cell>
          <cell r="X180">
            <v>8.2090950363722104E-3</v>
          </cell>
          <cell r="Y180">
            <v>9.3617931809945286E-3</v>
          </cell>
          <cell r="Z180">
            <v>8.5585295233879706E-3</v>
          </cell>
          <cell r="AA180">
            <v>1.0464145074942765E-2</v>
          </cell>
          <cell r="AB180">
            <v>8.0536387305994023E-3</v>
          </cell>
          <cell r="AC180">
            <v>1.0536848144575825E-2</v>
          </cell>
          <cell r="AD180">
            <v>1.3970384801780485E-2</v>
          </cell>
          <cell r="AE180">
            <v>1.3613283613369567E-2</v>
          </cell>
          <cell r="AF180">
            <v>1.7495532821153303E-2</v>
          </cell>
          <cell r="AG180">
            <v>1.4214800216701025E-2</v>
          </cell>
          <cell r="AH180">
            <v>1.2915803589128715E-2</v>
          </cell>
          <cell r="AI180">
            <v>1.2332576386329418E-2</v>
          </cell>
          <cell r="AJ180">
            <v>1.0060750015133665E-2</v>
          </cell>
          <cell r="AK180">
            <v>8.6930275965088691E-3</v>
          </cell>
          <cell r="AL180">
            <v>4.4045899129372228E-3</v>
          </cell>
          <cell r="AM180">
            <v>5.2574259874207177E-3</v>
          </cell>
          <cell r="AN180">
            <v>5.5107776510722739E-3</v>
          </cell>
          <cell r="AO180">
            <v>8.7495671684591284E-3</v>
          </cell>
          <cell r="AP180">
            <v>7.5904409548183879E-3</v>
          </cell>
          <cell r="AQ180">
            <v>3.964966430870763E-3</v>
          </cell>
          <cell r="AR180">
            <v>3.5868835128702245E-3</v>
          </cell>
          <cell r="AS180">
            <v>-4.5605154045931032E-3</v>
          </cell>
          <cell r="AT180" t="e">
            <v>#DIV/0!</v>
          </cell>
          <cell r="AU180" t="e">
            <v>#DIV/0!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G181">
            <v>183</v>
          </cell>
          <cell r="H181" t="str">
            <v>Actual</v>
          </cell>
          <cell r="I181">
            <v>0</v>
          </cell>
          <cell r="J181">
            <v>0</v>
          </cell>
          <cell r="K181">
            <v>0</v>
          </cell>
          <cell r="L181">
            <v>4049000</v>
          </cell>
          <cell r="M181">
            <v>4045000</v>
          </cell>
          <cell r="N181">
            <v>3859000</v>
          </cell>
          <cell r="O181">
            <v>3917000</v>
          </cell>
          <cell r="P181">
            <v>3954820</v>
          </cell>
          <cell r="Q181">
            <v>4467850</v>
          </cell>
          <cell r="R181">
            <v>5441634</v>
          </cell>
          <cell r="S181">
            <v>5012228</v>
          </cell>
          <cell r="T181">
            <v>4707061</v>
          </cell>
          <cell r="U181">
            <v>4002391</v>
          </cell>
          <cell r="V181">
            <v>4046261</v>
          </cell>
          <cell r="W181">
            <v>5115391</v>
          </cell>
          <cell r="X181">
            <v>4950535</v>
          </cell>
          <cell r="Y181">
            <v>5123156</v>
          </cell>
          <cell r="Z181">
            <v>4730877</v>
          </cell>
          <cell r="AA181">
            <v>4756947</v>
          </cell>
          <cell r="AB181">
            <v>4676662</v>
          </cell>
          <cell r="AC181">
            <v>4953322</v>
          </cell>
          <cell r="AD181">
            <v>5331525</v>
          </cell>
          <cell r="AE181">
            <v>5190159</v>
          </cell>
          <cell r="AF181">
            <v>5007427</v>
          </cell>
          <cell r="AG181">
            <v>4506679</v>
          </cell>
          <cell r="AH181">
            <v>4710975</v>
          </cell>
          <cell r="AI181">
            <v>4977306</v>
          </cell>
          <cell r="AJ181">
            <v>5043990</v>
          </cell>
          <cell r="AK181">
            <v>4943807</v>
          </cell>
          <cell r="AL181">
            <v>4832279</v>
          </cell>
          <cell r="AM181">
            <v>4506268</v>
          </cell>
          <cell r="AN181">
            <v>4211773</v>
          </cell>
          <cell r="AO181">
            <v>4296662</v>
          </cell>
          <cell r="AP181">
            <v>4656930</v>
          </cell>
          <cell r="AQ181">
            <v>4344226</v>
          </cell>
          <cell r="AR181">
            <v>4265669</v>
          </cell>
          <cell r="AS181">
            <v>4163886</v>
          </cell>
          <cell r="AT181">
            <v>4258120</v>
          </cell>
          <cell r="AU181" t="e">
            <v>#DIV/0!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G182">
            <v>184</v>
          </cell>
          <cell r="H182" t="str">
            <v>Target (Budget)</v>
          </cell>
          <cell r="I182">
            <v>0</v>
          </cell>
          <cell r="J182">
            <v>0</v>
          </cell>
          <cell r="K182">
            <v>0</v>
          </cell>
          <cell r="L182">
            <v>4141000</v>
          </cell>
          <cell r="M182">
            <v>4185000</v>
          </cell>
          <cell r="N182">
            <v>3937000</v>
          </cell>
          <cell r="O182">
            <v>4038000</v>
          </cell>
          <cell r="P182">
            <v>3998737</v>
          </cell>
          <cell r="Q182">
            <v>4513790</v>
          </cell>
          <cell r="R182">
            <v>4830315</v>
          </cell>
          <cell r="S182">
            <v>4253984</v>
          </cell>
          <cell r="T182">
            <v>4120858</v>
          </cell>
          <cell r="U182">
            <v>3896020</v>
          </cell>
          <cell r="V182">
            <v>3928910</v>
          </cell>
          <cell r="W182">
            <v>4586359</v>
          </cell>
          <cell r="X182">
            <v>5090648</v>
          </cell>
          <cell r="Y182">
            <v>5175098</v>
          </cell>
          <cell r="Z182">
            <v>4847068</v>
          </cell>
          <cell r="AA182">
            <v>5103736</v>
          </cell>
          <cell r="AB182">
            <v>5135265</v>
          </cell>
          <cell r="AC182">
            <v>5625274</v>
          </cell>
          <cell r="AD182">
            <v>5923208</v>
          </cell>
          <cell r="AE182">
            <v>5386863</v>
          </cell>
          <cell r="AF182">
            <v>5417403</v>
          </cell>
          <cell r="AG182">
            <v>4928592</v>
          </cell>
          <cell r="AH182">
            <v>4875021</v>
          </cell>
          <cell r="AI182">
            <v>5172826</v>
          </cell>
          <cell r="AJ182">
            <v>5627914</v>
          </cell>
          <cell r="AK182">
            <v>5525784</v>
          </cell>
          <cell r="AL182">
            <v>5181807</v>
          </cell>
          <cell r="AM182">
            <v>5143280</v>
          </cell>
          <cell r="AN182">
            <v>5089262</v>
          </cell>
          <cell r="AO182">
            <v>5428539</v>
          </cell>
          <cell r="AP182">
            <v>5804619</v>
          </cell>
          <cell r="AQ182">
            <v>5517898</v>
          </cell>
          <cell r="AR182">
            <v>5335471</v>
          </cell>
          <cell r="AS182">
            <v>4820515</v>
          </cell>
          <cell r="AT182">
            <v>5027711</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G183">
            <v>185</v>
          </cell>
          <cell r="H183" t="str">
            <v>Target (Budget) Variance</v>
          </cell>
          <cell r="I183">
            <v>0</v>
          </cell>
          <cell r="J183">
            <v>0</v>
          </cell>
          <cell r="K183">
            <v>0</v>
          </cell>
          <cell r="L183">
            <v>-92000</v>
          </cell>
          <cell r="M183">
            <v>-140000</v>
          </cell>
          <cell r="N183">
            <v>-78000</v>
          </cell>
          <cell r="O183">
            <v>-121000</v>
          </cell>
          <cell r="P183">
            <v>-43917</v>
          </cell>
          <cell r="Q183">
            <v>-45940</v>
          </cell>
          <cell r="R183">
            <v>611319</v>
          </cell>
          <cell r="S183">
            <v>758244</v>
          </cell>
          <cell r="T183">
            <v>586203</v>
          </cell>
          <cell r="U183">
            <v>106371</v>
          </cell>
          <cell r="V183">
            <v>117351</v>
          </cell>
          <cell r="W183">
            <v>529032</v>
          </cell>
          <cell r="X183">
            <v>-140113</v>
          </cell>
          <cell r="Y183">
            <v>-51942</v>
          </cell>
          <cell r="Z183">
            <v>-116191</v>
          </cell>
          <cell r="AA183">
            <v>-346789</v>
          </cell>
          <cell r="AB183">
            <v>-458603</v>
          </cell>
          <cell r="AC183">
            <v>-671952</v>
          </cell>
          <cell r="AD183">
            <v>-591683</v>
          </cell>
          <cell r="AE183">
            <v>-196704</v>
          </cell>
          <cell r="AF183">
            <v>-409976</v>
          </cell>
          <cell r="AG183">
            <v>-421913</v>
          </cell>
          <cell r="AH183">
            <v>-164046</v>
          </cell>
          <cell r="AI183">
            <v>-195520</v>
          </cell>
          <cell r="AJ183">
            <v>-583924</v>
          </cell>
          <cell r="AK183">
            <v>-581977</v>
          </cell>
          <cell r="AL183">
            <v>-349528</v>
          </cell>
          <cell r="AM183">
            <v>-637012</v>
          </cell>
          <cell r="AN183">
            <v>-877489</v>
          </cell>
          <cell r="AO183">
            <v>-1131877</v>
          </cell>
          <cell r="AP183">
            <v>-1147689</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G184">
            <v>186</v>
          </cell>
          <cell r="H184" t="str">
            <v>Target (Budget) %Var</v>
          </cell>
          <cell r="I184">
            <v>0</v>
          </cell>
          <cell r="J184">
            <v>0</v>
          </cell>
          <cell r="K184">
            <v>0</v>
          </cell>
          <cell r="L184">
            <v>-2.2216855831924655E-2</v>
          </cell>
          <cell r="M184">
            <v>-3.3452807646356032E-2</v>
          </cell>
          <cell r="N184">
            <v>-1.9812039624079247E-2</v>
          </cell>
          <cell r="O184">
            <v>-2.9965329370975732E-2</v>
          </cell>
          <cell r="P184">
            <v>-1.0982717793143184E-2</v>
          </cell>
          <cell r="Q184">
            <v>-1.0177699892994579E-2</v>
          </cell>
          <cell r="R184">
            <v>0.12655882690880407</v>
          </cell>
          <cell r="S184">
            <v>0.17824326560701687</v>
          </cell>
          <cell r="T184">
            <v>0.14225265709228516</v>
          </cell>
          <cell r="U184">
            <v>2.7302477913357735E-2</v>
          </cell>
          <cell r="V184">
            <v>2.9868589507013394E-2</v>
          </cell>
          <cell r="W184">
            <v>0.11534901650742997</v>
          </cell>
          <cell r="X184">
            <v>-2.7523607996467248E-2</v>
          </cell>
          <cell r="Y184">
            <v>-1.0036911378296605E-2</v>
          </cell>
          <cell r="Z184">
            <v>-2.3971398792011996E-2</v>
          </cell>
          <cell r="AA184">
            <v>-6.7948067846769503E-2</v>
          </cell>
          <cell r="AB184">
            <v>-8.9304641532618079E-2</v>
          </cell>
          <cell r="AC184">
            <v>-0.11945231467836055</v>
          </cell>
          <cell r="AD184">
            <v>-9.9892321863422659E-2</v>
          </cell>
          <cell r="AE184">
            <v>-3.6515500765473337E-2</v>
          </cell>
          <cell r="AF184">
            <v>-7.5677589427997141E-2</v>
          </cell>
          <cell r="AG184">
            <v>-8.5605178923311154E-2</v>
          </cell>
          <cell r="AH184">
            <v>-3.3650316583251641E-2</v>
          </cell>
          <cell r="AI184">
            <v>-3.7797521122883315E-2</v>
          </cell>
          <cell r="AJ184">
            <v>-0.10375496142975887</v>
          </cell>
          <cell r="AK184">
            <v>-0.10532025862755402</v>
          </cell>
          <cell r="AL184">
            <v>-6.7452917486120187E-2</v>
          </cell>
          <cell r="AM184">
            <v>-0.12385326095409933</v>
          </cell>
          <cell r="AN184">
            <v>-0.17241969464334908</v>
          </cell>
          <cell r="AO184">
            <v>-0.20850490343718633</v>
          </cell>
          <cell r="AP184">
            <v>-0.1977199537127243</v>
          </cell>
          <cell r="AQ184" t="e">
            <v>#DIV/0!</v>
          </cell>
          <cell r="AR184" t="e">
            <v>#DIV/0!</v>
          </cell>
          <cell r="AS184" t="e">
            <v>#DIV/0!</v>
          </cell>
          <cell r="AT184" t="e">
            <v>#DIV/0!</v>
          </cell>
          <cell r="AU184" t="e">
            <v>#DIV/0!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G185">
            <v>187</v>
          </cell>
          <cell r="H185" t="str">
            <v>YTD Actual</v>
          </cell>
          <cell r="I185">
            <v>0</v>
          </cell>
          <cell r="J185">
            <v>0</v>
          </cell>
          <cell r="K185">
            <v>0</v>
          </cell>
          <cell r="L185">
            <v>4049000</v>
          </cell>
          <cell r="M185">
            <v>8094000</v>
          </cell>
          <cell r="N185">
            <v>11953000</v>
          </cell>
          <cell r="O185">
            <v>15870000</v>
          </cell>
          <cell r="P185">
            <v>19824820</v>
          </cell>
          <cell r="Q185">
            <v>24292670</v>
          </cell>
          <cell r="R185">
            <v>29734304</v>
          </cell>
          <cell r="S185">
            <v>34746532</v>
          </cell>
          <cell r="T185">
            <v>39453593</v>
          </cell>
          <cell r="U185">
            <v>43455984</v>
          </cell>
          <cell r="V185">
            <v>47502245</v>
          </cell>
          <cell r="W185">
            <v>52617636</v>
          </cell>
          <cell r="X185">
            <v>4950535</v>
          </cell>
          <cell r="Y185">
            <v>10073691</v>
          </cell>
          <cell r="Z185">
            <v>14807166</v>
          </cell>
          <cell r="AA185">
            <v>19621522</v>
          </cell>
          <cell r="AB185">
            <v>24408285</v>
          </cell>
          <cell r="AC185">
            <v>29361607</v>
          </cell>
          <cell r="AD185">
            <v>34773155</v>
          </cell>
          <cell r="AE185">
            <v>39962544</v>
          </cell>
          <cell r="AF185">
            <v>44965181</v>
          </cell>
          <cell r="AG185">
            <v>49565857</v>
          </cell>
          <cell r="AH185">
            <v>54290685</v>
          </cell>
          <cell r="AI185">
            <v>59277991</v>
          </cell>
          <cell r="AJ185">
            <v>5043990</v>
          </cell>
          <cell r="AK185">
            <v>9987038</v>
          </cell>
          <cell r="AL185">
            <v>14819317</v>
          </cell>
          <cell r="AM185">
            <v>19325585</v>
          </cell>
          <cell r="AN185">
            <v>23538505</v>
          </cell>
          <cell r="AO185">
            <v>27835167</v>
          </cell>
          <cell r="AP185">
            <v>32492123</v>
          </cell>
          <cell r="AQ185">
            <v>36836349</v>
          </cell>
          <cell r="AR185">
            <v>41102018</v>
          </cell>
          <cell r="AS185">
            <v>45269029</v>
          </cell>
          <cell r="AT185">
            <v>49506350</v>
          </cell>
          <cell r="AU185" t="e">
            <v>#DIV/0!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G186">
            <v>188</v>
          </cell>
          <cell r="H186" t="str">
            <v>YTD Target (Budget)</v>
          </cell>
          <cell r="I186">
            <v>0</v>
          </cell>
          <cell r="J186">
            <v>0</v>
          </cell>
          <cell r="K186">
            <v>0</v>
          </cell>
          <cell r="L186">
            <v>4141000</v>
          </cell>
          <cell r="M186">
            <v>8326000</v>
          </cell>
          <cell r="N186">
            <v>12263000</v>
          </cell>
          <cell r="O186">
            <v>16301000</v>
          </cell>
          <cell r="P186">
            <v>20299737</v>
          </cell>
          <cell r="Q186">
            <v>24813527</v>
          </cell>
          <cell r="R186">
            <v>29643842</v>
          </cell>
          <cell r="S186">
            <v>33897826</v>
          </cell>
          <cell r="T186">
            <v>38018684</v>
          </cell>
          <cell r="U186">
            <v>41914704</v>
          </cell>
          <cell r="V186">
            <v>45843614</v>
          </cell>
          <cell r="W186">
            <v>50429973</v>
          </cell>
          <cell r="X186">
            <v>5090648</v>
          </cell>
          <cell r="Y186">
            <v>10265746</v>
          </cell>
          <cell r="Z186">
            <v>15112814</v>
          </cell>
          <cell r="AA186">
            <v>20535548</v>
          </cell>
          <cell r="AB186">
            <v>25640813</v>
          </cell>
          <cell r="AC186">
            <v>31296087</v>
          </cell>
          <cell r="AD186">
            <v>37219295</v>
          </cell>
          <cell r="AE186">
            <v>42606158</v>
          </cell>
          <cell r="AF186">
            <v>48023561</v>
          </cell>
          <cell r="AG186">
            <v>52952153</v>
          </cell>
          <cell r="AH186">
            <v>57827174</v>
          </cell>
          <cell r="AI186">
            <v>63000000</v>
          </cell>
          <cell r="AJ186">
            <v>5627914</v>
          </cell>
          <cell r="AK186">
            <v>11153689</v>
          </cell>
          <cell r="AL186">
            <v>16335505</v>
          </cell>
          <cell r="AM186">
            <v>21478785</v>
          </cell>
          <cell r="AN186">
            <v>26568047</v>
          </cell>
          <cell r="AO186">
            <v>31996586</v>
          </cell>
          <cell r="AP186">
            <v>37801205</v>
          </cell>
          <cell r="AQ186">
            <v>43319103</v>
          </cell>
          <cell r="AR186">
            <v>48654574</v>
          </cell>
          <cell r="AS186">
            <v>53475089</v>
          </cell>
          <cell r="AT186">
            <v>58502800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G187">
            <v>189</v>
          </cell>
          <cell r="H187" t="str">
            <v>YTD Target (Budget) Var</v>
          </cell>
          <cell r="I187">
            <v>0</v>
          </cell>
          <cell r="J187">
            <v>0</v>
          </cell>
          <cell r="K187">
            <v>0</v>
          </cell>
          <cell r="L187">
            <v>-92000</v>
          </cell>
          <cell r="M187">
            <v>-232000</v>
          </cell>
          <cell r="N187">
            <v>-310000</v>
          </cell>
          <cell r="O187">
            <v>-431000</v>
          </cell>
          <cell r="P187">
            <v>-474917</v>
          </cell>
          <cell r="Q187">
            <v>-520857</v>
          </cell>
          <cell r="R187">
            <v>90462</v>
          </cell>
          <cell r="S187">
            <v>848706</v>
          </cell>
          <cell r="T187">
            <v>1434909</v>
          </cell>
          <cell r="U187">
            <v>1541280</v>
          </cell>
          <cell r="V187">
            <v>1658631</v>
          </cell>
          <cell r="W187">
            <v>2187663</v>
          </cell>
          <cell r="X187">
            <v>-140113</v>
          </cell>
          <cell r="Y187">
            <v>-192055</v>
          </cell>
          <cell r="Z187">
            <v>-305648</v>
          </cell>
          <cell r="AA187">
            <v>-914026</v>
          </cell>
          <cell r="AB187">
            <v>-1232528</v>
          </cell>
          <cell r="AC187">
            <v>-1934480</v>
          </cell>
          <cell r="AD187">
            <v>-2446140</v>
          </cell>
          <cell r="AE187">
            <v>-2643614</v>
          </cell>
          <cell r="AF187">
            <v>-3058380</v>
          </cell>
          <cell r="AG187">
            <v>-3386296</v>
          </cell>
          <cell r="AH187">
            <v>-3536489</v>
          </cell>
          <cell r="AI187">
            <v>-3722009</v>
          </cell>
          <cell r="AJ187">
            <v>-583924</v>
          </cell>
          <cell r="AK187">
            <v>-1166651</v>
          </cell>
          <cell r="AL187">
            <v>-1516188</v>
          </cell>
          <cell r="AM187">
            <v>-2153200</v>
          </cell>
          <cell r="AN187">
            <v>-3029542</v>
          </cell>
          <cell r="AO187">
            <v>-4161419</v>
          </cell>
          <cell r="AP187">
            <v>-5309082</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G188">
            <v>190</v>
          </cell>
          <cell r="H188" t="str">
            <v>YTD %Var</v>
          </cell>
          <cell r="I188">
            <v>0</v>
          </cell>
          <cell r="J188">
            <v>0</v>
          </cell>
          <cell r="K188">
            <v>0</v>
          </cell>
          <cell r="L188">
            <v>-2.2216855831924655E-2</v>
          </cell>
          <cell r="M188">
            <v>-2.7864520778284892E-2</v>
          </cell>
          <cell r="N188">
            <v>-2.527929544157221E-2</v>
          </cell>
          <cell r="O188">
            <v>-2.6440095699650328E-2</v>
          </cell>
          <cell r="P188">
            <v>-2.3395229209127191E-2</v>
          </cell>
          <cell r="Q188">
            <v>-2.0990849063899704E-2</v>
          </cell>
          <cell r="R188">
            <v>3.0516287328747737E-3</v>
          </cell>
          <cell r="S188">
            <v>2.5037180850476959E-2</v>
          </cell>
          <cell r="T188">
            <v>3.774220591117778E-2</v>
          </cell>
          <cell r="U188">
            <v>3.6771821172827561E-2</v>
          </cell>
          <cell r="V188">
            <v>3.6180197311669188E-2</v>
          </cell>
          <cell r="W188">
            <v>4.3380213588454626E-2</v>
          </cell>
          <cell r="X188">
            <v>-2.7523607996467248E-2</v>
          </cell>
          <cell r="Y188">
            <v>-1.8708333520038388E-2</v>
          </cell>
          <cell r="Z188">
            <v>-2.0224426767907023E-2</v>
          </cell>
          <cell r="AA188">
            <v>-4.4509452584367358E-2</v>
          </cell>
          <cell r="AB188">
            <v>-4.8068990636139348E-2</v>
          </cell>
          <cell r="AC188">
            <v>-6.1812200355910306E-2</v>
          </cell>
          <cell r="AD188">
            <v>-6.5722362554153702E-2</v>
          </cell>
          <cell r="AE188">
            <v>-6.2047697424395788E-2</v>
          </cell>
          <cell r="AF188">
            <v>-6.3684989957325328E-2</v>
          </cell>
          <cell r="AG188">
            <v>-6.3950109828395454E-2</v>
          </cell>
          <cell r="AH188">
            <v>-6.1156178927228917E-2</v>
          </cell>
          <cell r="AI188">
            <v>-5.9079507936507937E-2</v>
          </cell>
          <cell r="AJ188">
            <v>-0.10375496142975887</v>
          </cell>
          <cell r="AK188">
            <v>-0.10459777029823944</v>
          </cell>
          <cell r="AL188">
            <v>-9.2815496062105207E-2</v>
          </cell>
          <cell r="AM188">
            <v>-0.10024775609979801</v>
          </cell>
          <cell r="AN188">
            <v>-0.11402953329614329</v>
          </cell>
          <cell r="AO188">
            <v>-0.13005821933627543</v>
          </cell>
          <cell r="AP188">
            <v>-0.14044742753570952</v>
          </cell>
          <cell r="AQ188" t="e">
            <v>#DIV/0!</v>
          </cell>
          <cell r="AR188" t="e">
            <v>#DIV/0!</v>
          </cell>
          <cell r="AS188" t="e">
            <v>#DIV/0!</v>
          </cell>
          <cell r="AT188" t="e">
            <v>#DIV/0!</v>
          </cell>
          <cell r="AU188" t="e">
            <v>#DIV/0!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G189">
            <v>191</v>
          </cell>
          <cell r="H189" t="str">
            <v>4 Month Actual</v>
          </cell>
          <cell r="I189">
            <v>0</v>
          </cell>
          <cell r="J189">
            <v>0</v>
          </cell>
          <cell r="K189">
            <v>0</v>
          </cell>
          <cell r="L189">
            <v>4049000</v>
          </cell>
          <cell r="M189">
            <v>8094000</v>
          </cell>
          <cell r="N189">
            <v>11953000</v>
          </cell>
          <cell r="O189">
            <v>15870000</v>
          </cell>
          <cell r="P189">
            <v>15775820</v>
          </cell>
          <cell r="Q189">
            <v>16198670</v>
          </cell>
          <cell r="R189">
            <v>17781304</v>
          </cell>
          <cell r="S189">
            <v>18876532</v>
          </cell>
          <cell r="T189">
            <v>19628773</v>
          </cell>
          <cell r="U189">
            <v>19163314</v>
          </cell>
          <cell r="V189">
            <v>17767941</v>
          </cell>
          <cell r="W189">
            <v>17871104</v>
          </cell>
          <cell r="X189">
            <v>18114578</v>
          </cell>
          <cell r="Y189">
            <v>19235343</v>
          </cell>
          <cell r="Z189">
            <v>19919959</v>
          </cell>
          <cell r="AA189">
            <v>19561515</v>
          </cell>
          <cell r="AB189">
            <v>19287642</v>
          </cell>
          <cell r="AC189">
            <v>19117808</v>
          </cell>
          <cell r="AD189">
            <v>19718456</v>
          </cell>
          <cell r="AE189">
            <v>20151668</v>
          </cell>
          <cell r="AF189">
            <v>20482433</v>
          </cell>
          <cell r="AG189">
            <v>20035790</v>
          </cell>
          <cell r="AH189">
            <v>19415240</v>
          </cell>
          <cell r="AI189">
            <v>19202387</v>
          </cell>
          <cell r="AJ189">
            <v>19238950</v>
          </cell>
          <cell r="AK189">
            <v>19676078</v>
          </cell>
          <cell r="AL189">
            <v>19797382</v>
          </cell>
          <cell r="AM189">
            <v>19326344</v>
          </cell>
          <cell r="AN189">
            <v>18494127</v>
          </cell>
          <cell r="AO189">
            <v>17846982</v>
          </cell>
          <cell r="AP189">
            <v>17671633</v>
          </cell>
          <cell r="AQ189">
            <v>13165365</v>
          </cell>
          <cell r="AR189">
            <v>8953592</v>
          </cell>
          <cell r="AS189">
            <v>4656930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G190">
            <v>192</v>
          </cell>
          <cell r="H190" t="str">
            <v>4 Month Target (Budget)</v>
          </cell>
          <cell r="I190">
            <v>0</v>
          </cell>
          <cell r="J190">
            <v>0</v>
          </cell>
          <cell r="K190">
            <v>0</v>
          </cell>
          <cell r="L190">
            <v>4141000</v>
          </cell>
          <cell r="M190">
            <v>8326000</v>
          </cell>
          <cell r="N190">
            <v>12263000</v>
          </cell>
          <cell r="O190">
            <v>16301000</v>
          </cell>
          <cell r="P190">
            <v>16158737</v>
          </cell>
          <cell r="Q190">
            <v>16487527</v>
          </cell>
          <cell r="R190">
            <v>17380842</v>
          </cell>
          <cell r="S190">
            <v>17596826</v>
          </cell>
          <cell r="T190">
            <v>17718947</v>
          </cell>
          <cell r="U190">
            <v>17101177</v>
          </cell>
          <cell r="V190">
            <v>16199772</v>
          </cell>
          <cell r="W190">
            <v>16532147</v>
          </cell>
          <cell r="X190">
            <v>17501937</v>
          </cell>
          <cell r="Y190">
            <v>18781015</v>
          </cell>
          <cell r="Z190">
            <v>19699173</v>
          </cell>
          <cell r="AA190">
            <v>20216550</v>
          </cell>
          <cell r="AB190">
            <v>20261167</v>
          </cell>
          <cell r="AC190">
            <v>20711343</v>
          </cell>
          <cell r="AD190">
            <v>21787483</v>
          </cell>
          <cell r="AE190">
            <v>22070610</v>
          </cell>
          <cell r="AF190">
            <v>22352748</v>
          </cell>
          <cell r="AG190">
            <v>21656066</v>
          </cell>
          <cell r="AH190">
            <v>20607879</v>
          </cell>
          <cell r="AI190">
            <v>20393842</v>
          </cell>
          <cell r="AJ190">
            <v>20604353</v>
          </cell>
          <cell r="AK190">
            <v>21201545</v>
          </cell>
          <cell r="AL190">
            <v>21508331</v>
          </cell>
          <cell r="AM190">
            <v>21478785</v>
          </cell>
          <cell r="AN190">
            <v>20940133</v>
          </cell>
          <cell r="AO190">
            <v>20842888</v>
          </cell>
          <cell r="AP190">
            <v>21465700</v>
          </cell>
          <cell r="AQ190">
            <v>16322420</v>
          </cell>
          <cell r="AR190">
            <v>11233158</v>
          </cell>
          <cell r="AS190">
            <v>5804619</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G191">
            <v>193</v>
          </cell>
          <cell r="H191" t="str">
            <v>4 Month Target (Budget) Var</v>
          </cell>
          <cell r="I191">
            <v>0</v>
          </cell>
          <cell r="J191">
            <v>0</v>
          </cell>
          <cell r="K191">
            <v>0</v>
          </cell>
          <cell r="L191">
            <v>-92000</v>
          </cell>
          <cell r="M191">
            <v>-232000</v>
          </cell>
          <cell r="N191">
            <v>-310000</v>
          </cell>
          <cell r="O191">
            <v>-431000</v>
          </cell>
          <cell r="P191">
            <v>-382917</v>
          </cell>
          <cell r="Q191">
            <v>-288857</v>
          </cell>
          <cell r="R191">
            <v>400462</v>
          </cell>
          <cell r="S191">
            <v>1279706</v>
          </cell>
          <cell r="T191">
            <v>1909826</v>
          </cell>
          <cell r="U191">
            <v>2062137</v>
          </cell>
          <cell r="V191">
            <v>1568169</v>
          </cell>
          <cell r="W191">
            <v>1338957</v>
          </cell>
          <cell r="X191">
            <v>612641</v>
          </cell>
          <cell r="Y191">
            <v>454328</v>
          </cell>
          <cell r="Z191">
            <v>220786</v>
          </cell>
          <cell r="AA191">
            <v>-655035</v>
          </cell>
          <cell r="AB191">
            <v>-973525</v>
          </cell>
          <cell r="AC191">
            <v>-1593535</v>
          </cell>
          <cell r="AD191">
            <v>-2069027</v>
          </cell>
          <cell r="AE191">
            <v>-1918942</v>
          </cell>
          <cell r="AF191">
            <v>-1870315</v>
          </cell>
          <cell r="AG191">
            <v>-1620276</v>
          </cell>
          <cell r="AH191">
            <v>-1192639</v>
          </cell>
          <cell r="AI191">
            <v>-1191455</v>
          </cell>
          <cell r="AJ191">
            <v>-1365403</v>
          </cell>
          <cell r="AK191">
            <v>-1525467</v>
          </cell>
          <cell r="AL191">
            <v>-1710949</v>
          </cell>
          <cell r="AM191">
            <v>-2152441</v>
          </cell>
          <cell r="AN191">
            <v>-2446006</v>
          </cell>
          <cell r="AO191">
            <v>-2995906</v>
          </cell>
          <cell r="AP191">
            <v>-3794067</v>
          </cell>
          <cell r="AQ191">
            <v>-3157055</v>
          </cell>
          <cell r="AR191">
            <v>-2279566</v>
          </cell>
          <cell r="AS191">
            <v>-1147689</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G192">
            <v>194</v>
          </cell>
          <cell r="H192" t="str">
            <v>4 Month Target (Budget) % Var</v>
          </cell>
          <cell r="I192">
            <v>0</v>
          </cell>
          <cell r="J192">
            <v>0</v>
          </cell>
          <cell r="K192">
            <v>0</v>
          </cell>
          <cell r="L192">
            <v>-2.2216855831924655E-2</v>
          </cell>
          <cell r="M192">
            <v>-2.7864520778284892E-2</v>
          </cell>
          <cell r="N192">
            <v>-2.527929544157221E-2</v>
          </cell>
          <cell r="O192">
            <v>-2.6440095699650328E-2</v>
          </cell>
          <cell r="P192">
            <v>-2.3697210988705367E-2</v>
          </cell>
          <cell r="Q192">
            <v>-1.7519728701581503E-2</v>
          </cell>
          <cell r="R192">
            <v>2.3040425774539578E-2</v>
          </cell>
          <cell r="S192">
            <v>7.2723683236965569E-2</v>
          </cell>
          <cell r="T192">
            <v>0.10778439599147738</v>
          </cell>
          <cell r="U192">
            <v>0.12058450713655557</v>
          </cell>
          <cell r="V192">
            <v>9.6801917952919342E-2</v>
          </cell>
          <cell r="W192">
            <v>8.0991113858351241E-2</v>
          </cell>
          <cell r="X192">
            <v>3.5004182679894233E-2</v>
          </cell>
          <cell r="Y192">
            <v>2.41908118384443E-2</v>
          </cell>
          <cell r="Z192">
            <v>1.120788167097167E-2</v>
          </cell>
          <cell r="AA192">
            <v>-3.2400928941881776E-2</v>
          </cell>
          <cell r="AB192">
            <v>-4.804881179845169E-2</v>
          </cell>
          <cell r="AC192">
            <v>-7.6940206146940832E-2</v>
          </cell>
          <cell r="AD192">
            <v>-9.4964021314440039E-2</v>
          </cell>
          <cell r="AE192">
            <v>-8.6945580570722783E-2</v>
          </cell>
          <cell r="AF192">
            <v>-8.367270995047231E-2</v>
          </cell>
          <cell r="AG192">
            <v>-7.4818575081919317E-2</v>
          </cell>
          <cell r="AH192">
            <v>-5.7872962084065033E-2</v>
          </cell>
          <cell r="AI192">
            <v>-5.8422292376296731E-2</v>
          </cell>
          <cell r="AJ192">
            <v>-6.6267695957257192E-2</v>
          </cell>
          <cell r="AK192">
            <v>-7.1950746985655997E-2</v>
          </cell>
          <cell r="AL192">
            <v>-7.9548199253582252E-2</v>
          </cell>
          <cell r="AM192">
            <v>-0.10021241890544554</v>
          </cell>
          <cell r="AN192">
            <v>-0.11680947776215175</v>
          </cell>
          <cell r="AO192">
            <v>-0.14373756650230046</v>
          </cell>
          <cell r="AP192">
            <v>-0.17675021080141809</v>
          </cell>
          <cell r="AQ192">
            <v>-0.19341831664667372</v>
          </cell>
          <cell r="AR192">
            <v>-0.20293189145919607</v>
          </cell>
          <cell r="AS192">
            <v>-0.1977199537127243</v>
          </cell>
          <cell r="AT192" t="e">
            <v>#DIV/0!</v>
          </cell>
          <cell r="AU192" t="e">
            <v>#DIV/0!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G193">
            <v>195</v>
          </cell>
          <cell r="H193" t="str">
            <v>Actual</v>
          </cell>
          <cell r="I193">
            <v>0</v>
          </cell>
          <cell r="J193">
            <v>0</v>
          </cell>
          <cell r="K193">
            <v>0</v>
          </cell>
          <cell r="L193">
            <v>-2.7523607996467248E-2</v>
          </cell>
          <cell r="M193">
            <v>-1.8708333520038388E-2</v>
          </cell>
          <cell r="N193">
            <v>-2.0396333866082122E-2</v>
          </cell>
          <cell r="O193">
            <v>-3.2400928941881776E-2</v>
          </cell>
          <cell r="P193">
            <v>-4.804881179845169E-2</v>
          </cell>
          <cell r="Q193">
            <v>-7.6940206146940832E-2</v>
          </cell>
          <cell r="R193">
            <v>-9.4964021314440039E-2</v>
          </cell>
          <cell r="S193">
            <v>-8.6945580570722783E-2</v>
          </cell>
          <cell r="T193">
            <v>-8.367270995047231E-2</v>
          </cell>
          <cell r="U193">
            <v>-7.4818575081919317E-2</v>
          </cell>
          <cell r="V193">
            <v>-5.7872962084065033E-2</v>
          </cell>
          <cell r="W193">
            <v>-5.8422292376296731E-2</v>
          </cell>
          <cell r="X193">
            <v>0</v>
          </cell>
          <cell r="Y193">
            <v>0</v>
          </cell>
          <cell r="Z193">
            <v>0</v>
          </cell>
          <cell r="AA193">
            <v>0</v>
          </cell>
          <cell r="AB193">
            <v>0</v>
          </cell>
          <cell r="AC193">
            <v>0</v>
          </cell>
          <cell r="AD193">
            <v>2.23</v>
          </cell>
          <cell r="AE193">
            <v>1.74</v>
          </cell>
          <cell r="AF193">
            <v>1.58</v>
          </cell>
          <cell r="AG193">
            <v>1.51</v>
          </cell>
          <cell r="AH193">
            <v>1.44</v>
          </cell>
          <cell r="AI193">
            <v>1.54</v>
          </cell>
          <cell r="AJ193">
            <v>1.51</v>
          </cell>
          <cell r="AK193">
            <v>1.48</v>
          </cell>
          <cell r="AL193">
            <v>1.44</v>
          </cell>
          <cell r="AM193">
            <v>1.38</v>
          </cell>
          <cell r="AN193">
            <v>1.3</v>
          </cell>
          <cell r="AO193">
            <v>1.29</v>
          </cell>
          <cell r="AP193">
            <v>0.76</v>
          </cell>
          <cell r="AQ193">
            <v>0.39</v>
          </cell>
          <cell r="AR193">
            <v>0.39</v>
          </cell>
          <cell r="AS193">
            <v>0.78</v>
          </cell>
          <cell r="AT193">
            <v>0.76</v>
          </cell>
          <cell r="AU193" t="e">
            <v>#DIV/0!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G194">
            <v>196</v>
          </cell>
          <cell r="H194" t="str">
            <v>Target (Budget)</v>
          </cell>
          <cell r="I194">
            <v>0</v>
          </cell>
          <cell r="J194">
            <v>0</v>
          </cell>
          <cell r="K194">
            <v>0</v>
          </cell>
          <cell r="L194">
            <v>0</v>
          </cell>
          <cell r="M194">
            <v>0</v>
          </cell>
          <cell r="N194">
            <v>0</v>
          </cell>
          <cell r="O194">
            <v>0</v>
          </cell>
          <cell r="P194">
            <v>0</v>
          </cell>
          <cell r="Q194">
            <v>0</v>
          </cell>
          <cell r="R194">
            <v>2.23</v>
          </cell>
          <cell r="S194">
            <v>1.74</v>
          </cell>
          <cell r="T194">
            <v>1.58</v>
          </cell>
          <cell r="U194">
            <v>1.51</v>
          </cell>
          <cell r="V194">
            <v>1.44</v>
          </cell>
          <cell r="W194">
            <v>1.54</v>
          </cell>
          <cell r="X194">
            <v>1.51</v>
          </cell>
          <cell r="Y194">
            <v>1.48</v>
          </cell>
          <cell r="Z194">
            <v>1.44</v>
          </cell>
          <cell r="AA194">
            <v>1.38</v>
          </cell>
          <cell r="AB194">
            <v>1.3</v>
          </cell>
          <cell r="AC194">
            <v>1.29</v>
          </cell>
          <cell r="AD194">
            <v>0.76</v>
          </cell>
          <cell r="AE194">
            <v>0.39</v>
          </cell>
          <cell r="AF194">
            <v>0.39</v>
          </cell>
          <cell r="AG194">
            <v>0.78</v>
          </cell>
          <cell r="AH194">
            <v>0.76</v>
          </cell>
          <cell r="AI194">
            <v>0.38</v>
          </cell>
          <cell r="AJ194">
            <v>2</v>
          </cell>
          <cell r="AK194">
            <v>2</v>
          </cell>
          <cell r="AL194">
            <v>2</v>
          </cell>
          <cell r="AM194">
            <v>2</v>
          </cell>
          <cell r="AN194">
            <v>2</v>
          </cell>
          <cell r="AO194">
            <v>2</v>
          </cell>
          <cell r="AP194">
            <v>2</v>
          </cell>
          <cell r="AQ194">
            <v>2</v>
          </cell>
          <cell r="AR194">
            <v>2</v>
          </cell>
          <cell r="AS194">
            <v>2</v>
          </cell>
          <cell r="AT194">
            <v>2</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G195">
            <v>197</v>
          </cell>
          <cell r="H195" t="str">
            <v>Target (Budget) Variance</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G196">
            <v>198</v>
          </cell>
          <cell r="H196" t="str">
            <v>Target (Budget) %Var</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t="e">
            <v>#DIV/0!</v>
          </cell>
          <cell r="Y196" t="e">
            <v>#DIV/0!</v>
          </cell>
          <cell r="Z196" t="e">
            <v>#DIV/0!</v>
          </cell>
          <cell r="AA196" t="e">
            <v>#DIV/0!</v>
          </cell>
          <cell r="AB196" t="e">
            <v>#DIV/0!</v>
          </cell>
          <cell r="AC196" t="e">
            <v>#DIV/0!</v>
          </cell>
          <cell r="AD196" t="e">
            <v>#DIV/0!</v>
          </cell>
          <cell r="AE196" t="e">
            <v>#DIV/0!</v>
          </cell>
          <cell r="AF196" t="e">
            <v>#DIV/0!</v>
          </cell>
          <cell r="AG196" t="e">
            <v>#DIV/0!</v>
          </cell>
          <cell r="AH196" t="e">
            <v>#DIV/0!</v>
          </cell>
          <cell r="AI196" t="e">
            <v>#DIV/0!</v>
          </cell>
          <cell r="AJ196" t="e">
            <v>#DIV/0!</v>
          </cell>
          <cell r="AK196" t="e">
            <v>#DIV/0!</v>
          </cell>
          <cell r="AL196" t="e">
            <v>#DIV/0!</v>
          </cell>
          <cell r="AM196" t="e">
            <v>#DIV/0!</v>
          </cell>
          <cell r="AN196" t="e">
            <v>#DIV/0!</v>
          </cell>
          <cell r="AO196" t="e">
            <v>#DIV/0!</v>
          </cell>
          <cell r="AP196" t="e">
            <v>#DIV/0!</v>
          </cell>
          <cell r="AQ196" t="e">
            <v>#DIV/0!</v>
          </cell>
          <cell r="AR196" t="e">
            <v>#DIV/0!</v>
          </cell>
          <cell r="AS196" t="e">
            <v>#DIV/0!</v>
          </cell>
          <cell r="AT196" t="e">
            <v>#DIV/0!</v>
          </cell>
          <cell r="AU196" t="e">
            <v>#DIV/0!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G197">
            <v>199</v>
          </cell>
          <cell r="H197" t="str">
            <v>YTD Actual</v>
          </cell>
          <cell r="I197">
            <v>0</v>
          </cell>
          <cell r="J197">
            <v>0</v>
          </cell>
          <cell r="K197">
            <v>0</v>
          </cell>
          <cell r="L197">
            <v>4.4000000000000004</v>
          </cell>
          <cell r="M197">
            <v>4.3499999999999996</v>
          </cell>
          <cell r="N197">
            <v>4.3</v>
          </cell>
          <cell r="O197">
            <v>4.4524999999999997</v>
          </cell>
          <cell r="P197">
            <v>4.4524999999999997</v>
          </cell>
          <cell r="Q197">
            <v>4.4524999999999997</v>
          </cell>
          <cell r="R197">
            <v>4.4524999999999997</v>
          </cell>
          <cell r="S197">
            <v>4.4524999999999997</v>
          </cell>
          <cell r="T197">
            <v>4.4524999999999997</v>
          </cell>
          <cell r="U197">
            <v>4.4524999999999997</v>
          </cell>
          <cell r="V197">
            <v>4.4524999999999997</v>
          </cell>
          <cell r="W197">
            <v>4.4524999999999997</v>
          </cell>
          <cell r="X197">
            <v>4.87</v>
          </cell>
          <cell r="Y197">
            <v>4.82</v>
          </cell>
          <cell r="Z197">
            <v>4.8500000000000005</v>
          </cell>
          <cell r="AA197">
            <v>4.8650000000000002</v>
          </cell>
          <cell r="AB197">
            <v>4.8840000000000003</v>
          </cell>
          <cell r="AC197">
            <v>1.05</v>
          </cell>
          <cell r="AD197">
            <v>1.33</v>
          </cell>
          <cell r="AE197">
            <v>1.17</v>
          </cell>
          <cell r="AF197">
            <v>1.28</v>
          </cell>
          <cell r="AG197">
            <v>0.9</v>
          </cell>
          <cell r="AH197">
            <v>1.28</v>
          </cell>
          <cell r="AI197">
            <v>1.34</v>
          </cell>
          <cell r="AJ197">
            <v>1.4</v>
          </cell>
          <cell r="AK197">
            <v>1.37</v>
          </cell>
          <cell r="AL197">
            <v>1.35</v>
          </cell>
          <cell r="AM197">
            <v>1.35</v>
          </cell>
          <cell r="AN197">
            <v>1.3</v>
          </cell>
          <cell r="AO197">
            <v>1.29</v>
          </cell>
          <cell r="AP197">
            <v>0.57999999999999996</v>
          </cell>
          <cell r="AQ197">
            <v>0.56999999999999995</v>
          </cell>
          <cell r="AR197">
            <v>0.72</v>
          </cell>
          <cell r="AS197">
            <v>0.96</v>
          </cell>
          <cell r="AT197">
            <v>1.01</v>
          </cell>
          <cell r="AU197" t="e">
            <v>#DIV/0!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G198">
            <v>200</v>
          </cell>
          <cell r="H198" t="str">
            <v>YTD Target (Budget)</v>
          </cell>
          <cell r="I198">
            <v>0</v>
          </cell>
          <cell r="J198">
            <v>0</v>
          </cell>
          <cell r="K198">
            <v>0</v>
          </cell>
          <cell r="L198">
            <v>4</v>
          </cell>
          <cell r="M198">
            <v>4</v>
          </cell>
          <cell r="N198">
            <v>4</v>
          </cell>
          <cell r="O198">
            <v>4</v>
          </cell>
          <cell r="P198">
            <v>4</v>
          </cell>
          <cell r="Q198">
            <v>4</v>
          </cell>
          <cell r="R198">
            <v>4</v>
          </cell>
          <cell r="S198">
            <v>4</v>
          </cell>
          <cell r="T198">
            <v>4</v>
          </cell>
          <cell r="U198">
            <v>4</v>
          </cell>
          <cell r="V198">
            <v>4</v>
          </cell>
          <cell r="W198">
            <v>4</v>
          </cell>
          <cell r="X198">
            <v>4.25</v>
          </cell>
          <cell r="Y198">
            <v>4.25</v>
          </cell>
          <cell r="Z198">
            <v>4.25</v>
          </cell>
          <cell r="AA198">
            <v>4.25</v>
          </cell>
          <cell r="AB198">
            <v>4.25</v>
          </cell>
          <cell r="AC198">
            <v>1.7</v>
          </cell>
          <cell r="AD198">
            <v>2</v>
          </cell>
          <cell r="AE198">
            <v>2</v>
          </cell>
          <cell r="AF198">
            <v>2</v>
          </cell>
          <cell r="AG198">
            <v>2</v>
          </cell>
          <cell r="AH198">
            <v>2</v>
          </cell>
          <cell r="AI198">
            <v>2</v>
          </cell>
          <cell r="AJ198">
            <v>2</v>
          </cell>
          <cell r="AK198">
            <v>2</v>
          </cell>
          <cell r="AL198">
            <v>2</v>
          </cell>
          <cell r="AM198">
            <v>2</v>
          </cell>
          <cell r="AN198">
            <v>2</v>
          </cell>
          <cell r="AO198">
            <v>2</v>
          </cell>
          <cell r="AP198">
            <v>2</v>
          </cell>
          <cell r="AQ198">
            <v>2</v>
          </cell>
          <cell r="AR198">
            <v>2</v>
          </cell>
          <cell r="AS198">
            <v>2</v>
          </cell>
          <cell r="AT198">
            <v>2</v>
          </cell>
          <cell r="AU198">
            <v>2</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G199">
            <v>201</v>
          </cell>
          <cell r="H199" t="str">
            <v>YTD Target (Budget) Var</v>
          </cell>
          <cell r="I199">
            <v>0</v>
          </cell>
          <cell r="J199">
            <v>0</v>
          </cell>
          <cell r="K199">
            <v>0</v>
          </cell>
          <cell r="L199">
            <v>0.40000000000000036</v>
          </cell>
          <cell r="M199">
            <v>0.34999999999999964</v>
          </cell>
          <cell r="N199">
            <v>0.29999999999999982</v>
          </cell>
          <cell r="O199">
            <v>0.45249999999999968</v>
          </cell>
          <cell r="P199">
            <v>0.45249999999999968</v>
          </cell>
          <cell r="Q199">
            <v>0.45249999999999968</v>
          </cell>
          <cell r="R199">
            <v>0.45249999999999968</v>
          </cell>
          <cell r="S199">
            <v>0.45249999999999968</v>
          </cell>
          <cell r="T199">
            <v>0.45249999999999968</v>
          </cell>
          <cell r="U199">
            <v>0.45249999999999968</v>
          </cell>
          <cell r="V199">
            <v>0.45249999999999968</v>
          </cell>
          <cell r="W199">
            <v>0.45249999999999968</v>
          </cell>
          <cell r="X199">
            <v>0.62000000000000011</v>
          </cell>
          <cell r="Y199">
            <v>0.57000000000000028</v>
          </cell>
          <cell r="Z199">
            <v>0.60000000000000053</v>
          </cell>
          <cell r="AA199">
            <v>0.61500000000000021</v>
          </cell>
          <cell r="AB199">
            <v>0.63400000000000034</v>
          </cell>
          <cell r="AC199">
            <v>-0.64999999999999991</v>
          </cell>
          <cell r="AD199">
            <v>-0.66999999999999993</v>
          </cell>
          <cell r="AE199">
            <v>-0.83000000000000007</v>
          </cell>
          <cell r="AF199">
            <v>-0.72</v>
          </cell>
          <cell r="AG199">
            <v>-1.1000000000000001</v>
          </cell>
          <cell r="AH199">
            <v>-0.72</v>
          </cell>
          <cell r="AI199">
            <v>-0.65999999999999992</v>
          </cell>
          <cell r="AJ199">
            <v>-0.60000000000000009</v>
          </cell>
          <cell r="AK199">
            <v>-0.62999999999999989</v>
          </cell>
          <cell r="AL199">
            <v>-0.64999999999999991</v>
          </cell>
          <cell r="AM199">
            <v>-0.64999999999999991</v>
          </cell>
          <cell r="AN199">
            <v>-0.7</v>
          </cell>
          <cell r="AO199">
            <v>-0.71</v>
          </cell>
          <cell r="AP199">
            <v>-1.42</v>
          </cell>
          <cell r="AQ199">
            <v>-2</v>
          </cell>
          <cell r="AR199">
            <v>-2</v>
          </cell>
          <cell r="AS199">
            <v>-2</v>
          </cell>
          <cell r="AT199">
            <v>-2</v>
          </cell>
          <cell r="AU199">
            <v>-2</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G200">
            <v>202</v>
          </cell>
          <cell r="H200" t="str">
            <v>YTD %Var</v>
          </cell>
          <cell r="I200">
            <v>0</v>
          </cell>
          <cell r="J200">
            <v>0</v>
          </cell>
          <cell r="K200">
            <v>0</v>
          </cell>
          <cell r="L200">
            <v>0.10000000000000009</v>
          </cell>
          <cell r="M200">
            <v>8.7499999999999911E-2</v>
          </cell>
          <cell r="N200">
            <v>7.4999999999999956E-2</v>
          </cell>
          <cell r="O200">
            <v>0.11312499999999992</v>
          </cell>
          <cell r="P200">
            <v>0.11312499999999992</v>
          </cell>
          <cell r="Q200">
            <v>0.11312499999999992</v>
          </cell>
          <cell r="R200">
            <v>0.11312499999999992</v>
          </cell>
          <cell r="S200">
            <v>0.11312499999999992</v>
          </cell>
          <cell r="T200">
            <v>0.11312499999999992</v>
          </cell>
          <cell r="U200">
            <v>0.11312499999999992</v>
          </cell>
          <cell r="V200">
            <v>0.11312499999999992</v>
          </cell>
          <cell r="W200">
            <v>0.11312499999999992</v>
          </cell>
          <cell r="X200">
            <v>0.14588235294117649</v>
          </cell>
          <cell r="Y200">
            <v>0.13411764705882359</v>
          </cell>
          <cell r="Z200">
            <v>0.14117647058823543</v>
          </cell>
          <cell r="AA200">
            <v>0.14470588235294124</v>
          </cell>
          <cell r="AB200">
            <v>0.14917647058823538</v>
          </cell>
          <cell r="AC200">
            <v>-0.38235294117647056</v>
          </cell>
          <cell r="AD200">
            <v>-0.33499999999999996</v>
          </cell>
          <cell r="AE200">
            <v>-0.41500000000000004</v>
          </cell>
          <cell r="AF200">
            <v>-0.36</v>
          </cell>
          <cell r="AG200">
            <v>-0.55000000000000004</v>
          </cell>
          <cell r="AH200">
            <v>-0.36</v>
          </cell>
          <cell r="AI200">
            <v>-0.32999999999999996</v>
          </cell>
          <cell r="AJ200">
            <v>-0.30000000000000004</v>
          </cell>
          <cell r="AK200">
            <v>-0.31499999999999995</v>
          </cell>
          <cell r="AL200">
            <v>-0.32499999999999996</v>
          </cell>
          <cell r="AM200">
            <v>-0.32499999999999996</v>
          </cell>
          <cell r="AN200">
            <v>-0.35</v>
          </cell>
          <cell r="AO200">
            <v>-0.35499999999999998</v>
          </cell>
          <cell r="AP200">
            <v>-0.71</v>
          </cell>
          <cell r="AQ200">
            <v>-1</v>
          </cell>
          <cell r="AR200">
            <v>-1</v>
          </cell>
          <cell r="AS200">
            <v>-1</v>
          </cell>
          <cell r="AT200">
            <v>-1</v>
          </cell>
          <cell r="AU200">
            <v>-1</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G201">
            <v>203</v>
          </cell>
          <cell r="H201" t="str">
            <v>4 Month Actual</v>
          </cell>
          <cell r="I201">
            <v>0</v>
          </cell>
          <cell r="J201">
            <v>0</v>
          </cell>
          <cell r="K201">
            <v>0</v>
          </cell>
          <cell r="L201">
            <v>4.4000000000000004</v>
          </cell>
          <cell r="M201">
            <v>4.375</v>
          </cell>
          <cell r="N201">
            <v>4.3500000000000005</v>
          </cell>
          <cell r="O201">
            <v>4.3756250000000003</v>
          </cell>
          <cell r="P201">
            <v>4.3887499999999999</v>
          </cell>
          <cell r="Q201">
            <v>4.4143749999999997</v>
          </cell>
          <cell r="R201">
            <v>4.4524999999999997</v>
          </cell>
          <cell r="S201">
            <v>4.4524999999999997</v>
          </cell>
          <cell r="T201">
            <v>4.4524999999999997</v>
          </cell>
          <cell r="U201">
            <v>4.4524999999999997</v>
          </cell>
          <cell r="V201">
            <v>4.4524999999999997</v>
          </cell>
          <cell r="W201">
            <v>4.4524999999999997</v>
          </cell>
          <cell r="X201">
            <v>4.5568749999999998</v>
          </cell>
          <cell r="Y201">
            <v>4.6487499999999997</v>
          </cell>
          <cell r="Z201">
            <v>4.7481249999999999</v>
          </cell>
          <cell r="AA201">
            <v>4.8512500000000003</v>
          </cell>
          <cell r="AB201">
            <v>4.854750000000001</v>
          </cell>
          <cell r="AC201">
            <v>3.9122500000000002</v>
          </cell>
          <cell r="AD201">
            <v>3.0322500000000003</v>
          </cell>
          <cell r="AE201">
            <v>2.1085000000000003</v>
          </cell>
          <cell r="AF201">
            <v>1.2075</v>
          </cell>
          <cell r="AG201">
            <v>1.1700000000000002</v>
          </cell>
          <cell r="AH201">
            <v>1.1575</v>
          </cell>
          <cell r="AI201">
            <v>1.2</v>
          </cell>
          <cell r="AJ201">
            <v>1.23</v>
          </cell>
          <cell r="AK201">
            <v>1.3474999999999999</v>
          </cell>
          <cell r="AL201">
            <v>1.3650000000000002</v>
          </cell>
          <cell r="AM201">
            <v>1.3675000000000002</v>
          </cell>
          <cell r="AN201">
            <v>1.3425</v>
          </cell>
          <cell r="AO201">
            <v>1.3225</v>
          </cell>
          <cell r="AP201">
            <v>1.1300000000000001</v>
          </cell>
          <cell r="AQ201">
            <v>1.0566666666666666</v>
          </cell>
          <cell r="AR201">
            <v>0.93500000000000005</v>
          </cell>
          <cell r="AS201">
            <v>0.57999999999999996</v>
          </cell>
          <cell r="AT201" t="e">
            <v>#DIV/0!</v>
          </cell>
          <cell r="AU201" t="e">
            <v>#DIV/0!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G202">
            <v>204</v>
          </cell>
          <cell r="H202" t="str">
            <v>4 Month Target (Budget)</v>
          </cell>
          <cell r="I202">
            <v>0</v>
          </cell>
          <cell r="J202">
            <v>0</v>
          </cell>
          <cell r="K202">
            <v>0</v>
          </cell>
          <cell r="L202">
            <v>4</v>
          </cell>
          <cell r="M202">
            <v>4</v>
          </cell>
          <cell r="N202">
            <v>4</v>
          </cell>
          <cell r="O202">
            <v>4</v>
          </cell>
          <cell r="P202">
            <v>4</v>
          </cell>
          <cell r="Q202">
            <v>4</v>
          </cell>
          <cell r="R202">
            <v>4</v>
          </cell>
          <cell r="S202">
            <v>4</v>
          </cell>
          <cell r="T202">
            <v>4</v>
          </cell>
          <cell r="U202">
            <v>4</v>
          </cell>
          <cell r="V202">
            <v>4</v>
          </cell>
          <cell r="W202">
            <v>4</v>
          </cell>
          <cell r="X202">
            <v>4.0625</v>
          </cell>
          <cell r="Y202">
            <v>4.125</v>
          </cell>
          <cell r="Z202">
            <v>4.1875</v>
          </cell>
          <cell r="AA202">
            <v>4.25</v>
          </cell>
          <cell r="AB202">
            <v>4.25</v>
          </cell>
          <cell r="AC202">
            <v>3.6124999999999998</v>
          </cell>
          <cell r="AD202">
            <v>3.05</v>
          </cell>
          <cell r="AE202">
            <v>2.4874999999999998</v>
          </cell>
          <cell r="AF202">
            <v>1.925</v>
          </cell>
          <cell r="AG202">
            <v>2</v>
          </cell>
          <cell r="AH202">
            <v>2</v>
          </cell>
          <cell r="AI202">
            <v>2</v>
          </cell>
          <cell r="AJ202">
            <v>2</v>
          </cell>
          <cell r="AK202">
            <v>2</v>
          </cell>
          <cell r="AL202">
            <v>2</v>
          </cell>
          <cell r="AM202">
            <v>2</v>
          </cell>
          <cell r="AN202">
            <v>2</v>
          </cell>
          <cell r="AO202">
            <v>2</v>
          </cell>
          <cell r="AP202">
            <v>2</v>
          </cell>
          <cell r="AQ202">
            <v>2</v>
          </cell>
          <cell r="AR202">
            <v>2</v>
          </cell>
          <cell r="AS202">
            <v>2</v>
          </cell>
          <cell r="AT202">
            <v>2</v>
          </cell>
          <cell r="AU202">
            <v>2</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G203">
            <v>205</v>
          </cell>
          <cell r="H203" t="str">
            <v>4 Month Target (Budget) Var</v>
          </cell>
          <cell r="I203">
            <v>0</v>
          </cell>
          <cell r="J203">
            <v>0</v>
          </cell>
          <cell r="K203">
            <v>0</v>
          </cell>
          <cell r="L203">
            <v>0.40000000000000036</v>
          </cell>
          <cell r="M203">
            <v>0.375</v>
          </cell>
          <cell r="N203">
            <v>0.35000000000000053</v>
          </cell>
          <cell r="O203">
            <v>0.37562500000000032</v>
          </cell>
          <cell r="P203">
            <v>0.38874999999999993</v>
          </cell>
          <cell r="Q203">
            <v>0.41437499999999972</v>
          </cell>
          <cell r="R203">
            <v>0.45249999999999968</v>
          </cell>
          <cell r="S203">
            <v>0.45249999999999968</v>
          </cell>
          <cell r="T203">
            <v>0.45249999999999968</v>
          </cell>
          <cell r="U203">
            <v>0.45249999999999968</v>
          </cell>
          <cell r="V203">
            <v>0.45249999999999968</v>
          </cell>
          <cell r="W203">
            <v>0.45249999999999968</v>
          </cell>
          <cell r="X203">
            <v>0.49437499999999979</v>
          </cell>
          <cell r="Y203">
            <v>0.52374999999999972</v>
          </cell>
          <cell r="Z203">
            <v>0.56062499999999993</v>
          </cell>
          <cell r="AA203">
            <v>0.60125000000000028</v>
          </cell>
          <cell r="AB203">
            <v>0.60475000000000101</v>
          </cell>
          <cell r="AC203">
            <v>0.29975000000000041</v>
          </cell>
          <cell r="AD203">
            <v>-1.7749999999999488E-2</v>
          </cell>
          <cell r="AE203">
            <v>-0.37899999999999956</v>
          </cell>
          <cell r="AF203">
            <v>-0.71750000000000003</v>
          </cell>
          <cell r="AG203">
            <v>-0.82999999999999985</v>
          </cell>
          <cell r="AH203">
            <v>-0.84250000000000003</v>
          </cell>
          <cell r="AI203">
            <v>-0.8</v>
          </cell>
          <cell r="AJ203">
            <v>-0.77</v>
          </cell>
          <cell r="AK203">
            <v>-0.65250000000000008</v>
          </cell>
          <cell r="AL203">
            <v>-0.63499999999999979</v>
          </cell>
          <cell r="AM203">
            <v>-0.63249999999999984</v>
          </cell>
          <cell r="AN203">
            <v>-0.65749999999999997</v>
          </cell>
          <cell r="AO203">
            <v>-0.67749999999999999</v>
          </cell>
          <cell r="AP203">
            <v>-0.86999999999999988</v>
          </cell>
          <cell r="AQ203">
            <v>-0.94333333333333336</v>
          </cell>
          <cell r="AR203">
            <v>-1.0649999999999999</v>
          </cell>
          <cell r="AS203">
            <v>-1.42</v>
          </cell>
          <cell r="AT203" t="e">
            <v>#DIV/0!</v>
          </cell>
          <cell r="AU203" t="e">
            <v>#DIV/0!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G204">
            <v>206</v>
          </cell>
          <cell r="H204" t="str">
            <v>4 Month Target (Budget) % Var</v>
          </cell>
          <cell r="I204">
            <v>0</v>
          </cell>
          <cell r="J204">
            <v>0</v>
          </cell>
          <cell r="K204">
            <v>0</v>
          </cell>
          <cell r="L204">
            <v>0.10000000000000009</v>
          </cell>
          <cell r="M204">
            <v>9.375E-2</v>
          </cell>
          <cell r="N204">
            <v>8.7500000000000133E-2</v>
          </cell>
          <cell r="O204">
            <v>9.390625000000008E-2</v>
          </cell>
          <cell r="P204">
            <v>9.7187499999999982E-2</v>
          </cell>
          <cell r="Q204">
            <v>0.10359374999999993</v>
          </cell>
          <cell r="R204">
            <v>0.11312499999999992</v>
          </cell>
          <cell r="S204">
            <v>0.11312499999999992</v>
          </cell>
          <cell r="T204">
            <v>0.11312499999999992</v>
          </cell>
          <cell r="U204">
            <v>0.11312499999999992</v>
          </cell>
          <cell r="V204">
            <v>0.11312499999999992</v>
          </cell>
          <cell r="W204">
            <v>0.11312499999999992</v>
          </cell>
          <cell r="X204">
            <v>0.12169230769230764</v>
          </cell>
          <cell r="Y204">
            <v>0.1269696969696969</v>
          </cell>
          <cell r="Z204">
            <v>0.13388059701492536</v>
          </cell>
          <cell r="AA204">
            <v>0.14147058823529418</v>
          </cell>
          <cell r="AB204">
            <v>0.14229411764705907</v>
          </cell>
          <cell r="AC204">
            <v>8.2975778546712925E-2</v>
          </cell>
          <cell r="AD204">
            <v>-5.8196721311473739E-3</v>
          </cell>
          <cell r="AE204">
            <v>-0.15236180904522598</v>
          </cell>
          <cell r="AF204">
            <v>-0.37272727272727274</v>
          </cell>
          <cell r="AG204">
            <v>-0.41499999999999992</v>
          </cell>
          <cell r="AH204">
            <v>-0.42125000000000001</v>
          </cell>
          <cell r="AI204">
            <v>-0.4</v>
          </cell>
          <cell r="AJ204">
            <v>-0.38500000000000001</v>
          </cell>
          <cell r="AK204">
            <v>-0.32625000000000004</v>
          </cell>
          <cell r="AL204">
            <v>-0.31749999999999989</v>
          </cell>
          <cell r="AM204">
            <v>-0.31624999999999992</v>
          </cell>
          <cell r="AN204">
            <v>-0.32874999999999999</v>
          </cell>
          <cell r="AO204">
            <v>-0.33875</v>
          </cell>
          <cell r="AP204">
            <v>-0.43499999999999994</v>
          </cell>
          <cell r="AQ204">
            <v>-0.47166666666666668</v>
          </cell>
          <cell r="AR204">
            <v>-0.53249999999999997</v>
          </cell>
          <cell r="AS204">
            <v>-0.71</v>
          </cell>
          <cell r="AT204" t="e">
            <v>#DIV/0!</v>
          </cell>
          <cell r="AU204" t="e">
            <v>#DIV/0!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G205">
            <v>207</v>
          </cell>
          <cell r="H205" t="str">
            <v>Target (Budget) Std</v>
          </cell>
          <cell r="I205">
            <v>0</v>
          </cell>
          <cell r="J205">
            <v>0</v>
          </cell>
          <cell r="K205">
            <v>0</v>
          </cell>
          <cell r="L205">
            <v>0.14588235294117649</v>
          </cell>
          <cell r="M205">
            <v>0.14000000000000015</v>
          </cell>
          <cell r="N205">
            <v>0.14039215686274531</v>
          </cell>
          <cell r="O205">
            <v>0.14147058823529418</v>
          </cell>
          <cell r="P205">
            <v>0.14229411764705907</v>
          </cell>
          <cell r="Q205">
            <v>8.2975778546712925E-2</v>
          </cell>
          <cell r="R205">
            <v>-5.8196721311473739E-3</v>
          </cell>
          <cell r="S205">
            <v>-0.15236180904522598</v>
          </cell>
          <cell r="T205">
            <v>-0.37272727272727274</v>
          </cell>
          <cell r="U205">
            <v>-0.41499999999999992</v>
          </cell>
          <cell r="V205">
            <v>-0.42125000000000001</v>
          </cell>
          <cell r="W205">
            <v>-0.4</v>
          </cell>
          <cell r="X205">
            <v>2</v>
          </cell>
          <cell r="Y205">
            <v>2</v>
          </cell>
          <cell r="Z205">
            <v>2</v>
          </cell>
          <cell r="AA205">
            <v>2</v>
          </cell>
          <cell r="AB205">
            <v>2</v>
          </cell>
          <cell r="AC205">
            <v>2</v>
          </cell>
          <cell r="AD205">
            <v>2</v>
          </cell>
          <cell r="AE205">
            <v>2</v>
          </cell>
          <cell r="AF205">
            <v>2</v>
          </cell>
          <cell r="AG205">
            <v>2</v>
          </cell>
          <cell r="AH205">
            <v>2</v>
          </cell>
          <cell r="AI205">
            <v>2</v>
          </cell>
          <cell r="AJ205">
            <v>2</v>
          </cell>
          <cell r="AK205">
            <v>2</v>
          </cell>
          <cell r="AL205">
            <v>2</v>
          </cell>
          <cell r="AM205">
            <v>2</v>
          </cell>
          <cell r="AN205">
            <v>2</v>
          </cell>
          <cell r="AO205">
            <v>2</v>
          </cell>
          <cell r="AP205">
            <v>2</v>
          </cell>
          <cell r="AQ205">
            <v>2</v>
          </cell>
          <cell r="AR205">
            <v>2</v>
          </cell>
          <cell r="AS205">
            <v>2</v>
          </cell>
          <cell r="AT205">
            <v>2</v>
          </cell>
          <cell r="AU205">
            <v>2</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G206">
            <v>717</v>
          </cell>
          <cell r="H206" t="str">
            <v>Actual</v>
          </cell>
          <cell r="I206">
            <v>0</v>
          </cell>
          <cell r="J206">
            <v>0</v>
          </cell>
          <cell r="K206">
            <v>0</v>
          </cell>
          <cell r="L206">
            <v>185.5</v>
          </cell>
          <cell r="M206">
            <v>185.5</v>
          </cell>
          <cell r="N206">
            <v>185.5</v>
          </cell>
          <cell r="O206">
            <v>185.5</v>
          </cell>
          <cell r="P206">
            <v>185.5</v>
          </cell>
          <cell r="Q206">
            <v>185.5</v>
          </cell>
          <cell r="R206">
            <v>361</v>
          </cell>
          <cell r="S206">
            <v>361</v>
          </cell>
          <cell r="T206">
            <v>327</v>
          </cell>
          <cell r="U206">
            <v>327</v>
          </cell>
          <cell r="V206">
            <v>327</v>
          </cell>
          <cell r="W206">
            <v>94.3</v>
          </cell>
          <cell r="X206">
            <v>0.99992999999999999</v>
          </cell>
          <cell r="Y206">
            <v>0.99992999999999999</v>
          </cell>
          <cell r="Z206">
            <v>0.99992999999999999</v>
          </cell>
          <cell r="AA206">
            <v>0.99995000000000001</v>
          </cell>
          <cell r="AB206">
            <v>0.99995000000000001</v>
          </cell>
          <cell r="AC206">
            <v>0.99995000000000001</v>
          </cell>
          <cell r="AD206">
            <v>0.99987999999999999</v>
          </cell>
          <cell r="AE206">
            <v>0.99987999999999999</v>
          </cell>
          <cell r="AF206">
            <v>0.99987999999999999</v>
          </cell>
          <cell r="AG206">
            <v>0.99953000000000003</v>
          </cell>
          <cell r="AH206">
            <v>0.99953000000000003</v>
          </cell>
          <cell r="AI206">
            <v>0.99953000000000003</v>
          </cell>
          <cell r="AJ206">
            <v>0.99953000000000003</v>
          </cell>
          <cell r="AK206">
            <v>0.99953000000000003</v>
          </cell>
          <cell r="AL206">
            <v>0.99992999999999999</v>
          </cell>
          <cell r="AM206">
            <v>0.99992999999999999</v>
          </cell>
          <cell r="AN206">
            <v>0.99992999999999999</v>
          </cell>
          <cell r="AO206">
            <v>0.99980999999999998</v>
          </cell>
          <cell r="AP206">
            <v>0.99980999999999998</v>
          </cell>
          <cell r="AQ206">
            <v>0.99980999999999998</v>
          </cell>
          <cell r="AR206">
            <v>0.99985999999999997</v>
          </cell>
          <cell r="AS206">
            <v>0.99985999999999997</v>
          </cell>
          <cell r="AT206">
            <v>0.99985999999999997</v>
          </cell>
          <cell r="AU206">
            <v>2</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G207">
            <v>718</v>
          </cell>
          <cell r="H207" t="str">
            <v>Target</v>
          </cell>
          <cell r="I207">
            <v>0</v>
          </cell>
          <cell r="J207">
            <v>0</v>
          </cell>
          <cell r="K207">
            <v>0</v>
          </cell>
          <cell r="L207">
            <v>1500</v>
          </cell>
          <cell r="M207">
            <v>1500</v>
          </cell>
          <cell r="N207">
            <v>1500</v>
          </cell>
          <cell r="O207">
            <v>1500</v>
          </cell>
          <cell r="P207">
            <v>1500</v>
          </cell>
          <cell r="Q207">
            <v>1500</v>
          </cell>
          <cell r="R207">
            <v>1500</v>
          </cell>
          <cell r="S207">
            <v>1500</v>
          </cell>
          <cell r="T207">
            <v>750</v>
          </cell>
          <cell r="U207">
            <v>750</v>
          </cell>
          <cell r="V207">
            <v>750</v>
          </cell>
          <cell r="W207">
            <v>750</v>
          </cell>
          <cell r="X207">
            <v>0.99960000000000004</v>
          </cell>
          <cell r="Y207">
            <v>0.99960000000000004</v>
          </cell>
          <cell r="Z207">
            <v>0.99960000000000004</v>
          </cell>
          <cell r="AA207">
            <v>0.99960000000000004</v>
          </cell>
          <cell r="AB207">
            <v>0.99960000000000004</v>
          </cell>
          <cell r="AC207">
            <v>0.99960000000000004</v>
          </cell>
          <cell r="AD207">
            <v>0.99960000000000004</v>
          </cell>
          <cell r="AE207">
            <v>0.99960000000000004</v>
          </cell>
          <cell r="AF207">
            <v>0.99960000000000004</v>
          </cell>
          <cell r="AG207">
            <v>0.99960000000000004</v>
          </cell>
          <cell r="AH207">
            <v>0.99960000000000004</v>
          </cell>
          <cell r="AI207">
            <v>0.99960000000000004</v>
          </cell>
          <cell r="AJ207">
            <v>0.99960000000000004</v>
          </cell>
          <cell r="AK207">
            <v>0.99960000000000004</v>
          </cell>
          <cell r="AL207">
            <v>0.99960000000000004</v>
          </cell>
          <cell r="AM207">
            <v>0.99960000000000004</v>
          </cell>
          <cell r="AN207">
            <v>0.99960000000000004</v>
          </cell>
          <cell r="AO207">
            <v>0.99960000000000004</v>
          </cell>
          <cell r="AP207">
            <v>0.99960000000000004</v>
          </cell>
          <cell r="AQ207">
            <v>0.99960000000000004</v>
          </cell>
          <cell r="AR207">
            <v>0.99960000000000004</v>
          </cell>
          <cell r="AS207">
            <v>0.99960000000000004</v>
          </cell>
          <cell r="AT207">
            <v>0.99960000000000004</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G208">
            <v>719</v>
          </cell>
          <cell r="H208" t="str">
            <v>Target Variance</v>
          </cell>
          <cell r="I208">
            <v>0</v>
          </cell>
          <cell r="J208">
            <v>0</v>
          </cell>
          <cell r="K208">
            <v>0</v>
          </cell>
          <cell r="L208">
            <v>-1139</v>
          </cell>
          <cell r="M208">
            <v>-1139</v>
          </cell>
          <cell r="N208">
            <v>-1139</v>
          </cell>
          <cell r="O208">
            <v>-1139</v>
          </cell>
          <cell r="P208">
            <v>-1139</v>
          </cell>
          <cell r="Q208">
            <v>-1139</v>
          </cell>
          <cell r="R208">
            <v>-1139</v>
          </cell>
          <cell r="S208">
            <v>-1139</v>
          </cell>
          <cell r="T208">
            <v>-423</v>
          </cell>
          <cell r="U208">
            <v>-423</v>
          </cell>
          <cell r="V208">
            <v>-423</v>
          </cell>
          <cell r="W208">
            <v>-655.7</v>
          </cell>
          <cell r="X208">
            <v>3.2999999999994145E-4</v>
          </cell>
          <cell r="Y208">
            <v>3.2999999999994145E-4</v>
          </cell>
          <cell r="Z208">
            <v>3.2999999999994145E-4</v>
          </cell>
          <cell r="AA208">
            <v>3.4999999999996145E-4</v>
          </cell>
          <cell r="AB208">
            <v>3.4999999999996145E-4</v>
          </cell>
          <cell r="AC208">
            <v>3.4999999999996145E-4</v>
          </cell>
          <cell r="AD208">
            <v>2.7999999999994696E-4</v>
          </cell>
          <cell r="AE208">
            <v>2.7999999999994696E-4</v>
          </cell>
          <cell r="AF208">
            <v>2.7999999999994696E-4</v>
          </cell>
          <cell r="AG208">
            <v>-7.0000000000014495E-5</v>
          </cell>
          <cell r="AH208">
            <v>-7.0000000000014495E-5</v>
          </cell>
          <cell r="AI208">
            <v>-7.0000000000014495E-5</v>
          </cell>
          <cell r="AJ208">
            <v>-7.0000000000014495E-5</v>
          </cell>
          <cell r="AK208">
            <v>-7.0000000000014495E-5</v>
          </cell>
          <cell r="AL208">
            <v>3.2999999999994145E-4</v>
          </cell>
          <cell r="AM208">
            <v>3.2999999999994145E-4</v>
          </cell>
          <cell r="AN208">
            <v>3.2999999999994145E-4</v>
          </cell>
          <cell r="AO208">
            <v>2.0999999999993246E-4</v>
          </cell>
          <cell r="AP208">
            <v>2.0999999999993246E-4</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G209">
            <v>720</v>
          </cell>
          <cell r="H209" t="str">
            <v>Target %Var</v>
          </cell>
          <cell r="I209">
            <v>0</v>
          </cell>
          <cell r="J209">
            <v>0</v>
          </cell>
          <cell r="K209">
            <v>0</v>
          </cell>
          <cell r="L209">
            <v>-0.7593333333333333</v>
          </cell>
          <cell r="M209">
            <v>-0.7593333333333333</v>
          </cell>
          <cell r="N209">
            <v>-0.7593333333333333</v>
          </cell>
          <cell r="O209">
            <v>-0.7593333333333333</v>
          </cell>
          <cell r="P209">
            <v>-0.7593333333333333</v>
          </cell>
          <cell r="Q209">
            <v>-0.7593333333333333</v>
          </cell>
          <cell r="R209">
            <v>-0.7593333333333333</v>
          </cell>
          <cell r="S209">
            <v>-0.7593333333333333</v>
          </cell>
          <cell r="T209">
            <v>-0.56399999999999995</v>
          </cell>
          <cell r="U209">
            <v>-0.56399999999999995</v>
          </cell>
          <cell r="V209">
            <v>-0.56399999999999995</v>
          </cell>
          <cell r="W209">
            <v>-0.87426666666666675</v>
          </cell>
          <cell r="X209">
            <v>3.3013205282106985E-4</v>
          </cell>
          <cell r="Y209">
            <v>3.3013205282106985E-4</v>
          </cell>
          <cell r="Z209">
            <v>3.3013205282106985E-4</v>
          </cell>
          <cell r="AA209">
            <v>3.5014005602237037E-4</v>
          </cell>
          <cell r="AB209">
            <v>3.5014005602237037E-4</v>
          </cell>
          <cell r="AC209">
            <v>3.5014005602237037E-4</v>
          </cell>
          <cell r="AD209">
            <v>2.8011204481787408E-4</v>
          </cell>
          <cell r="AE209">
            <v>2.8011204481787408E-4</v>
          </cell>
          <cell r="AF209">
            <v>2.8011204481787408E-4</v>
          </cell>
          <cell r="AG209">
            <v>-7.0028011204496289E-5</v>
          </cell>
          <cell r="AH209">
            <v>-7.0028011204496289E-5</v>
          </cell>
          <cell r="AI209">
            <v>-7.0028011204496289E-5</v>
          </cell>
          <cell r="AJ209">
            <v>-7.0028011204496289E-5</v>
          </cell>
          <cell r="AK209">
            <v>-7.0028011204496289E-5</v>
          </cell>
          <cell r="AL209">
            <v>3.3013205282106985E-4</v>
          </cell>
          <cell r="AM209">
            <v>3.3013205282106985E-4</v>
          </cell>
          <cell r="AN209">
            <v>3.3013205282106985E-4</v>
          </cell>
          <cell r="AO209">
            <v>2.1008403361337782E-4</v>
          </cell>
          <cell r="AP209">
            <v>2.1008403361337782E-4</v>
          </cell>
          <cell r="AQ209" t="e">
            <v>#DIV/0!</v>
          </cell>
          <cell r="AR209" t="e">
            <v>#DIV/0!</v>
          </cell>
          <cell r="AS209" t="e">
            <v>#DIV/0!</v>
          </cell>
          <cell r="AT209" t="e">
            <v>#DIV/0!</v>
          </cell>
          <cell r="AU209" t="e">
            <v>#DIV/0!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G210">
            <v>721</v>
          </cell>
          <cell r="H210" t="str">
            <v>YTD Actual (average)</v>
          </cell>
          <cell r="I210">
            <v>0</v>
          </cell>
          <cell r="J210">
            <v>0</v>
          </cell>
          <cell r="K210">
            <v>0</v>
          </cell>
          <cell r="L210">
            <v>185.5</v>
          </cell>
          <cell r="M210">
            <v>185.5</v>
          </cell>
          <cell r="N210">
            <v>185.5</v>
          </cell>
          <cell r="O210">
            <v>185.5</v>
          </cell>
          <cell r="P210">
            <v>185.5</v>
          </cell>
          <cell r="Q210">
            <v>185.5</v>
          </cell>
          <cell r="R210">
            <v>361</v>
          </cell>
          <cell r="S210">
            <v>361</v>
          </cell>
          <cell r="T210">
            <v>688.7</v>
          </cell>
          <cell r="U210">
            <v>688.7</v>
          </cell>
          <cell r="V210">
            <v>688.7</v>
          </cell>
          <cell r="W210">
            <v>783</v>
          </cell>
          <cell r="X210">
            <v>0.99982000000000004</v>
          </cell>
          <cell r="Y210">
            <v>0.99982000000000004</v>
          </cell>
          <cell r="Z210">
            <v>0.99982000000000004</v>
          </cell>
          <cell r="AA210">
            <v>0.99982000000000004</v>
          </cell>
          <cell r="AB210">
            <v>0.99982000000000004</v>
          </cell>
          <cell r="AC210">
            <v>0.99982000000000004</v>
          </cell>
          <cell r="AD210">
            <v>0.99982000000000004</v>
          </cell>
          <cell r="AE210">
            <v>0.99982000000000004</v>
          </cell>
          <cell r="AF210">
            <v>0.99982000000000004</v>
          </cell>
          <cell r="AG210">
            <v>0.99982000000000004</v>
          </cell>
          <cell r="AH210">
            <v>0.99982000000000004</v>
          </cell>
          <cell r="AI210">
            <v>0.99982000000000004</v>
          </cell>
          <cell r="AJ210">
            <v>0.99982000000000004</v>
          </cell>
          <cell r="AK210">
            <v>0.99982000000000004</v>
          </cell>
          <cell r="AL210">
            <v>0.99992999999999999</v>
          </cell>
          <cell r="AM210">
            <v>0.99992999999999999</v>
          </cell>
          <cell r="AN210">
            <v>0.99992999999999999</v>
          </cell>
          <cell r="AO210">
            <v>0.99987000000000004</v>
          </cell>
          <cell r="AP210">
            <v>0.99987000000000004</v>
          </cell>
          <cell r="AQ210">
            <v>0.99987000000000004</v>
          </cell>
          <cell r="AR210">
            <v>0.99987000000000004</v>
          </cell>
          <cell r="AS210">
            <v>0.99987000000000004</v>
          </cell>
          <cell r="AT210">
            <v>0.99987000000000004</v>
          </cell>
          <cell r="AU210" t="e">
            <v>#DIV/0!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G211">
            <v>722</v>
          </cell>
          <cell r="H211" t="str">
            <v>YTD Target (average)</v>
          </cell>
          <cell r="I211">
            <v>0</v>
          </cell>
          <cell r="J211">
            <v>0</v>
          </cell>
          <cell r="K211">
            <v>0</v>
          </cell>
          <cell r="L211">
            <v>1500</v>
          </cell>
          <cell r="M211">
            <v>1500</v>
          </cell>
          <cell r="N211">
            <v>1500</v>
          </cell>
          <cell r="O211">
            <v>1500</v>
          </cell>
          <cell r="P211">
            <v>1500</v>
          </cell>
          <cell r="Q211">
            <v>1500</v>
          </cell>
          <cell r="R211">
            <v>1500</v>
          </cell>
          <cell r="S211">
            <v>2250</v>
          </cell>
          <cell r="T211">
            <v>2250</v>
          </cell>
          <cell r="U211">
            <v>2250</v>
          </cell>
          <cell r="V211">
            <v>2250</v>
          </cell>
          <cell r="W211">
            <v>3000</v>
          </cell>
          <cell r="X211">
            <v>0.99960000000000004</v>
          </cell>
          <cell r="Y211">
            <v>0.99960000000000004</v>
          </cell>
          <cell r="Z211">
            <v>0.99960000000000004</v>
          </cell>
          <cell r="AA211">
            <v>0.99960000000000004</v>
          </cell>
          <cell r="AB211">
            <v>0.99960000000000004</v>
          </cell>
          <cell r="AC211">
            <v>0.99960000000000004</v>
          </cell>
          <cell r="AD211">
            <v>0.99960000000000004</v>
          </cell>
          <cell r="AE211">
            <v>0.99960000000000004</v>
          </cell>
          <cell r="AF211">
            <v>0.99960000000000004</v>
          </cell>
          <cell r="AG211">
            <v>0.99960000000000004</v>
          </cell>
          <cell r="AH211">
            <v>0.99960000000000004</v>
          </cell>
          <cell r="AI211">
            <v>0.99960000000000004</v>
          </cell>
          <cell r="AJ211">
            <v>0.99960000000000004</v>
          </cell>
          <cell r="AK211">
            <v>0.99960000000000004</v>
          </cell>
          <cell r="AL211">
            <v>0.99960000000000004</v>
          </cell>
          <cell r="AM211">
            <v>0.99960000000000004</v>
          </cell>
          <cell r="AN211">
            <v>0.99960000000000004</v>
          </cell>
          <cell r="AO211">
            <v>0.99960000000000004</v>
          </cell>
          <cell r="AP211">
            <v>0.99960000000000004</v>
          </cell>
          <cell r="AQ211">
            <v>0.99960000000000004</v>
          </cell>
          <cell r="AR211">
            <v>0.99960000000000004</v>
          </cell>
          <cell r="AS211">
            <v>0.99960000000000004</v>
          </cell>
          <cell r="AT211">
            <v>0.99960000000000004</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G212">
            <v>723</v>
          </cell>
          <cell r="H212" t="str">
            <v>YTD Target Var</v>
          </cell>
          <cell r="I212">
            <v>0</v>
          </cell>
          <cell r="J212">
            <v>0</v>
          </cell>
          <cell r="K212">
            <v>0</v>
          </cell>
          <cell r="L212">
            <v>-932.83333333333337</v>
          </cell>
          <cell r="M212">
            <v>-1035.9166666666667</v>
          </cell>
          <cell r="N212">
            <v>-2639</v>
          </cell>
          <cell r="O212">
            <v>-2639</v>
          </cell>
          <cell r="P212">
            <v>-2639</v>
          </cell>
          <cell r="Q212">
            <v>-2639</v>
          </cell>
          <cell r="R212">
            <v>-2639</v>
          </cell>
          <cell r="S212">
            <v>-2639</v>
          </cell>
          <cell r="T212">
            <v>-2311.3000000000002</v>
          </cell>
          <cell r="U212">
            <v>-2311.3000000000002</v>
          </cell>
          <cell r="V212">
            <v>-2311.3000000000002</v>
          </cell>
          <cell r="W212">
            <v>-2217</v>
          </cell>
          <cell r="X212">
            <v>2.1999999999999797E-4</v>
          </cell>
          <cell r="Y212">
            <v>2.1999999999999797E-4</v>
          </cell>
          <cell r="Z212">
            <v>2.1999999999999797E-4</v>
          </cell>
          <cell r="AA212">
            <v>2.1999999999999797E-4</v>
          </cell>
          <cell r="AB212">
            <v>2.1999999999999797E-4</v>
          </cell>
          <cell r="AC212">
            <v>2.1999999999999797E-4</v>
          </cell>
          <cell r="AD212">
            <v>2.1999999999999797E-4</v>
          </cell>
          <cell r="AE212">
            <v>2.1999999999999797E-4</v>
          </cell>
          <cell r="AF212">
            <v>2.1999999999999797E-4</v>
          </cell>
          <cell r="AG212">
            <v>2.1999999999999797E-4</v>
          </cell>
          <cell r="AH212">
            <v>2.1999999999999797E-4</v>
          </cell>
          <cell r="AI212">
            <v>2.1999999999999797E-4</v>
          </cell>
          <cell r="AJ212">
            <v>2.1999999999999797E-4</v>
          </cell>
          <cell r="AK212">
            <v>2.1999999999999797E-4</v>
          </cell>
          <cell r="AL212">
            <v>3.2999999999994145E-4</v>
          </cell>
          <cell r="AM212">
            <v>3.2999999999994145E-4</v>
          </cell>
          <cell r="AN212">
            <v>3.2999999999994145E-4</v>
          </cell>
          <cell r="AO212">
            <v>2.6999999999999247E-4</v>
          </cell>
          <cell r="AP212">
            <v>2.6999999999999247E-4</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G213">
            <v>724</v>
          </cell>
          <cell r="H213" t="str">
            <v>YTD %Var</v>
          </cell>
          <cell r="I213">
            <v>0</v>
          </cell>
          <cell r="J213">
            <v>0</v>
          </cell>
          <cell r="K213">
            <v>0</v>
          </cell>
          <cell r="L213">
            <v>-0.62188888888888894</v>
          </cell>
          <cell r="M213">
            <v>-0.69061111111111118</v>
          </cell>
          <cell r="N213">
            <v>-0.87966666666666671</v>
          </cell>
          <cell r="O213">
            <v>-0.87966666666666671</v>
          </cell>
          <cell r="P213">
            <v>-0.87966666666666671</v>
          </cell>
          <cell r="Q213">
            <v>-0.87966666666666671</v>
          </cell>
          <cell r="R213">
            <v>-0.87966666666666671</v>
          </cell>
          <cell r="S213">
            <v>-0.87966666666666671</v>
          </cell>
          <cell r="T213">
            <v>-0.77043333333333341</v>
          </cell>
          <cell r="U213">
            <v>-0.77043333333333341</v>
          </cell>
          <cell r="V213">
            <v>-0.77043333333333341</v>
          </cell>
          <cell r="W213">
            <v>-0.73899999999999999</v>
          </cell>
          <cell r="X213">
            <v>2.2008803521408359E-4</v>
          </cell>
          <cell r="Y213">
            <v>2.2008803521408359E-4</v>
          </cell>
          <cell r="Z213">
            <v>2.2008803521408359E-4</v>
          </cell>
          <cell r="AA213">
            <v>2.2008803521408359E-4</v>
          </cell>
          <cell r="AB213">
            <v>2.2008803521408359E-4</v>
          </cell>
          <cell r="AC213">
            <v>2.2008803521408359E-4</v>
          </cell>
          <cell r="AD213">
            <v>2.2008803521408359E-4</v>
          </cell>
          <cell r="AE213">
            <v>2.2008803521408359E-4</v>
          </cell>
          <cell r="AF213">
            <v>2.2008803521408359E-4</v>
          </cell>
          <cell r="AG213">
            <v>2.2008803521408359E-4</v>
          </cell>
          <cell r="AH213">
            <v>2.2008803521408359E-4</v>
          </cell>
          <cell r="AI213">
            <v>2.2008803521408359E-4</v>
          </cell>
          <cell r="AJ213">
            <v>2.2008803521408359E-4</v>
          </cell>
          <cell r="AK213">
            <v>2.2008803521408359E-4</v>
          </cell>
          <cell r="AL213">
            <v>3.3013205282106985E-4</v>
          </cell>
          <cell r="AM213">
            <v>3.3013205282106985E-4</v>
          </cell>
          <cell r="AN213">
            <v>3.3013205282106985E-4</v>
          </cell>
          <cell r="AO213">
            <v>2.7010804321727939E-4</v>
          </cell>
          <cell r="AP213">
            <v>2.7010804321727939E-4</v>
          </cell>
          <cell r="AQ213" t="e">
            <v>#DIV/0!</v>
          </cell>
          <cell r="AR213" t="e">
            <v>#DIV/0!</v>
          </cell>
          <cell r="AS213" t="e">
            <v>#DIV/0!</v>
          </cell>
          <cell r="AT213" t="e">
            <v>#DIV/0!</v>
          </cell>
          <cell r="AU213" t="e">
            <v>#DIV/0!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G214">
            <v>725</v>
          </cell>
          <cell r="H214" t="str">
            <v>4 Month Actual (average)</v>
          </cell>
          <cell r="I214">
            <v>0</v>
          </cell>
          <cell r="J214">
            <v>0</v>
          </cell>
          <cell r="K214">
            <v>0</v>
          </cell>
          <cell r="L214">
            <v>567.16666666666663</v>
          </cell>
          <cell r="M214">
            <v>464.08333333333331</v>
          </cell>
          <cell r="N214">
            <v>361</v>
          </cell>
          <cell r="O214">
            <v>361</v>
          </cell>
          <cell r="P214">
            <v>361</v>
          </cell>
          <cell r="Q214">
            <v>361</v>
          </cell>
          <cell r="R214">
            <v>361</v>
          </cell>
          <cell r="S214">
            <v>361</v>
          </cell>
          <cell r="T214">
            <v>349.66666666666669</v>
          </cell>
          <cell r="U214">
            <v>338.33333333333331</v>
          </cell>
          <cell r="V214">
            <v>327</v>
          </cell>
          <cell r="W214">
            <v>249.433333333333</v>
          </cell>
          <cell r="X214">
            <v>187.32498249999998</v>
          </cell>
          <cell r="Y214">
            <v>32.099953333333339</v>
          </cell>
          <cell r="Z214">
            <v>24.324947500000004</v>
          </cell>
          <cell r="AA214">
            <v>0.9999366666666667</v>
          </cell>
          <cell r="AB214">
            <v>0.99994333333333341</v>
          </cell>
          <cell r="AC214">
            <v>0.99995000000000001</v>
          </cell>
          <cell r="AD214">
            <v>0.99992666666666663</v>
          </cell>
          <cell r="AE214">
            <v>0.99990333333333326</v>
          </cell>
          <cell r="AF214">
            <v>0.99989749999999999</v>
          </cell>
          <cell r="AG214">
            <v>0.99976333333333345</v>
          </cell>
          <cell r="AH214">
            <v>0.99964666666666668</v>
          </cell>
          <cell r="AI214">
            <v>0.99953000000000003</v>
          </cell>
          <cell r="AJ214">
            <v>0.99953000000000003</v>
          </cell>
          <cell r="AK214">
            <v>0.99953000000000003</v>
          </cell>
          <cell r="AL214">
            <v>0.99966333333333335</v>
          </cell>
          <cell r="AM214">
            <v>0.99979666666666667</v>
          </cell>
          <cell r="AN214">
            <v>0.99992999999999999</v>
          </cell>
          <cell r="AO214">
            <v>0.99989000000000006</v>
          </cell>
          <cell r="AP214">
            <v>0.99985000000000002</v>
          </cell>
          <cell r="AQ214">
            <v>0.99980999999999998</v>
          </cell>
          <cell r="AR214">
            <v>0.99980999999999998</v>
          </cell>
          <cell r="AS214" t="e">
            <v>#DIV/0!</v>
          </cell>
          <cell r="AT214" t="e">
            <v>#DIV/0!</v>
          </cell>
          <cell r="AU214" t="e">
            <v>#DIV/0!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G215">
            <v>726</v>
          </cell>
          <cell r="H215" t="str">
            <v>4 Month Target (average)</v>
          </cell>
          <cell r="I215">
            <v>0</v>
          </cell>
          <cell r="J215">
            <v>0</v>
          </cell>
          <cell r="K215">
            <v>0</v>
          </cell>
          <cell r="L215">
            <v>1000</v>
          </cell>
          <cell r="M215">
            <v>1250</v>
          </cell>
          <cell r="N215">
            <v>1500</v>
          </cell>
          <cell r="O215">
            <v>1500</v>
          </cell>
          <cell r="P215">
            <v>1500</v>
          </cell>
          <cell r="Q215">
            <v>1500</v>
          </cell>
          <cell r="R215">
            <v>1500</v>
          </cell>
          <cell r="S215">
            <v>1500</v>
          </cell>
          <cell r="T215">
            <v>1250</v>
          </cell>
          <cell r="U215">
            <v>1000</v>
          </cell>
          <cell r="V215">
            <v>750</v>
          </cell>
          <cell r="W215">
            <v>750</v>
          </cell>
          <cell r="X215">
            <v>562.74990000000003</v>
          </cell>
          <cell r="Y215">
            <v>250.66639999999998</v>
          </cell>
          <cell r="Z215">
            <v>188.24969999999999</v>
          </cell>
          <cell r="AA215">
            <v>0.99960000000000004</v>
          </cell>
          <cell r="AB215">
            <v>0.99960000000000004</v>
          </cell>
          <cell r="AC215">
            <v>0.99960000000000004</v>
          </cell>
          <cell r="AD215">
            <v>0.99960000000000004</v>
          </cell>
          <cell r="AE215">
            <v>0.99960000000000004</v>
          </cell>
          <cell r="AF215">
            <v>0.99960000000000004</v>
          </cell>
          <cell r="AG215">
            <v>0.99960000000000004</v>
          </cell>
          <cell r="AH215">
            <v>0.99960000000000004</v>
          </cell>
          <cell r="AI215">
            <v>0.99960000000000004</v>
          </cell>
          <cell r="AJ215">
            <v>0.99960000000000004</v>
          </cell>
          <cell r="AK215">
            <v>0.99960000000000004</v>
          </cell>
          <cell r="AL215">
            <v>0.99960000000000004</v>
          </cell>
          <cell r="AM215">
            <v>0.99960000000000004</v>
          </cell>
          <cell r="AN215">
            <v>0.99960000000000004</v>
          </cell>
          <cell r="AO215">
            <v>0.99960000000000004</v>
          </cell>
          <cell r="AP215">
            <v>0.99960000000000004</v>
          </cell>
          <cell r="AQ215">
            <v>0.99960000000000004</v>
          </cell>
          <cell r="AR215">
            <v>0.99960000000000004</v>
          </cell>
          <cell r="AS215" t="e">
            <v>#DIV/0!</v>
          </cell>
          <cell r="AT215" t="e">
            <v>#DIV/0!</v>
          </cell>
          <cell r="AU215" t="e">
            <v>#DIV/0!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G216">
            <v>727</v>
          </cell>
          <cell r="H216" t="str">
            <v>4 Month Target Var</v>
          </cell>
          <cell r="I216">
            <v>0</v>
          </cell>
          <cell r="J216">
            <v>0</v>
          </cell>
          <cell r="K216">
            <v>0</v>
          </cell>
          <cell r="L216">
            <v>-432.83333333333337</v>
          </cell>
          <cell r="M216">
            <v>-785.91666666666674</v>
          </cell>
          <cell r="N216">
            <v>-1139</v>
          </cell>
          <cell r="O216">
            <v>-1139</v>
          </cell>
          <cell r="P216">
            <v>-1139</v>
          </cell>
          <cell r="Q216">
            <v>-1139</v>
          </cell>
          <cell r="R216">
            <v>-1139</v>
          </cell>
          <cell r="S216">
            <v>-1139</v>
          </cell>
          <cell r="T216">
            <v>-900.33333333333326</v>
          </cell>
          <cell r="U216">
            <v>-661.66666666666674</v>
          </cell>
          <cell r="V216">
            <v>-423</v>
          </cell>
          <cell r="W216">
            <v>-500.56666666666672</v>
          </cell>
          <cell r="X216">
            <v>-375.42491750000005</v>
          </cell>
          <cell r="Y216">
            <v>-218.56644666666665</v>
          </cell>
          <cell r="Z216">
            <v>-163.92475249999998</v>
          </cell>
          <cell r="AA216">
            <v>3.3666666666665179E-4</v>
          </cell>
          <cell r="AB216">
            <v>3.4333333333336213E-4</v>
          </cell>
          <cell r="AC216">
            <v>3.4999999999996145E-4</v>
          </cell>
          <cell r="AD216">
            <v>3.2666666666658628E-4</v>
          </cell>
          <cell r="AE216">
            <v>3.0333333333321111E-4</v>
          </cell>
          <cell r="AF216">
            <v>2.9749999999995058E-4</v>
          </cell>
          <cell r="AG216">
            <v>1.6333333333340416E-4</v>
          </cell>
          <cell r="AH216">
            <v>4.6666666666639323E-5</v>
          </cell>
          <cell r="AI216">
            <v>-7.0000000000014495E-5</v>
          </cell>
          <cell r="AJ216">
            <v>-7.0000000000014495E-5</v>
          </cell>
          <cell r="AK216">
            <v>-7.0000000000014495E-5</v>
          </cell>
          <cell r="AL216">
            <v>6.3333333333304154E-5</v>
          </cell>
          <cell r="AM216">
            <v>1.966666666666228E-4</v>
          </cell>
          <cell r="AN216">
            <v>3.2999999999994145E-4</v>
          </cell>
          <cell r="AO216">
            <v>2.9000000000001247E-4</v>
          </cell>
          <cell r="AP216">
            <v>2.4999999999997247E-4</v>
          </cell>
          <cell r="AQ216">
            <v>2.0999999999993246E-4</v>
          </cell>
          <cell r="AR216">
            <v>2.0999999999993246E-4</v>
          </cell>
          <cell r="AS216" t="e">
            <v>#DIV/0!</v>
          </cell>
          <cell r="AT216" t="e">
            <v>#DIV/0!</v>
          </cell>
          <cell r="AU216" t="e">
            <v>#DIV/0!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G217">
            <v>728</v>
          </cell>
          <cell r="H217" t="str">
            <v>4 Month Target % Var</v>
          </cell>
          <cell r="I217">
            <v>0</v>
          </cell>
          <cell r="J217">
            <v>0</v>
          </cell>
          <cell r="K217">
            <v>0</v>
          </cell>
          <cell r="L217">
            <v>-0.43283333333333335</v>
          </cell>
          <cell r="M217">
            <v>-0.62873333333333337</v>
          </cell>
          <cell r="N217">
            <v>-0.7593333333333333</v>
          </cell>
          <cell r="O217">
            <v>-0.7593333333333333</v>
          </cell>
          <cell r="P217">
            <v>-0.7593333333333333</v>
          </cell>
          <cell r="Q217">
            <v>-0.7593333333333333</v>
          </cell>
          <cell r="R217">
            <v>-0.7593333333333333</v>
          </cell>
          <cell r="S217">
            <v>-0.7593333333333333</v>
          </cell>
          <cell r="T217">
            <v>-0.72026666666666661</v>
          </cell>
          <cell r="U217">
            <v>-0.66166666666666674</v>
          </cell>
          <cell r="V217">
            <v>-0.56399999999999995</v>
          </cell>
          <cell r="W217">
            <v>-0.66742222222222203</v>
          </cell>
          <cell r="X217">
            <v>-0.66712569384730236</v>
          </cell>
          <cell r="Y217">
            <v>-0.8719415392995099</v>
          </cell>
          <cell r="Z217">
            <v>-0.87078360549844169</v>
          </cell>
          <cell r="AA217">
            <v>3.3680138722154038E-4</v>
          </cell>
          <cell r="AB217">
            <v>3.4347072162201092E-4</v>
          </cell>
          <cell r="AC217">
            <v>3.5014005602237037E-4</v>
          </cell>
          <cell r="AD217">
            <v>3.2679738562083462E-4</v>
          </cell>
          <cell r="AE217">
            <v>3.0345471521929881E-4</v>
          </cell>
          <cell r="AF217">
            <v>2.9761904761899815E-4</v>
          </cell>
          <cell r="AG217">
            <v>1.6339869281052836E-4</v>
          </cell>
          <cell r="AH217">
            <v>4.6685340802960503E-5</v>
          </cell>
          <cell r="AI217">
            <v>-7.0028011204496289E-5</v>
          </cell>
          <cell r="AJ217">
            <v>-7.0028011204496289E-5</v>
          </cell>
          <cell r="AK217">
            <v>-7.0028011204496289E-5</v>
          </cell>
          <cell r="AL217">
            <v>6.3358676804025759E-5</v>
          </cell>
          <cell r="AM217">
            <v>1.9674536481254781E-4</v>
          </cell>
          <cell r="AN217">
            <v>3.3013205282106985E-4</v>
          </cell>
          <cell r="AO217">
            <v>2.901160464185799E-4</v>
          </cell>
          <cell r="AP217">
            <v>2.5010004001597887E-4</v>
          </cell>
          <cell r="AQ217">
            <v>2.1008403361337782E-4</v>
          </cell>
          <cell r="AR217">
            <v>2.1008403361337782E-4</v>
          </cell>
          <cell r="AS217" t="e">
            <v>#DIV/0!</v>
          </cell>
          <cell r="AT217" t="e">
            <v>#DIV/0!</v>
          </cell>
          <cell r="AU217" t="e">
            <v>#DIV/0!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G218">
            <v>208</v>
          </cell>
          <cell r="H218" t="str">
            <v>Actual</v>
          </cell>
          <cell r="I218">
            <v>0</v>
          </cell>
          <cell r="J218">
            <v>0</v>
          </cell>
          <cell r="K218">
            <v>0</v>
          </cell>
          <cell r="L218">
            <v>185.5</v>
          </cell>
          <cell r="M218">
            <v>185.5</v>
          </cell>
          <cell r="N218">
            <v>185.5</v>
          </cell>
          <cell r="O218">
            <v>185.5</v>
          </cell>
          <cell r="P218">
            <v>185.5</v>
          </cell>
          <cell r="Q218">
            <v>185.5</v>
          </cell>
          <cell r="R218">
            <v>361</v>
          </cell>
          <cell r="S218">
            <v>361</v>
          </cell>
          <cell r="T218">
            <v>327</v>
          </cell>
          <cell r="U218">
            <v>327</v>
          </cell>
          <cell r="V218">
            <v>327</v>
          </cell>
          <cell r="W218">
            <v>94.3</v>
          </cell>
          <cell r="X218">
            <v>128</v>
          </cell>
          <cell r="Y218">
            <v>128</v>
          </cell>
          <cell r="Z218">
            <v>128</v>
          </cell>
          <cell r="AA218">
            <v>86</v>
          </cell>
          <cell r="AB218">
            <v>86</v>
          </cell>
          <cell r="AC218">
            <v>86</v>
          </cell>
          <cell r="AD218">
            <v>86</v>
          </cell>
          <cell r="AE218">
            <v>86</v>
          </cell>
          <cell r="AF218">
            <v>233</v>
          </cell>
          <cell r="AG218">
            <v>233</v>
          </cell>
          <cell r="AH218">
            <v>233</v>
          </cell>
          <cell r="AI218">
            <v>867</v>
          </cell>
          <cell r="AJ218">
            <v>15</v>
          </cell>
          <cell r="AK218">
            <v>15</v>
          </cell>
          <cell r="AL218" t="e">
            <v>#DIV/0!</v>
          </cell>
          <cell r="AM218" t="e">
            <v>#DIV/0!</v>
          </cell>
          <cell r="AN218" t="e">
            <v>#DIV/0!</v>
          </cell>
          <cell r="AO218" t="e">
            <v>#DIV/0!</v>
          </cell>
          <cell r="AP218" t="e">
            <v>#DIV/0!</v>
          </cell>
          <cell r="AQ218" t="e">
            <v>#DIV/0!</v>
          </cell>
          <cell r="AR218" t="e">
            <v>#DIV/0!</v>
          </cell>
          <cell r="AS218" t="e">
            <v>#DIV/0!</v>
          </cell>
          <cell r="AT218" t="e">
            <v>#DIV/0!</v>
          </cell>
          <cell r="AU218" t="e">
            <v>#DIV/0!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G219">
            <v>209</v>
          </cell>
          <cell r="H219" t="str">
            <v>Target (Budget)</v>
          </cell>
          <cell r="I219">
            <v>0</v>
          </cell>
          <cell r="J219">
            <v>0</v>
          </cell>
          <cell r="K219">
            <v>0</v>
          </cell>
          <cell r="L219">
            <v>1500</v>
          </cell>
          <cell r="M219">
            <v>1500</v>
          </cell>
          <cell r="N219">
            <v>1500</v>
          </cell>
          <cell r="O219">
            <v>1500</v>
          </cell>
          <cell r="P219">
            <v>1500</v>
          </cell>
          <cell r="Q219">
            <v>1500</v>
          </cell>
          <cell r="R219">
            <v>1500</v>
          </cell>
          <cell r="S219">
            <v>1500</v>
          </cell>
          <cell r="T219">
            <v>750</v>
          </cell>
          <cell r="U219">
            <v>750</v>
          </cell>
          <cell r="V219">
            <v>750</v>
          </cell>
          <cell r="W219">
            <v>750</v>
          </cell>
          <cell r="X219">
            <v>750</v>
          </cell>
          <cell r="Y219">
            <v>750</v>
          </cell>
          <cell r="Z219">
            <v>750</v>
          </cell>
          <cell r="AA219">
            <v>750</v>
          </cell>
          <cell r="AB219">
            <v>750</v>
          </cell>
          <cell r="AC219">
            <v>750</v>
          </cell>
          <cell r="AD219">
            <v>750</v>
          </cell>
          <cell r="AE219">
            <v>750</v>
          </cell>
          <cell r="AF219">
            <v>750</v>
          </cell>
          <cell r="AG219">
            <v>750</v>
          </cell>
          <cell r="AH219">
            <v>750</v>
          </cell>
          <cell r="AI219">
            <v>750</v>
          </cell>
          <cell r="AJ219">
            <v>23</v>
          </cell>
          <cell r="AK219">
            <v>23</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G220">
            <v>210</v>
          </cell>
          <cell r="H220" t="str">
            <v>Target (Budget) Variance</v>
          </cell>
          <cell r="I220">
            <v>0</v>
          </cell>
          <cell r="J220">
            <v>0</v>
          </cell>
          <cell r="K220">
            <v>0</v>
          </cell>
          <cell r="L220">
            <v>-1314.5</v>
          </cell>
          <cell r="M220">
            <v>-1314.5</v>
          </cell>
          <cell r="N220">
            <v>-1314.5</v>
          </cell>
          <cell r="O220">
            <v>-1314.5</v>
          </cell>
          <cell r="P220">
            <v>-1314.5</v>
          </cell>
          <cell r="Q220">
            <v>-1314.5</v>
          </cell>
          <cell r="R220">
            <v>-1139</v>
          </cell>
          <cell r="S220">
            <v>-1139</v>
          </cell>
          <cell r="T220">
            <v>-423</v>
          </cell>
          <cell r="U220">
            <v>-423</v>
          </cell>
          <cell r="V220">
            <v>-423</v>
          </cell>
          <cell r="W220">
            <v>-655.7</v>
          </cell>
          <cell r="X220">
            <v>-622</v>
          </cell>
          <cell r="Y220">
            <v>-622</v>
          </cell>
          <cell r="Z220">
            <v>-622</v>
          </cell>
          <cell r="AA220">
            <v>-664</v>
          </cell>
          <cell r="AB220">
            <v>-664</v>
          </cell>
          <cell r="AC220">
            <v>-664</v>
          </cell>
          <cell r="AD220">
            <v>-664</v>
          </cell>
          <cell r="AE220">
            <v>-664</v>
          </cell>
          <cell r="AF220">
            <v>-517</v>
          </cell>
          <cell r="AG220">
            <v>-517</v>
          </cell>
          <cell r="AH220">
            <v>-517</v>
          </cell>
          <cell r="AI220">
            <v>117</v>
          </cell>
          <cell r="AJ220">
            <v>-8</v>
          </cell>
          <cell r="AK220">
            <v>-8</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G221">
            <v>211</v>
          </cell>
          <cell r="H221" t="str">
            <v>Target (Budget) %Var</v>
          </cell>
          <cell r="I221">
            <v>0</v>
          </cell>
          <cell r="J221">
            <v>0</v>
          </cell>
          <cell r="K221">
            <v>0</v>
          </cell>
          <cell r="L221">
            <v>-0.8763333333333333</v>
          </cell>
          <cell r="M221">
            <v>-0.8763333333333333</v>
          </cell>
          <cell r="N221">
            <v>-0.8763333333333333</v>
          </cell>
          <cell r="O221">
            <v>-0.8763333333333333</v>
          </cell>
          <cell r="P221">
            <v>-0.8763333333333333</v>
          </cell>
          <cell r="Q221">
            <v>-0.8763333333333333</v>
          </cell>
          <cell r="R221">
            <v>-0.7593333333333333</v>
          </cell>
          <cell r="S221">
            <v>-0.7593333333333333</v>
          </cell>
          <cell r="T221">
            <v>-0.56399999999999995</v>
          </cell>
          <cell r="U221">
            <v>-0.56399999999999995</v>
          </cell>
          <cell r="V221">
            <v>-0.56399999999999995</v>
          </cell>
          <cell r="W221">
            <v>-0.87426666666666675</v>
          </cell>
          <cell r="X221">
            <v>-0.82933333333333337</v>
          </cell>
          <cell r="Y221">
            <v>-0.82933333333333337</v>
          </cell>
          <cell r="Z221">
            <v>-0.82933333333333337</v>
          </cell>
          <cell r="AA221">
            <v>-0.88533333333333331</v>
          </cell>
          <cell r="AB221">
            <v>-0.88533333333333331</v>
          </cell>
          <cell r="AC221">
            <v>-0.88533333333333331</v>
          </cell>
          <cell r="AD221">
            <v>-0.88533333333333331</v>
          </cell>
          <cell r="AE221">
            <v>-0.88533333333333331</v>
          </cell>
          <cell r="AF221">
            <v>-0.68933333333333335</v>
          </cell>
          <cell r="AG221">
            <v>-0.68933333333333335</v>
          </cell>
          <cell r="AH221">
            <v>-0.68933333333333335</v>
          </cell>
          <cell r="AI221">
            <v>0.156</v>
          </cell>
          <cell r="AJ221">
            <v>-0.34782608695652173</v>
          </cell>
          <cell r="AK221">
            <v>-0.34782608695652173</v>
          </cell>
          <cell r="AL221" t="e">
            <v>#DIV/0!</v>
          </cell>
          <cell r="AM221" t="e">
            <v>#DIV/0!</v>
          </cell>
          <cell r="AN221" t="e">
            <v>#DIV/0!</v>
          </cell>
          <cell r="AO221" t="e">
            <v>#DIV/0!</v>
          </cell>
          <cell r="AP221" t="e">
            <v>#DIV/0!</v>
          </cell>
          <cell r="AQ221" t="e">
            <v>#DIV/0!</v>
          </cell>
          <cell r="AR221" t="e">
            <v>#DIV/0!</v>
          </cell>
          <cell r="AS221" t="e">
            <v>#DIV/0!</v>
          </cell>
          <cell r="AT221" t="e">
            <v>#DIV/0!</v>
          </cell>
          <cell r="AU221" t="e">
            <v>#DIV/0!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G222">
            <v>212</v>
          </cell>
          <cell r="H222" t="str">
            <v>YTD Actual</v>
          </cell>
          <cell r="I222">
            <v>0</v>
          </cell>
          <cell r="J222">
            <v>0</v>
          </cell>
          <cell r="K222">
            <v>0</v>
          </cell>
          <cell r="L222">
            <v>185.5</v>
          </cell>
          <cell r="M222">
            <v>185.5</v>
          </cell>
          <cell r="N222">
            <v>185.5</v>
          </cell>
          <cell r="O222">
            <v>185.5</v>
          </cell>
          <cell r="P222">
            <v>185.5</v>
          </cell>
          <cell r="Q222">
            <v>185.5</v>
          </cell>
          <cell r="R222">
            <v>361</v>
          </cell>
          <cell r="S222">
            <v>361</v>
          </cell>
          <cell r="T222">
            <v>357.22222222222223</v>
          </cell>
          <cell r="U222">
            <v>354.2</v>
          </cell>
          <cell r="V222">
            <v>351.72727272727275</v>
          </cell>
          <cell r="W222">
            <v>783</v>
          </cell>
          <cell r="X222">
            <v>128</v>
          </cell>
          <cell r="Y222">
            <v>128</v>
          </cell>
          <cell r="Z222">
            <v>128</v>
          </cell>
          <cell r="AA222">
            <v>214</v>
          </cell>
          <cell r="AB222">
            <v>214</v>
          </cell>
          <cell r="AC222">
            <v>214</v>
          </cell>
          <cell r="AD222">
            <v>214</v>
          </cell>
          <cell r="AE222">
            <v>214</v>
          </cell>
          <cell r="AF222">
            <v>447</v>
          </cell>
          <cell r="AG222">
            <v>447</v>
          </cell>
          <cell r="AH222">
            <v>447</v>
          </cell>
          <cell r="AI222">
            <v>1314</v>
          </cell>
          <cell r="AJ222">
            <v>15</v>
          </cell>
          <cell r="AK222">
            <v>15</v>
          </cell>
          <cell r="AL222" t="e">
            <v>#DIV/0!</v>
          </cell>
          <cell r="AM222" t="e">
            <v>#DIV/0!</v>
          </cell>
          <cell r="AN222" t="e">
            <v>#DIV/0!</v>
          </cell>
          <cell r="AO222" t="e">
            <v>#DIV/0!</v>
          </cell>
          <cell r="AP222" t="e">
            <v>#DIV/0!</v>
          </cell>
          <cell r="AQ222" t="e">
            <v>#DIV/0!</v>
          </cell>
          <cell r="AR222" t="e">
            <v>#DIV/0!</v>
          </cell>
          <cell r="AS222" t="e">
            <v>#DIV/0!</v>
          </cell>
          <cell r="AT222" t="e">
            <v>#DIV/0!</v>
          </cell>
          <cell r="AU222" t="e">
            <v>#DIV/0!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G223">
            <v>213</v>
          </cell>
          <cell r="H223" t="str">
            <v>YTD Target (Budget)</v>
          </cell>
          <cell r="I223">
            <v>0</v>
          </cell>
          <cell r="J223">
            <v>0</v>
          </cell>
          <cell r="K223">
            <v>0</v>
          </cell>
          <cell r="L223">
            <v>750</v>
          </cell>
          <cell r="M223">
            <v>750</v>
          </cell>
          <cell r="N223">
            <v>750</v>
          </cell>
          <cell r="O223">
            <v>750</v>
          </cell>
          <cell r="P223">
            <v>750</v>
          </cell>
          <cell r="Q223">
            <v>3000</v>
          </cell>
          <cell r="R223">
            <v>3000</v>
          </cell>
          <cell r="S223">
            <v>3000</v>
          </cell>
          <cell r="T223">
            <v>3000</v>
          </cell>
          <cell r="U223">
            <v>3000</v>
          </cell>
          <cell r="V223">
            <v>3000</v>
          </cell>
          <cell r="W223">
            <v>3000</v>
          </cell>
          <cell r="X223">
            <v>750</v>
          </cell>
          <cell r="Y223">
            <v>750</v>
          </cell>
          <cell r="Z223">
            <v>750</v>
          </cell>
          <cell r="AA223">
            <v>1500</v>
          </cell>
          <cell r="AB223">
            <v>1500</v>
          </cell>
          <cell r="AC223">
            <v>1500</v>
          </cell>
          <cell r="AD223">
            <v>1500</v>
          </cell>
          <cell r="AE223">
            <v>1500</v>
          </cell>
          <cell r="AF223">
            <v>2250</v>
          </cell>
          <cell r="AG223">
            <v>2250</v>
          </cell>
          <cell r="AH223">
            <v>2250</v>
          </cell>
          <cell r="AI223">
            <v>3000</v>
          </cell>
          <cell r="AJ223">
            <v>23</v>
          </cell>
          <cell r="AK223">
            <v>23</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G224">
            <v>214</v>
          </cell>
          <cell r="H224" t="str">
            <v>YTD Target (Budget) Var</v>
          </cell>
          <cell r="I224">
            <v>0</v>
          </cell>
          <cell r="J224">
            <v>0</v>
          </cell>
          <cell r="K224">
            <v>0</v>
          </cell>
          <cell r="L224">
            <v>-564.5</v>
          </cell>
          <cell r="M224">
            <v>-564.5</v>
          </cell>
          <cell r="N224">
            <v>-564.5</v>
          </cell>
          <cell r="O224">
            <v>-564.5</v>
          </cell>
          <cell r="P224">
            <v>-564.5</v>
          </cell>
          <cell r="Q224">
            <v>-2814.5</v>
          </cell>
          <cell r="R224">
            <v>-2639</v>
          </cell>
          <cell r="S224">
            <v>-2639</v>
          </cell>
          <cell r="T224">
            <v>-2642.7777777777778</v>
          </cell>
          <cell r="U224">
            <v>-2645.8</v>
          </cell>
          <cell r="V224">
            <v>-2648.272727272727</v>
          </cell>
          <cell r="W224">
            <v>-2217</v>
          </cell>
          <cell r="X224">
            <v>-622</v>
          </cell>
          <cell r="Y224">
            <v>-622</v>
          </cell>
          <cell r="Z224">
            <v>-622</v>
          </cell>
          <cell r="AA224">
            <v>-1286</v>
          </cell>
          <cell r="AB224">
            <v>-1286</v>
          </cell>
          <cell r="AC224">
            <v>-1286</v>
          </cell>
          <cell r="AD224">
            <v>-1286</v>
          </cell>
          <cell r="AE224">
            <v>-1286</v>
          </cell>
          <cell r="AF224">
            <v>-1803</v>
          </cell>
          <cell r="AG224">
            <v>-1803</v>
          </cell>
          <cell r="AH224">
            <v>-1803</v>
          </cell>
          <cell r="AI224">
            <v>-1686</v>
          </cell>
          <cell r="AJ224">
            <v>-8</v>
          </cell>
          <cell r="AK224">
            <v>-8</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G225">
            <v>215</v>
          </cell>
          <cell r="H225" t="str">
            <v>YTD Target (Budget) %Var</v>
          </cell>
          <cell r="I225">
            <v>0</v>
          </cell>
          <cell r="J225">
            <v>0</v>
          </cell>
          <cell r="K225">
            <v>0</v>
          </cell>
          <cell r="L225">
            <v>-0.75266666666666671</v>
          </cell>
          <cell r="M225">
            <v>-0.75266666666666671</v>
          </cell>
          <cell r="N225">
            <v>-0.75266666666666671</v>
          </cell>
          <cell r="O225">
            <v>-0.75266666666666671</v>
          </cell>
          <cell r="P225">
            <v>-0.75266666666666671</v>
          </cell>
          <cell r="Q225">
            <v>-0.9381666666666667</v>
          </cell>
          <cell r="R225">
            <v>-0.87966666666666671</v>
          </cell>
          <cell r="S225">
            <v>-0.87966666666666671</v>
          </cell>
          <cell r="T225">
            <v>-0.88092592592592589</v>
          </cell>
          <cell r="U225">
            <v>-0.88193333333333335</v>
          </cell>
          <cell r="V225">
            <v>-0.88275757575757563</v>
          </cell>
          <cell r="W225">
            <v>-0.73899999999999999</v>
          </cell>
          <cell r="X225">
            <v>-0.82933333333333337</v>
          </cell>
          <cell r="Y225">
            <v>-0.82933333333333337</v>
          </cell>
          <cell r="Z225">
            <v>-0.82933333333333337</v>
          </cell>
          <cell r="AA225">
            <v>-0.85733333333333328</v>
          </cell>
          <cell r="AB225">
            <v>-0.85733333333333328</v>
          </cell>
          <cell r="AC225">
            <v>-0.85733333333333328</v>
          </cell>
          <cell r="AD225">
            <v>-0.85733333333333328</v>
          </cell>
          <cell r="AE225">
            <v>-0.85733333333333328</v>
          </cell>
          <cell r="AF225">
            <v>-0.80133333333333334</v>
          </cell>
          <cell r="AG225">
            <v>-0.80133333333333334</v>
          </cell>
          <cell r="AH225">
            <v>-0.80133333333333334</v>
          </cell>
          <cell r="AI225">
            <v>-0.56200000000000006</v>
          </cell>
          <cell r="AJ225">
            <v>-0.34782608695652173</v>
          </cell>
          <cell r="AK225">
            <v>-0.34782608695652173</v>
          </cell>
          <cell r="AL225" t="e">
            <v>#DIV/0!</v>
          </cell>
          <cell r="AM225" t="e">
            <v>#DIV/0!</v>
          </cell>
          <cell r="AN225" t="e">
            <v>#DIV/0!</v>
          </cell>
          <cell r="AO225" t="e">
            <v>#DIV/0!</v>
          </cell>
          <cell r="AP225" t="e">
            <v>#DIV/0!</v>
          </cell>
          <cell r="AQ225" t="e">
            <v>#DIV/0!</v>
          </cell>
          <cell r="AR225" t="e">
            <v>#DIV/0!</v>
          </cell>
          <cell r="AS225" t="e">
            <v>#DIV/0!</v>
          </cell>
          <cell r="AT225" t="e">
            <v>#DIV/0!</v>
          </cell>
          <cell r="AU225" t="e">
            <v>#DIV/0!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G226">
            <v>216</v>
          </cell>
          <cell r="H226" t="str">
            <v>4 Month Actual</v>
          </cell>
          <cell r="I226">
            <v>0</v>
          </cell>
          <cell r="J226">
            <v>0</v>
          </cell>
          <cell r="K226">
            <v>0</v>
          </cell>
          <cell r="L226">
            <v>185.5</v>
          </cell>
          <cell r="M226">
            <v>371</v>
          </cell>
          <cell r="N226">
            <v>556.5</v>
          </cell>
          <cell r="O226">
            <v>742</v>
          </cell>
          <cell r="P226">
            <v>742</v>
          </cell>
          <cell r="Q226">
            <v>742</v>
          </cell>
          <cell r="R226">
            <v>917.5</v>
          </cell>
          <cell r="S226">
            <v>1093</v>
          </cell>
          <cell r="T226">
            <v>1234.5</v>
          </cell>
          <cell r="U226">
            <v>1376</v>
          </cell>
          <cell r="V226">
            <v>1342</v>
          </cell>
          <cell r="W226">
            <v>1075.3</v>
          </cell>
          <cell r="X226">
            <v>876.3</v>
          </cell>
          <cell r="Y226">
            <v>677.3</v>
          </cell>
          <cell r="Z226">
            <v>478.3</v>
          </cell>
          <cell r="AA226">
            <v>470</v>
          </cell>
          <cell r="AB226">
            <v>428</v>
          </cell>
          <cell r="AC226">
            <v>386</v>
          </cell>
          <cell r="AD226">
            <v>344</v>
          </cell>
          <cell r="AE226">
            <v>344</v>
          </cell>
          <cell r="AF226">
            <v>491</v>
          </cell>
          <cell r="AG226">
            <v>638</v>
          </cell>
          <cell r="AH226">
            <v>785</v>
          </cell>
          <cell r="AI226">
            <v>1566</v>
          </cell>
          <cell r="AJ226">
            <v>1348</v>
          </cell>
          <cell r="AK226">
            <v>1130</v>
          </cell>
          <cell r="AL226">
            <v>897</v>
          </cell>
          <cell r="AM226">
            <v>30</v>
          </cell>
          <cell r="AN226">
            <v>15</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G227">
            <v>217</v>
          </cell>
          <cell r="H227" t="str">
            <v>4 Month Target (Budget)</v>
          </cell>
          <cell r="I227">
            <v>0</v>
          </cell>
          <cell r="J227">
            <v>0</v>
          </cell>
          <cell r="K227">
            <v>0</v>
          </cell>
          <cell r="L227">
            <v>1500</v>
          </cell>
          <cell r="M227">
            <v>3000</v>
          </cell>
          <cell r="N227">
            <v>4500</v>
          </cell>
          <cell r="O227">
            <v>6000</v>
          </cell>
          <cell r="P227">
            <v>6000</v>
          </cell>
          <cell r="Q227">
            <v>6000</v>
          </cell>
          <cell r="R227">
            <v>6000</v>
          </cell>
          <cell r="S227">
            <v>6000</v>
          </cell>
          <cell r="T227">
            <v>5250</v>
          </cell>
          <cell r="U227">
            <v>4500</v>
          </cell>
          <cell r="V227">
            <v>3750</v>
          </cell>
          <cell r="W227">
            <v>3000</v>
          </cell>
          <cell r="X227">
            <v>3000</v>
          </cell>
          <cell r="Y227">
            <v>3000</v>
          </cell>
          <cell r="Z227">
            <v>3000</v>
          </cell>
          <cell r="AA227">
            <v>3000</v>
          </cell>
          <cell r="AB227">
            <v>3000</v>
          </cell>
          <cell r="AC227">
            <v>3000</v>
          </cell>
          <cell r="AD227">
            <v>3000</v>
          </cell>
          <cell r="AE227">
            <v>3000</v>
          </cell>
          <cell r="AF227">
            <v>3000</v>
          </cell>
          <cell r="AG227">
            <v>3000</v>
          </cell>
          <cell r="AH227">
            <v>3000</v>
          </cell>
          <cell r="AI227">
            <v>3000</v>
          </cell>
          <cell r="AJ227">
            <v>2273</v>
          </cell>
          <cell r="AK227">
            <v>1546</v>
          </cell>
          <cell r="AL227">
            <v>796</v>
          </cell>
          <cell r="AM227">
            <v>46</v>
          </cell>
          <cell r="AN227">
            <v>23</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G228">
            <v>218</v>
          </cell>
          <cell r="H228" t="str">
            <v>4 Month Target (Budget) Var</v>
          </cell>
          <cell r="I228">
            <v>0</v>
          </cell>
          <cell r="J228">
            <v>0</v>
          </cell>
          <cell r="K228">
            <v>0</v>
          </cell>
          <cell r="L228">
            <v>-1314.5</v>
          </cell>
          <cell r="M228">
            <v>-2629</v>
          </cell>
          <cell r="N228">
            <v>-3943.5</v>
          </cell>
          <cell r="O228">
            <v>-5258</v>
          </cell>
          <cell r="P228">
            <v>-5258</v>
          </cell>
          <cell r="Q228">
            <v>-5258</v>
          </cell>
          <cell r="R228">
            <v>-5082.5</v>
          </cell>
          <cell r="S228">
            <v>-4907</v>
          </cell>
          <cell r="T228">
            <v>-4015.5</v>
          </cell>
          <cell r="U228">
            <v>-3124</v>
          </cell>
          <cell r="V228">
            <v>-2408</v>
          </cell>
          <cell r="W228">
            <v>-1924.7</v>
          </cell>
          <cell r="X228">
            <v>-2123.6999999999998</v>
          </cell>
          <cell r="Y228">
            <v>-2322.6999999999998</v>
          </cell>
          <cell r="Z228">
            <v>-2521.6999999999998</v>
          </cell>
          <cell r="AA228">
            <v>-2530</v>
          </cell>
          <cell r="AB228">
            <v>-2572</v>
          </cell>
          <cell r="AC228">
            <v>-2614</v>
          </cell>
          <cell r="AD228">
            <v>-2656</v>
          </cell>
          <cell r="AE228">
            <v>-2656</v>
          </cell>
          <cell r="AF228">
            <v>-2509</v>
          </cell>
          <cell r="AG228">
            <v>-2362</v>
          </cell>
          <cell r="AH228">
            <v>-2215</v>
          </cell>
          <cell r="AI228">
            <v>-1434</v>
          </cell>
          <cell r="AJ228">
            <v>-925</v>
          </cell>
          <cell r="AK228">
            <v>-416</v>
          </cell>
          <cell r="AL228">
            <v>101</v>
          </cell>
          <cell r="AM228">
            <v>-16</v>
          </cell>
          <cell r="AN228">
            <v>-8</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G229">
            <v>219</v>
          </cell>
          <cell r="H229" t="str">
            <v>4 Month Target (Budget) % Var</v>
          </cell>
          <cell r="I229">
            <v>0</v>
          </cell>
          <cell r="J229">
            <v>0</v>
          </cell>
          <cell r="K229">
            <v>0</v>
          </cell>
          <cell r="L229">
            <v>-0.8763333333333333</v>
          </cell>
          <cell r="M229">
            <v>-0.8763333333333333</v>
          </cell>
          <cell r="N229">
            <v>-0.8763333333333333</v>
          </cell>
          <cell r="O229">
            <v>-0.8763333333333333</v>
          </cell>
          <cell r="P229">
            <v>-0.8763333333333333</v>
          </cell>
          <cell r="Q229">
            <v>-0.8763333333333333</v>
          </cell>
          <cell r="R229">
            <v>-0.8470833333333333</v>
          </cell>
          <cell r="S229">
            <v>-0.8178333333333333</v>
          </cell>
          <cell r="T229">
            <v>-0.7648571428571429</v>
          </cell>
          <cell r="U229">
            <v>-0.69422222222222219</v>
          </cell>
          <cell r="V229">
            <v>-0.64213333333333333</v>
          </cell>
          <cell r="W229">
            <v>-0.64156666666666673</v>
          </cell>
          <cell r="X229">
            <v>-0.70789999999999997</v>
          </cell>
          <cell r="Y229">
            <v>-0.77423333333333322</v>
          </cell>
          <cell r="Z229">
            <v>-0.84056666666666657</v>
          </cell>
          <cell r="AA229">
            <v>-0.84333333333333338</v>
          </cell>
          <cell r="AB229">
            <v>-0.85733333333333328</v>
          </cell>
          <cell r="AC229">
            <v>-0.87133333333333329</v>
          </cell>
          <cell r="AD229">
            <v>-0.88533333333333331</v>
          </cell>
          <cell r="AE229">
            <v>-0.88533333333333331</v>
          </cell>
          <cell r="AF229">
            <v>-0.83633333333333337</v>
          </cell>
          <cell r="AG229">
            <v>-0.78733333333333333</v>
          </cell>
          <cell r="AH229">
            <v>-0.73833333333333329</v>
          </cell>
          <cell r="AI229">
            <v>-0.47799999999999998</v>
          </cell>
          <cell r="AJ229">
            <v>-0.40695116586009678</v>
          </cell>
          <cell r="AK229">
            <v>-0.26908150064683051</v>
          </cell>
          <cell r="AL229">
            <v>0.12688442211055276</v>
          </cell>
          <cell r="AM229">
            <v>-0.34782608695652173</v>
          </cell>
          <cell r="AN229">
            <v>-0.34782608695652173</v>
          </cell>
          <cell r="AO229" t="e">
            <v>#DIV/0!</v>
          </cell>
          <cell r="AP229" t="e">
            <v>#DIV/0!</v>
          </cell>
          <cell r="AQ229" t="e">
            <v>#DIV/0!</v>
          </cell>
          <cell r="AR229" t="e">
            <v>#DIV/0!</v>
          </cell>
          <cell r="AS229" t="e">
            <v>#DIV/0!</v>
          </cell>
          <cell r="AT229" t="e">
            <v>#DIV/0!</v>
          </cell>
          <cell r="AU229" t="e">
            <v>#DIV/0!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G230">
            <v>220</v>
          </cell>
          <cell r="H230" t="str">
            <v>Actual</v>
          </cell>
          <cell r="I230">
            <v>0</v>
          </cell>
          <cell r="J230">
            <v>0</v>
          </cell>
          <cell r="K230">
            <v>0</v>
          </cell>
          <cell r="L230">
            <v>-0.8763333333333333</v>
          </cell>
          <cell r="M230">
            <v>-0.8763333333333333</v>
          </cell>
          <cell r="N230">
            <v>-0.8763333333333333</v>
          </cell>
          <cell r="O230">
            <v>-0.8763333333333333</v>
          </cell>
          <cell r="P230">
            <v>-0.8763333333333333</v>
          </cell>
          <cell r="Q230">
            <v>-0.8763333333333333</v>
          </cell>
          <cell r="R230">
            <v>-0.8470833333333333</v>
          </cell>
          <cell r="S230">
            <v>-0.8178333333333333</v>
          </cell>
          <cell r="T230">
            <v>-0.7648571428571429</v>
          </cell>
          <cell r="U230">
            <v>-0.69422222222222219</v>
          </cell>
          <cell r="V230">
            <v>-0.64213333333333333</v>
          </cell>
          <cell r="W230">
            <v>-0.64156666666666673</v>
          </cell>
          <cell r="X230">
            <v>0.7722</v>
          </cell>
          <cell r="Y230">
            <v>0.74809999999999999</v>
          </cell>
          <cell r="Z230">
            <v>0.79479999999999995</v>
          </cell>
          <cell r="AA230">
            <v>0.70199999999999996</v>
          </cell>
          <cell r="AB230">
            <v>0.78600000000000003</v>
          </cell>
          <cell r="AC230">
            <v>0.82699999999999996</v>
          </cell>
          <cell r="AD230">
            <v>0.75460000000000005</v>
          </cell>
          <cell r="AE230">
            <v>0.75600000000000001</v>
          </cell>
          <cell r="AF230">
            <v>0.75590000000000002</v>
          </cell>
          <cell r="AG230">
            <v>0.76</v>
          </cell>
          <cell r="AH230">
            <v>0.7611</v>
          </cell>
          <cell r="AI230">
            <v>0.76</v>
          </cell>
          <cell r="AJ230">
            <v>0.76</v>
          </cell>
          <cell r="AK230">
            <v>0.76</v>
          </cell>
          <cell r="AL230">
            <v>0.76</v>
          </cell>
          <cell r="AM230">
            <v>0.76</v>
          </cell>
          <cell r="AN230">
            <v>0.76</v>
          </cell>
          <cell r="AO230">
            <v>0.76</v>
          </cell>
          <cell r="AP230">
            <v>0.76100000000000001</v>
          </cell>
          <cell r="AQ230">
            <v>0.76100000000000001</v>
          </cell>
          <cell r="AR230">
            <v>0.76</v>
          </cell>
          <cell r="AS230">
            <v>0.75980000000000003</v>
          </cell>
          <cell r="AT230">
            <v>0.75880000000000003</v>
          </cell>
          <cell r="AU230" t="e">
            <v>#DIV/0!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G231">
            <v>221</v>
          </cell>
          <cell r="H231" t="str">
            <v>Target (Budget)</v>
          </cell>
          <cell r="I231">
            <v>0</v>
          </cell>
          <cell r="J231">
            <v>0</v>
          </cell>
          <cell r="K231">
            <v>0</v>
          </cell>
          <cell r="L231">
            <v>0.7722</v>
          </cell>
          <cell r="M231">
            <v>0.74809999999999999</v>
          </cell>
          <cell r="N231">
            <v>0.79479999999999995</v>
          </cell>
          <cell r="O231">
            <v>0.70199999999999996</v>
          </cell>
          <cell r="P231">
            <v>0.78600000000000003</v>
          </cell>
          <cell r="Q231">
            <v>0.82699999999999996</v>
          </cell>
          <cell r="R231">
            <v>0.75460000000000005</v>
          </cell>
          <cell r="S231">
            <v>0.75600000000000001</v>
          </cell>
          <cell r="T231">
            <v>0.75590000000000002</v>
          </cell>
          <cell r="U231">
            <v>0.76</v>
          </cell>
          <cell r="V231">
            <v>0.7611</v>
          </cell>
          <cell r="W231">
            <v>0.76</v>
          </cell>
          <cell r="X231">
            <v>0.8</v>
          </cell>
          <cell r="Y231">
            <v>0.8</v>
          </cell>
          <cell r="Z231">
            <v>0.8</v>
          </cell>
          <cell r="AA231">
            <v>0.8</v>
          </cell>
          <cell r="AB231">
            <v>0.8</v>
          </cell>
          <cell r="AC231">
            <v>0.8</v>
          </cell>
          <cell r="AD231">
            <v>0.8</v>
          </cell>
          <cell r="AE231">
            <v>0.8</v>
          </cell>
          <cell r="AF231">
            <v>0.8</v>
          </cell>
          <cell r="AG231">
            <v>0.8</v>
          </cell>
          <cell r="AH231">
            <v>0.8</v>
          </cell>
          <cell r="AI231">
            <v>0.8</v>
          </cell>
          <cell r="AJ231">
            <v>0.8</v>
          </cell>
          <cell r="AK231">
            <v>0.8</v>
          </cell>
          <cell r="AL231">
            <v>0.8</v>
          </cell>
          <cell r="AM231">
            <v>0.8</v>
          </cell>
          <cell r="AN231">
            <v>0.8</v>
          </cell>
          <cell r="AO231">
            <v>0.8</v>
          </cell>
          <cell r="AP231">
            <v>0.8</v>
          </cell>
          <cell r="AQ231">
            <v>0.8</v>
          </cell>
          <cell r="AR231">
            <v>0.8</v>
          </cell>
          <cell r="AS231">
            <v>0.8</v>
          </cell>
          <cell r="AT231">
            <v>0.8</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G232">
            <v>222</v>
          </cell>
          <cell r="H232" t="str">
            <v>Target (Budget) Variance</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-2.7800000000000047E-2</v>
          </cell>
          <cell r="Y232">
            <v>-5.1900000000000057E-2</v>
          </cell>
          <cell r="Z232">
            <v>-5.2000000000000934E-3</v>
          </cell>
          <cell r="AA232">
            <v>-9.8000000000000087E-2</v>
          </cell>
          <cell r="AB232">
            <v>-1.4000000000000012E-2</v>
          </cell>
          <cell r="AC232">
            <v>2.6999999999999913E-2</v>
          </cell>
          <cell r="AD232">
            <v>-4.5399999999999996E-2</v>
          </cell>
          <cell r="AE232">
            <v>-4.4000000000000039E-2</v>
          </cell>
          <cell r="AF232">
            <v>-4.4100000000000028E-2</v>
          </cell>
          <cell r="AG232">
            <v>-4.0000000000000036E-2</v>
          </cell>
          <cell r="AH232">
            <v>-3.8900000000000046E-2</v>
          </cell>
          <cell r="AI232">
            <v>-4.0000000000000036E-2</v>
          </cell>
          <cell r="AJ232">
            <v>-4.0000000000000036E-2</v>
          </cell>
          <cell r="AK232">
            <v>-4.0000000000000036E-2</v>
          </cell>
          <cell r="AL232">
            <v>-4.0000000000000036E-2</v>
          </cell>
          <cell r="AM232">
            <v>-4.0000000000000036E-2</v>
          </cell>
          <cell r="AN232">
            <v>-4.0000000000000036E-2</v>
          </cell>
          <cell r="AO232">
            <v>-4.0000000000000036E-2</v>
          </cell>
          <cell r="AP232">
            <v>-3.9000000000000035E-2</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G233">
            <v>223</v>
          </cell>
          <cell r="H233" t="str">
            <v>Target (Budget) %Var</v>
          </cell>
          <cell r="I233">
            <v>0</v>
          </cell>
          <cell r="J233">
            <v>0</v>
          </cell>
          <cell r="K233">
            <v>0</v>
          </cell>
          <cell r="L233" t="e">
            <v>#DIV/0!</v>
          </cell>
          <cell r="M233" t="e">
            <v>#DIV/0!</v>
          </cell>
          <cell r="N233" t="e">
            <v>#DIV/0!</v>
          </cell>
          <cell r="O233" t="e">
            <v>#DIV/0!</v>
          </cell>
          <cell r="P233" t="e">
            <v>#DIV/0!</v>
          </cell>
          <cell r="Q233" t="e">
            <v>#DIV/0!</v>
          </cell>
          <cell r="R233" t="e">
            <v>#DIV/0!</v>
          </cell>
          <cell r="S233" t="e">
            <v>#DIV/0!</v>
          </cell>
          <cell r="T233" t="e">
            <v>#DIV/0!</v>
          </cell>
          <cell r="U233" t="e">
            <v>#DIV/0!</v>
          </cell>
          <cell r="V233" t="e">
            <v>#DIV/0!</v>
          </cell>
          <cell r="W233" t="e">
            <v>#DIV/0!</v>
          </cell>
          <cell r="X233">
            <v>-3.4750000000000059E-2</v>
          </cell>
          <cell r="Y233">
            <v>-6.4875000000000071E-2</v>
          </cell>
          <cell r="Z233">
            <v>-6.5000000000001168E-3</v>
          </cell>
          <cell r="AA233">
            <v>-0.12250000000000011</v>
          </cell>
          <cell r="AB233">
            <v>-1.7500000000000016E-2</v>
          </cell>
          <cell r="AC233">
            <v>3.3749999999999891E-2</v>
          </cell>
          <cell r="AD233">
            <v>-5.6749999999999995E-2</v>
          </cell>
          <cell r="AE233">
            <v>-5.5000000000000049E-2</v>
          </cell>
          <cell r="AF233">
            <v>-5.5125000000000035E-2</v>
          </cell>
          <cell r="AG233">
            <v>-5.0000000000000044E-2</v>
          </cell>
          <cell r="AH233">
            <v>-4.8625000000000057E-2</v>
          </cell>
          <cell r="AI233">
            <v>-5.0000000000000044E-2</v>
          </cell>
          <cell r="AJ233">
            <v>-5.0000000000000044E-2</v>
          </cell>
          <cell r="AK233">
            <v>-5.0000000000000044E-2</v>
          </cell>
          <cell r="AL233">
            <v>-5.0000000000000044E-2</v>
          </cell>
          <cell r="AM233">
            <v>-5.0000000000000044E-2</v>
          </cell>
          <cell r="AN233">
            <v>-5.0000000000000044E-2</v>
          </cell>
          <cell r="AO233">
            <v>-5.0000000000000044E-2</v>
          </cell>
          <cell r="AP233">
            <v>-4.8750000000000043E-2</v>
          </cell>
          <cell r="AQ233" t="e">
            <v>#DIV/0!</v>
          </cell>
          <cell r="AR233" t="e">
            <v>#DIV/0!</v>
          </cell>
          <cell r="AS233" t="e">
            <v>#DIV/0!</v>
          </cell>
          <cell r="AT233" t="e">
            <v>#DIV/0!</v>
          </cell>
          <cell r="AU233" t="e">
            <v>#DIV/0!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G234">
            <v>224</v>
          </cell>
          <cell r="H234" t="str">
            <v xml:space="preserve">YTD Actual </v>
          </cell>
          <cell r="I234">
            <v>0</v>
          </cell>
          <cell r="J234">
            <v>0</v>
          </cell>
          <cell r="K234">
            <v>0</v>
          </cell>
          <cell r="L234" t="e">
            <v>#DIV/0!</v>
          </cell>
          <cell r="M234" t="e">
            <v>#DIV/0!</v>
          </cell>
          <cell r="N234" t="e">
            <v>#DIV/0!</v>
          </cell>
          <cell r="O234" t="e">
            <v>#DIV/0!</v>
          </cell>
          <cell r="P234" t="e">
            <v>#DIV/0!</v>
          </cell>
          <cell r="Q234" t="e">
            <v>#DIV/0!</v>
          </cell>
          <cell r="R234" t="e">
            <v>#DIV/0!</v>
          </cell>
          <cell r="S234" t="e">
            <v>#DIV/0!</v>
          </cell>
          <cell r="T234" t="e">
            <v>#DIV/0!</v>
          </cell>
          <cell r="U234" t="e">
            <v>#DIV/0!</v>
          </cell>
          <cell r="V234" t="e">
            <v>#DIV/0!</v>
          </cell>
          <cell r="W234" t="e">
            <v>#DIV/0!</v>
          </cell>
          <cell r="X234">
            <v>0.7722</v>
          </cell>
          <cell r="Y234">
            <v>0.76014999999999999</v>
          </cell>
          <cell r="Z234">
            <v>0.77170000000000005</v>
          </cell>
          <cell r="AA234">
            <v>0.75427500000000003</v>
          </cell>
          <cell r="AB234">
            <v>0.76062000000000007</v>
          </cell>
          <cell r="AC234">
            <v>0.77168333333333339</v>
          </cell>
          <cell r="AD234">
            <v>0.76924285714285723</v>
          </cell>
          <cell r="AE234">
            <v>0.75600000000000001</v>
          </cell>
          <cell r="AF234">
            <v>0.75590000000000002</v>
          </cell>
          <cell r="AG234">
            <v>0.76</v>
          </cell>
          <cell r="AH234">
            <v>0.7611</v>
          </cell>
          <cell r="AI234">
            <v>0.76</v>
          </cell>
          <cell r="AJ234">
            <v>0.76</v>
          </cell>
          <cell r="AK234">
            <v>0.76</v>
          </cell>
          <cell r="AL234">
            <v>0.76</v>
          </cell>
          <cell r="AM234">
            <v>0.76</v>
          </cell>
          <cell r="AN234">
            <v>0.76</v>
          </cell>
          <cell r="AO234">
            <v>0.76</v>
          </cell>
          <cell r="AP234">
            <v>0.76100000000000001</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G235">
            <v>225</v>
          </cell>
          <cell r="H235" t="str">
            <v xml:space="preserve">YTD Target (Budget) </v>
          </cell>
          <cell r="I235">
            <v>0</v>
          </cell>
          <cell r="J235">
            <v>0</v>
          </cell>
          <cell r="K235">
            <v>0</v>
          </cell>
          <cell r="L235" t="e">
            <v>#DIV/0!</v>
          </cell>
          <cell r="M235" t="e">
            <v>#DIV/0!</v>
          </cell>
          <cell r="N235" t="e">
            <v>#DIV/0!</v>
          </cell>
          <cell r="O235" t="e">
            <v>#DIV/0!</v>
          </cell>
          <cell r="P235" t="e">
            <v>#DIV/0!</v>
          </cell>
          <cell r="Q235" t="e">
            <v>#DIV/0!</v>
          </cell>
          <cell r="R235" t="e">
            <v>#DIV/0!</v>
          </cell>
          <cell r="S235" t="e">
            <v>#DIV/0!</v>
          </cell>
          <cell r="T235" t="e">
            <v>#DIV/0!</v>
          </cell>
          <cell r="U235" t="e">
            <v>#DIV/0!</v>
          </cell>
          <cell r="V235" t="e">
            <v>#DIV/0!</v>
          </cell>
          <cell r="W235" t="e">
            <v>#DIV/0!</v>
          </cell>
          <cell r="X235">
            <v>0.8</v>
          </cell>
          <cell r="Y235">
            <v>0.8</v>
          </cell>
          <cell r="Z235">
            <v>0.80000000000000016</v>
          </cell>
          <cell r="AA235">
            <v>0.8</v>
          </cell>
          <cell r="AB235">
            <v>0.8</v>
          </cell>
          <cell r="AC235">
            <v>0.79999999999999993</v>
          </cell>
          <cell r="AD235">
            <v>0.79999999999999993</v>
          </cell>
          <cell r="AE235">
            <v>0.8</v>
          </cell>
          <cell r="AF235">
            <v>0.8</v>
          </cell>
          <cell r="AG235">
            <v>0.8</v>
          </cell>
          <cell r="AH235">
            <v>0.8</v>
          </cell>
          <cell r="AI235">
            <v>0.8</v>
          </cell>
          <cell r="AJ235">
            <v>0.8</v>
          </cell>
          <cell r="AK235">
            <v>0.8</v>
          </cell>
          <cell r="AL235">
            <v>0.8</v>
          </cell>
          <cell r="AM235">
            <v>0.8</v>
          </cell>
          <cell r="AN235">
            <v>0.8</v>
          </cell>
          <cell r="AO235">
            <v>0.8</v>
          </cell>
          <cell r="AP235">
            <v>0.8</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G236">
            <v>226</v>
          </cell>
          <cell r="H236" t="str">
            <v>YTD Target (Budget) Var</v>
          </cell>
          <cell r="I236">
            <v>0</v>
          </cell>
          <cell r="J236">
            <v>0</v>
          </cell>
          <cell r="K236">
            <v>0</v>
          </cell>
          <cell r="L236" t="e">
            <v>#DIV/0!</v>
          </cell>
          <cell r="M236" t="e">
            <v>#DIV/0!</v>
          </cell>
          <cell r="N236" t="e">
            <v>#DIV/0!</v>
          </cell>
          <cell r="O236" t="e">
            <v>#DIV/0!</v>
          </cell>
          <cell r="P236" t="e">
            <v>#DIV/0!</v>
          </cell>
          <cell r="Q236" t="e">
            <v>#DIV/0!</v>
          </cell>
          <cell r="R236" t="e">
            <v>#DIV/0!</v>
          </cell>
          <cell r="S236" t="e">
            <v>#DIV/0!</v>
          </cell>
          <cell r="T236" t="e">
            <v>#DIV/0!</v>
          </cell>
          <cell r="U236" t="e">
            <v>#DIV/0!</v>
          </cell>
          <cell r="V236" t="e">
            <v>#DIV/0!</v>
          </cell>
          <cell r="W236" t="e">
            <v>#DIV/0!</v>
          </cell>
          <cell r="X236">
            <v>-2.7800000000000047E-2</v>
          </cell>
          <cell r="Y236">
            <v>-3.9850000000000052E-2</v>
          </cell>
          <cell r="Z236">
            <v>-2.8300000000000103E-2</v>
          </cell>
          <cell r="AA236">
            <v>-4.5725000000000016E-2</v>
          </cell>
          <cell r="AB236">
            <v>-3.9379999999999971E-2</v>
          </cell>
          <cell r="AC236">
            <v>-2.8316666666666546E-2</v>
          </cell>
          <cell r="AD236">
            <v>-3.0757142857142705E-2</v>
          </cell>
          <cell r="AE236">
            <v>-4.4000000000000039E-2</v>
          </cell>
          <cell r="AF236">
            <v>-4.4100000000000028E-2</v>
          </cell>
          <cell r="AG236">
            <v>-4.0000000000000036E-2</v>
          </cell>
          <cell r="AH236">
            <v>-3.8900000000000046E-2</v>
          </cell>
          <cell r="AI236">
            <v>-4.0000000000000036E-2</v>
          </cell>
          <cell r="AJ236">
            <v>-4.0000000000000036E-2</v>
          </cell>
          <cell r="AK236">
            <v>-4.0000000000000036E-2</v>
          </cell>
          <cell r="AL236">
            <v>-4.0000000000000036E-2</v>
          </cell>
          <cell r="AM236">
            <v>-4.0000000000000036E-2</v>
          </cell>
          <cell r="AN236">
            <v>-4.0000000000000036E-2</v>
          </cell>
          <cell r="AO236">
            <v>-4.0000000000000036E-2</v>
          </cell>
          <cell r="AP236">
            <v>-3.9000000000000035E-2</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G237">
            <v>227</v>
          </cell>
          <cell r="H237" t="str">
            <v>YTD %Var</v>
          </cell>
          <cell r="I237">
            <v>0</v>
          </cell>
          <cell r="J237">
            <v>0</v>
          </cell>
          <cell r="K237">
            <v>0</v>
          </cell>
          <cell r="L237" t="e">
            <v>#DIV/0!</v>
          </cell>
          <cell r="M237" t="e">
            <v>#DIV/0!</v>
          </cell>
          <cell r="N237" t="e">
            <v>#DIV/0!</v>
          </cell>
          <cell r="O237" t="e">
            <v>#DIV/0!</v>
          </cell>
          <cell r="P237" t="e">
            <v>#DIV/0!</v>
          </cell>
          <cell r="Q237" t="e">
            <v>#DIV/0!</v>
          </cell>
          <cell r="R237" t="e">
            <v>#DIV/0!</v>
          </cell>
          <cell r="S237" t="e">
            <v>#DIV/0!</v>
          </cell>
          <cell r="T237" t="e">
            <v>#DIV/0!</v>
          </cell>
          <cell r="U237" t="e">
            <v>#DIV/0!</v>
          </cell>
          <cell r="V237" t="e">
            <v>#DIV/0!</v>
          </cell>
          <cell r="W237" t="e">
            <v>#DIV/0!</v>
          </cell>
          <cell r="X237">
            <v>-3.4750000000000059E-2</v>
          </cell>
          <cell r="Y237">
            <v>-4.9812500000000065E-2</v>
          </cell>
          <cell r="Z237">
            <v>-3.5375000000000122E-2</v>
          </cell>
          <cell r="AA237">
            <v>-5.715625000000002E-2</v>
          </cell>
          <cell r="AB237">
            <v>-4.9224999999999963E-2</v>
          </cell>
          <cell r="AC237">
            <v>-3.5395833333333182E-2</v>
          </cell>
          <cell r="AD237">
            <v>-3.8446428571428382E-2</v>
          </cell>
          <cell r="AE237">
            <v>-5.5000000000000049E-2</v>
          </cell>
          <cell r="AF237">
            <v>-5.5125000000000035E-2</v>
          </cell>
          <cell r="AG237">
            <v>-5.0000000000000044E-2</v>
          </cell>
          <cell r="AH237">
            <v>-4.8625000000000057E-2</v>
          </cell>
          <cell r="AI237">
            <v>-5.0000000000000044E-2</v>
          </cell>
          <cell r="AJ237">
            <v>-5.0000000000000044E-2</v>
          </cell>
          <cell r="AK237">
            <v>-5.0000000000000044E-2</v>
          </cell>
          <cell r="AL237">
            <v>-5.0000000000000044E-2</v>
          </cell>
          <cell r="AM237">
            <v>-5.0000000000000044E-2</v>
          </cell>
          <cell r="AN237">
            <v>-5.0000000000000044E-2</v>
          </cell>
          <cell r="AO237">
            <v>-5.0000000000000044E-2</v>
          </cell>
          <cell r="AP237">
            <v>-4.8750000000000043E-2</v>
          </cell>
          <cell r="AQ237" t="e">
            <v>#DIV/0!</v>
          </cell>
          <cell r="AR237" t="e">
            <v>#DIV/0!</v>
          </cell>
          <cell r="AS237" t="e">
            <v>#DIV/0!</v>
          </cell>
          <cell r="AT237" t="e">
            <v>#DIV/0!</v>
          </cell>
          <cell r="AU237" t="e">
            <v>#DIV/0!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G238">
            <v>228</v>
          </cell>
          <cell r="H238" t="str">
            <v>4 Month Actual</v>
          </cell>
          <cell r="I238">
            <v>0</v>
          </cell>
          <cell r="J238">
            <v>0</v>
          </cell>
          <cell r="K238">
            <v>0</v>
          </cell>
          <cell r="L238" t="e">
            <v>#DIV/0!</v>
          </cell>
          <cell r="M238" t="e">
            <v>#DIV/0!</v>
          </cell>
          <cell r="N238" t="e">
            <v>#DIV/0!</v>
          </cell>
          <cell r="O238" t="e">
            <v>#DIV/0!</v>
          </cell>
          <cell r="P238" t="e">
            <v>#DIV/0!</v>
          </cell>
          <cell r="Q238" t="e">
            <v>#DIV/0!</v>
          </cell>
          <cell r="R238" t="e">
            <v>#DIV/0!</v>
          </cell>
          <cell r="S238" t="e">
            <v>#DIV/0!</v>
          </cell>
          <cell r="T238" t="e">
            <v>#DIV/0!</v>
          </cell>
          <cell r="U238" t="e">
            <v>#DIV/0!</v>
          </cell>
          <cell r="V238" t="e">
            <v>#DIV/0!</v>
          </cell>
          <cell r="W238" t="e">
            <v>#DIV/0!</v>
          </cell>
          <cell r="X238">
            <v>0.7722</v>
          </cell>
          <cell r="Y238">
            <v>0.76014999999999999</v>
          </cell>
          <cell r="Z238">
            <v>0.77170000000000005</v>
          </cell>
          <cell r="AA238">
            <v>0.75427500000000003</v>
          </cell>
          <cell r="AB238">
            <v>0.75772499999999998</v>
          </cell>
          <cell r="AC238">
            <v>0.77744999999999997</v>
          </cell>
          <cell r="AD238">
            <v>0.76739999999999997</v>
          </cell>
          <cell r="AE238">
            <v>0.78089999999999993</v>
          </cell>
          <cell r="AF238">
            <v>0.77337500000000003</v>
          </cell>
          <cell r="AG238">
            <v>0.7566250000000001</v>
          </cell>
          <cell r="AH238">
            <v>0.75824999999999998</v>
          </cell>
          <cell r="AI238">
            <v>0.75924999999999998</v>
          </cell>
          <cell r="AJ238">
            <v>0.76027500000000003</v>
          </cell>
          <cell r="AK238">
            <v>0.76027500000000003</v>
          </cell>
          <cell r="AL238">
            <v>0.76</v>
          </cell>
          <cell r="AM238">
            <v>0.76</v>
          </cell>
          <cell r="AN238">
            <v>0.76</v>
          </cell>
          <cell r="AO238">
            <v>0.76</v>
          </cell>
          <cell r="AP238">
            <v>0.76025000000000009</v>
          </cell>
          <cell r="AQ238">
            <v>0.76033333333333342</v>
          </cell>
          <cell r="AR238">
            <v>0.76049999999999995</v>
          </cell>
          <cell r="AS238">
            <v>0.76100000000000001</v>
          </cell>
          <cell r="AT238" t="e">
            <v>#DIV/0!</v>
          </cell>
          <cell r="AU238" t="e">
            <v>#DIV/0!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G239">
            <v>229</v>
          </cell>
          <cell r="H239" t="str">
            <v>4 Month Target (Budget)</v>
          </cell>
          <cell r="I239">
            <v>0</v>
          </cell>
          <cell r="J239">
            <v>0</v>
          </cell>
          <cell r="K239">
            <v>0</v>
          </cell>
          <cell r="L239" t="e">
            <v>#DIV/0!</v>
          </cell>
          <cell r="M239" t="e">
            <v>#DIV/0!</v>
          </cell>
          <cell r="N239" t="e">
            <v>#DIV/0!</v>
          </cell>
          <cell r="O239" t="e">
            <v>#DIV/0!</v>
          </cell>
          <cell r="P239" t="e">
            <v>#DIV/0!</v>
          </cell>
          <cell r="Q239" t="e">
            <v>#DIV/0!</v>
          </cell>
          <cell r="R239" t="e">
            <v>#DIV/0!</v>
          </cell>
          <cell r="S239" t="e">
            <v>#DIV/0!</v>
          </cell>
          <cell r="T239" t="e">
            <v>#DIV/0!</v>
          </cell>
          <cell r="U239" t="e">
            <v>#DIV/0!</v>
          </cell>
          <cell r="V239" t="e">
            <v>#DIV/0!</v>
          </cell>
          <cell r="W239" t="e">
            <v>#DIV/0!</v>
          </cell>
          <cell r="X239">
            <v>0.8</v>
          </cell>
          <cell r="Y239">
            <v>0.8</v>
          </cell>
          <cell r="Z239">
            <v>0.80000000000000016</v>
          </cell>
          <cell r="AA239">
            <v>0.8</v>
          </cell>
          <cell r="AB239">
            <v>0.8</v>
          </cell>
          <cell r="AC239">
            <v>0.8</v>
          </cell>
          <cell r="AD239">
            <v>0.8</v>
          </cell>
          <cell r="AE239">
            <v>0.8</v>
          </cell>
          <cell r="AF239">
            <v>0.8</v>
          </cell>
          <cell r="AG239">
            <v>0.8</v>
          </cell>
          <cell r="AH239">
            <v>0.8</v>
          </cell>
          <cell r="AI239">
            <v>0.8</v>
          </cell>
          <cell r="AJ239">
            <v>0.8</v>
          </cell>
          <cell r="AK239">
            <v>0.8</v>
          </cell>
          <cell r="AL239">
            <v>0.8</v>
          </cell>
          <cell r="AM239">
            <v>0.8</v>
          </cell>
          <cell r="AN239">
            <v>0.8</v>
          </cell>
          <cell r="AO239">
            <v>0.8</v>
          </cell>
          <cell r="AP239">
            <v>0.8</v>
          </cell>
          <cell r="AQ239">
            <v>0.80000000000000016</v>
          </cell>
          <cell r="AR239">
            <v>0.8</v>
          </cell>
          <cell r="AS239">
            <v>0.8</v>
          </cell>
          <cell r="AT239" t="e">
            <v>#DIV/0!</v>
          </cell>
          <cell r="AU239" t="e">
            <v>#DIV/0!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G240">
            <v>230</v>
          </cell>
          <cell r="H240" t="str">
            <v>4 Month Target (Budget) Var</v>
          </cell>
          <cell r="I240">
            <v>0</v>
          </cell>
          <cell r="J240">
            <v>0</v>
          </cell>
          <cell r="K240">
            <v>0</v>
          </cell>
          <cell r="L240" t="e">
            <v>#DIV/0!</v>
          </cell>
          <cell r="M240" t="e">
            <v>#DIV/0!</v>
          </cell>
          <cell r="N240" t="e">
            <v>#DIV/0!</v>
          </cell>
          <cell r="O240" t="e">
            <v>#DIV/0!</v>
          </cell>
          <cell r="P240" t="e">
            <v>#DIV/0!</v>
          </cell>
          <cell r="Q240" t="e">
            <v>#DIV/0!</v>
          </cell>
          <cell r="R240" t="e">
            <v>#DIV/0!</v>
          </cell>
          <cell r="S240" t="e">
            <v>#DIV/0!</v>
          </cell>
          <cell r="T240" t="e">
            <v>#DIV/0!</v>
          </cell>
          <cell r="U240" t="e">
            <v>#DIV/0!</v>
          </cell>
          <cell r="V240" t="e">
            <v>#DIV/0!</v>
          </cell>
          <cell r="W240" t="e">
            <v>#DIV/0!</v>
          </cell>
          <cell r="X240">
            <v>-2.7800000000000047E-2</v>
          </cell>
          <cell r="Y240">
            <v>-3.9850000000000052E-2</v>
          </cell>
          <cell r="Z240">
            <v>-2.8300000000000103E-2</v>
          </cell>
          <cell r="AA240">
            <v>-4.5725000000000016E-2</v>
          </cell>
          <cell r="AB240">
            <v>-4.2275000000000063E-2</v>
          </cell>
          <cell r="AC240">
            <v>-2.255000000000007E-2</v>
          </cell>
          <cell r="AD240">
            <v>-3.2600000000000073E-2</v>
          </cell>
          <cell r="AE240">
            <v>-1.9100000000000117E-2</v>
          </cell>
          <cell r="AF240">
            <v>-2.662500000000001E-2</v>
          </cell>
          <cell r="AG240">
            <v>-4.3374999999999941E-2</v>
          </cell>
          <cell r="AH240">
            <v>-4.1750000000000065E-2</v>
          </cell>
          <cell r="AI240">
            <v>-4.0750000000000064E-2</v>
          </cell>
          <cell r="AJ240">
            <v>-3.972500000000001E-2</v>
          </cell>
          <cell r="AK240">
            <v>-3.972500000000001E-2</v>
          </cell>
          <cell r="AL240">
            <v>-4.0000000000000036E-2</v>
          </cell>
          <cell r="AM240">
            <v>-4.0000000000000036E-2</v>
          </cell>
          <cell r="AN240">
            <v>-4.0000000000000036E-2</v>
          </cell>
          <cell r="AO240">
            <v>-4.0000000000000036E-2</v>
          </cell>
          <cell r="AP240">
            <v>-3.9749999999999952E-2</v>
          </cell>
          <cell r="AQ240">
            <v>-3.9666666666666739E-2</v>
          </cell>
          <cell r="AR240">
            <v>-3.9500000000000091E-2</v>
          </cell>
          <cell r="AS240">
            <v>-3.9000000000000035E-2</v>
          </cell>
          <cell r="AT240" t="e">
            <v>#DIV/0!</v>
          </cell>
          <cell r="AU240" t="e">
            <v>#DIV/0!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G241">
            <v>231</v>
          </cell>
          <cell r="H241" t="str">
            <v>4 Month Target (Budget) % Var</v>
          </cell>
          <cell r="I241">
            <v>0</v>
          </cell>
          <cell r="J241">
            <v>0</v>
          </cell>
          <cell r="K241">
            <v>0</v>
          </cell>
          <cell r="L241" t="e">
            <v>#DIV/0!</v>
          </cell>
          <cell r="M241" t="e">
            <v>#DIV/0!</v>
          </cell>
          <cell r="N241" t="e">
            <v>#DIV/0!</v>
          </cell>
          <cell r="O241" t="e">
            <v>#DIV/0!</v>
          </cell>
          <cell r="P241" t="e">
            <v>#DIV/0!</v>
          </cell>
          <cell r="Q241" t="e">
            <v>#DIV/0!</v>
          </cell>
          <cell r="R241" t="e">
            <v>#DIV/0!</v>
          </cell>
          <cell r="S241" t="e">
            <v>#DIV/0!</v>
          </cell>
          <cell r="T241" t="e">
            <v>#DIV/0!</v>
          </cell>
          <cell r="U241" t="e">
            <v>#DIV/0!</v>
          </cell>
          <cell r="V241" t="e">
            <v>#DIV/0!</v>
          </cell>
          <cell r="W241" t="e">
            <v>#DIV/0!</v>
          </cell>
          <cell r="X241">
            <v>-3.4750000000000059E-2</v>
          </cell>
          <cell r="Y241">
            <v>-4.9812500000000065E-2</v>
          </cell>
          <cell r="Z241">
            <v>-3.5375000000000122E-2</v>
          </cell>
          <cell r="AA241">
            <v>-5.715625000000002E-2</v>
          </cell>
          <cell r="AB241">
            <v>-5.2843750000000078E-2</v>
          </cell>
          <cell r="AC241">
            <v>-2.8187500000000087E-2</v>
          </cell>
          <cell r="AD241">
            <v>-4.0750000000000092E-2</v>
          </cell>
          <cell r="AE241">
            <v>-2.3875000000000146E-2</v>
          </cell>
          <cell r="AF241">
            <v>-3.3281250000000012E-2</v>
          </cell>
          <cell r="AG241">
            <v>-5.4218749999999927E-2</v>
          </cell>
          <cell r="AH241">
            <v>-5.2187500000000081E-2</v>
          </cell>
          <cell r="AI241">
            <v>-5.093750000000008E-2</v>
          </cell>
          <cell r="AJ241">
            <v>-4.9656250000000013E-2</v>
          </cell>
          <cell r="AK241">
            <v>-4.9656250000000013E-2</v>
          </cell>
          <cell r="AL241">
            <v>-5.0000000000000044E-2</v>
          </cell>
          <cell r="AM241">
            <v>-5.0000000000000044E-2</v>
          </cell>
          <cell r="AN241">
            <v>-5.0000000000000044E-2</v>
          </cell>
          <cell r="AO241">
            <v>-5.0000000000000044E-2</v>
          </cell>
          <cell r="AP241">
            <v>-4.968749999999994E-2</v>
          </cell>
          <cell r="AQ241">
            <v>-4.9583333333333417E-2</v>
          </cell>
          <cell r="AR241">
            <v>-4.9375000000000113E-2</v>
          </cell>
          <cell r="AS241">
            <v>-4.8750000000000043E-2</v>
          </cell>
          <cell r="AT241" t="e">
            <v>#DIV/0!</v>
          </cell>
          <cell r="AU241" t="e">
            <v>#DIV/0!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G242">
            <v>232</v>
          </cell>
          <cell r="H242" t="str">
            <v>Actual</v>
          </cell>
          <cell r="I242">
            <v>0</v>
          </cell>
          <cell r="J242">
            <v>0</v>
          </cell>
          <cell r="K242">
            <v>0</v>
          </cell>
          <cell r="L242">
            <v>-3.4750000000000059E-2</v>
          </cell>
          <cell r="M242">
            <v>-4.9812500000000065E-2</v>
          </cell>
          <cell r="N242">
            <v>-3.5375000000000122E-2</v>
          </cell>
          <cell r="O242">
            <v>-5.715625000000002E-2</v>
          </cell>
          <cell r="P242">
            <v>-5.2843750000000078E-2</v>
          </cell>
          <cell r="Q242">
            <v>-2.8187500000000087E-2</v>
          </cell>
          <cell r="R242">
            <v>-4.0750000000000092E-2</v>
          </cell>
          <cell r="S242">
            <v>-2.3875000000000146E-2</v>
          </cell>
          <cell r="T242">
            <v>-3.3281250000000012E-2</v>
          </cell>
          <cell r="U242">
            <v>-5.4218749999999927E-2</v>
          </cell>
          <cell r="V242">
            <v>-5.2187500000000081E-2</v>
          </cell>
          <cell r="W242">
            <v>-5.093750000000008E-2</v>
          </cell>
          <cell r="X242">
            <v>0.32100000000000001</v>
          </cell>
          <cell r="Y242">
            <v>0.32100000000000001</v>
          </cell>
          <cell r="Z242">
            <v>0.38100000000000001</v>
          </cell>
          <cell r="AA242">
            <v>0.38100000000000001</v>
          </cell>
          <cell r="AB242">
            <v>0.41799999999999998</v>
          </cell>
          <cell r="AC242">
            <v>0.41799999999999998</v>
          </cell>
          <cell r="AD242">
            <v>0.41799999999999998</v>
          </cell>
          <cell r="AE242">
            <v>0.41799999999999998</v>
          </cell>
          <cell r="AF242">
            <v>0.44400000000000001</v>
          </cell>
          <cell r="AG242">
            <v>0.45</v>
          </cell>
          <cell r="AH242">
            <v>0.45200000000000001</v>
          </cell>
          <cell r="AI242">
            <v>0.46400000000000002</v>
          </cell>
          <cell r="AJ242">
            <v>0.48</v>
          </cell>
          <cell r="AK242">
            <v>0.49</v>
          </cell>
          <cell r="AL242">
            <v>0.5</v>
          </cell>
          <cell r="AM242">
            <v>0.5</v>
          </cell>
          <cell r="AN242">
            <v>0.5</v>
          </cell>
          <cell r="AO242">
            <v>0.5</v>
          </cell>
          <cell r="AP242">
            <v>0.52</v>
          </cell>
          <cell r="AQ242">
            <v>0.52300000000000002</v>
          </cell>
          <cell r="AR242">
            <v>0.53500000000000003</v>
          </cell>
          <cell r="AS242">
            <v>0.54100000000000004</v>
          </cell>
          <cell r="AT242">
            <v>0.54100000000000004</v>
          </cell>
          <cell r="AU242" t="e">
            <v>#DIV/0!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G243">
            <v>233</v>
          </cell>
          <cell r="H243" t="str">
            <v>Target (Budget)</v>
          </cell>
          <cell r="I243">
            <v>0</v>
          </cell>
          <cell r="J243">
            <v>0</v>
          </cell>
          <cell r="K243">
            <v>0</v>
          </cell>
          <cell r="L243">
            <v>0.32100000000000001</v>
          </cell>
          <cell r="M243">
            <v>0.32100000000000001</v>
          </cell>
          <cell r="N243">
            <v>0.38100000000000001</v>
          </cell>
          <cell r="O243">
            <v>0.38100000000000001</v>
          </cell>
          <cell r="P243">
            <v>0.41799999999999998</v>
          </cell>
          <cell r="Q243">
            <v>0.41799999999999998</v>
          </cell>
          <cell r="R243">
            <v>0.41799999999999998</v>
          </cell>
          <cell r="S243">
            <v>0.41799999999999998</v>
          </cell>
          <cell r="T243">
            <v>0.44400000000000001</v>
          </cell>
          <cell r="U243">
            <v>0.45</v>
          </cell>
          <cell r="V243">
            <v>0.45200000000000001</v>
          </cell>
          <cell r="W243">
            <v>0.46400000000000002</v>
          </cell>
          <cell r="X243">
            <v>0.32100000000000001</v>
          </cell>
          <cell r="Y243">
            <v>0.32100000000000001</v>
          </cell>
          <cell r="Z243">
            <v>0.34499999999999997</v>
          </cell>
          <cell r="AA243">
            <v>0.34499999999999997</v>
          </cell>
          <cell r="AB243">
            <v>0.38800000000000001</v>
          </cell>
          <cell r="AC243">
            <v>0.38800000000000001</v>
          </cell>
          <cell r="AD243">
            <v>0.38800000000000001</v>
          </cell>
          <cell r="AE243">
            <v>0.43</v>
          </cell>
          <cell r="AF243">
            <v>0.44</v>
          </cell>
          <cell r="AG243">
            <v>0.45</v>
          </cell>
          <cell r="AH243">
            <v>0.45</v>
          </cell>
          <cell r="AI243">
            <v>0.54</v>
          </cell>
          <cell r="AJ243">
            <v>0.48</v>
          </cell>
          <cell r="AK243">
            <v>0.49</v>
          </cell>
          <cell r="AL243">
            <v>0.51</v>
          </cell>
          <cell r="AM243">
            <v>0.52</v>
          </cell>
          <cell r="AN243">
            <v>0.54</v>
          </cell>
          <cell r="AO243">
            <v>0.55000000000000004</v>
          </cell>
          <cell r="AP243">
            <v>0.56000000000000005</v>
          </cell>
          <cell r="AQ243">
            <v>0.57799999999999996</v>
          </cell>
          <cell r="AR243">
            <v>0.59199999999999997</v>
          </cell>
          <cell r="AS243">
            <v>0.60599999999999998</v>
          </cell>
          <cell r="AT243">
            <v>0.62</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G244">
            <v>234</v>
          </cell>
          <cell r="H244" t="str">
            <v>Target (Budget) Variance</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3.6000000000000032E-2</v>
          </cell>
          <cell r="AA244">
            <v>3.6000000000000032E-2</v>
          </cell>
          <cell r="AB244">
            <v>2.9999999999999971E-2</v>
          </cell>
          <cell r="AC244">
            <v>2.9999999999999971E-2</v>
          </cell>
          <cell r="AD244">
            <v>2.9999999999999971E-2</v>
          </cell>
          <cell r="AE244">
            <v>-1.2000000000000011E-2</v>
          </cell>
          <cell r="AF244">
            <v>4.0000000000000036E-3</v>
          </cell>
          <cell r="AG244">
            <v>0</v>
          </cell>
          <cell r="AH244">
            <v>2.0000000000000018E-3</v>
          </cell>
          <cell r="AI244">
            <v>-7.6000000000000012E-2</v>
          </cell>
          <cell r="AJ244">
            <v>0</v>
          </cell>
          <cell r="AK244">
            <v>0</v>
          </cell>
          <cell r="AL244">
            <v>-1.0000000000000009E-2</v>
          </cell>
          <cell r="AM244">
            <v>-2.0000000000000018E-2</v>
          </cell>
          <cell r="AN244">
            <v>-4.0000000000000036E-2</v>
          </cell>
          <cell r="AO244">
            <v>-5.0000000000000044E-2</v>
          </cell>
          <cell r="AP244">
            <v>-4.0000000000000036E-2</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G245">
            <v>235</v>
          </cell>
          <cell r="H245" t="str">
            <v>Target (Budget) %Var</v>
          </cell>
          <cell r="I245">
            <v>0</v>
          </cell>
          <cell r="J245">
            <v>0</v>
          </cell>
          <cell r="K245">
            <v>0</v>
          </cell>
          <cell r="L245" t="e">
            <v>#DIV/0!</v>
          </cell>
          <cell r="M245" t="e">
            <v>#DIV/0!</v>
          </cell>
          <cell r="N245" t="e">
            <v>#DIV/0!</v>
          </cell>
          <cell r="O245" t="e">
            <v>#DIV/0!</v>
          </cell>
          <cell r="P245" t="e">
            <v>#DIV/0!</v>
          </cell>
          <cell r="Q245" t="e">
            <v>#DIV/0!</v>
          </cell>
          <cell r="R245" t="e">
            <v>#DIV/0!</v>
          </cell>
          <cell r="S245" t="e">
            <v>#DIV/0!</v>
          </cell>
          <cell r="T245" t="e">
            <v>#DIV/0!</v>
          </cell>
          <cell r="U245" t="e">
            <v>#DIV/0!</v>
          </cell>
          <cell r="V245" t="e">
            <v>#DIV/0!</v>
          </cell>
          <cell r="W245" t="e">
            <v>#DIV/0!</v>
          </cell>
          <cell r="X245">
            <v>0</v>
          </cell>
          <cell r="Y245">
            <v>0</v>
          </cell>
          <cell r="Z245">
            <v>0.10434782608695663</v>
          </cell>
          <cell r="AA245">
            <v>0.10434782608695663</v>
          </cell>
          <cell r="AB245">
            <v>7.7319587628865899E-2</v>
          </cell>
          <cell r="AC245">
            <v>7.7319587628865899E-2</v>
          </cell>
          <cell r="AD245">
            <v>7.7319587628865899E-2</v>
          </cell>
          <cell r="AE245">
            <v>-2.790697674418607E-2</v>
          </cell>
          <cell r="AF245">
            <v>9.0909090909090991E-3</v>
          </cell>
          <cell r="AG245">
            <v>0</v>
          </cell>
          <cell r="AH245">
            <v>4.4444444444444479E-3</v>
          </cell>
          <cell r="AI245">
            <v>-0.14074074074074075</v>
          </cell>
          <cell r="AJ245">
            <v>0</v>
          </cell>
          <cell r="AK245">
            <v>0</v>
          </cell>
          <cell r="AL245">
            <v>-1.9607843137254919E-2</v>
          </cell>
          <cell r="AM245">
            <v>-3.8461538461538491E-2</v>
          </cell>
          <cell r="AN245">
            <v>-7.4074074074074139E-2</v>
          </cell>
          <cell r="AO245">
            <v>-9.0909090909090981E-2</v>
          </cell>
          <cell r="AP245">
            <v>-7.142857142857148E-2</v>
          </cell>
          <cell r="AQ245" t="e">
            <v>#DIV/0!</v>
          </cell>
          <cell r="AR245" t="e">
            <v>#DIV/0!</v>
          </cell>
          <cell r="AS245" t="e">
            <v>#DIV/0!</v>
          </cell>
          <cell r="AT245" t="e">
            <v>#DIV/0!</v>
          </cell>
          <cell r="AU245" t="e">
            <v>#DIV/0!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G246">
            <v>236</v>
          </cell>
          <cell r="H246" t="str">
            <v xml:space="preserve">YTD Actual </v>
          </cell>
          <cell r="I246">
            <v>0</v>
          </cell>
          <cell r="J246">
            <v>0</v>
          </cell>
          <cell r="K246">
            <v>0</v>
          </cell>
          <cell r="L246" t="e">
            <v>#DIV/0!</v>
          </cell>
          <cell r="M246" t="e">
            <v>#DIV/0!</v>
          </cell>
          <cell r="N246" t="e">
            <v>#DIV/0!</v>
          </cell>
          <cell r="O246" t="e">
            <v>#DIV/0!</v>
          </cell>
          <cell r="P246" t="e">
            <v>#DIV/0!</v>
          </cell>
          <cell r="Q246" t="e">
            <v>#DIV/0!</v>
          </cell>
          <cell r="R246" t="e">
            <v>#DIV/0!</v>
          </cell>
          <cell r="S246" t="e">
            <v>#DIV/0!</v>
          </cell>
          <cell r="T246" t="e">
            <v>#DIV/0!</v>
          </cell>
          <cell r="U246" t="e">
            <v>#DIV/0!</v>
          </cell>
          <cell r="V246" t="e">
            <v>#DIV/0!</v>
          </cell>
          <cell r="W246" t="e">
            <v>#DIV/0!</v>
          </cell>
          <cell r="X246">
            <v>0.32100000000000001</v>
          </cell>
          <cell r="Y246">
            <v>0.32100000000000001</v>
          </cell>
          <cell r="Z246">
            <v>0.38100000000000001</v>
          </cell>
          <cell r="AA246">
            <v>0.38100000000000001</v>
          </cell>
          <cell r="AB246">
            <v>0.41799999999999998</v>
          </cell>
          <cell r="AC246">
            <v>0.41799999999999998</v>
          </cell>
          <cell r="AD246">
            <v>0.41799999999999998</v>
          </cell>
          <cell r="AE246">
            <v>0.41799999999999998</v>
          </cell>
          <cell r="AF246">
            <v>0.44400000000000001</v>
          </cell>
          <cell r="AG246">
            <v>0.45</v>
          </cell>
          <cell r="AH246">
            <v>0.45200000000000001</v>
          </cell>
          <cell r="AI246">
            <v>0.46400000000000002</v>
          </cell>
          <cell r="AJ246">
            <v>0.48</v>
          </cell>
          <cell r="AK246">
            <v>0.49</v>
          </cell>
          <cell r="AL246">
            <v>0.5</v>
          </cell>
          <cell r="AM246">
            <v>0.5</v>
          </cell>
          <cell r="AN246">
            <v>0.5</v>
          </cell>
          <cell r="AO246">
            <v>0.5</v>
          </cell>
          <cell r="AP246">
            <v>0.52</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G247">
            <v>237</v>
          </cell>
          <cell r="H247" t="str">
            <v xml:space="preserve">YTD Target (Budget) </v>
          </cell>
          <cell r="I247">
            <v>0</v>
          </cell>
          <cell r="J247">
            <v>0</v>
          </cell>
          <cell r="K247">
            <v>0</v>
          </cell>
          <cell r="L247" t="e">
            <v>#DIV/0!</v>
          </cell>
          <cell r="M247" t="e">
            <v>#DIV/0!</v>
          </cell>
          <cell r="N247" t="e">
            <v>#DIV/0!</v>
          </cell>
          <cell r="O247" t="e">
            <v>#DIV/0!</v>
          </cell>
          <cell r="P247" t="e">
            <v>#DIV/0!</v>
          </cell>
          <cell r="Q247" t="e">
            <v>#DIV/0!</v>
          </cell>
          <cell r="R247" t="e">
            <v>#DIV/0!</v>
          </cell>
          <cell r="S247" t="e">
            <v>#DIV/0!</v>
          </cell>
          <cell r="T247" t="e">
            <v>#DIV/0!</v>
          </cell>
          <cell r="U247" t="e">
            <v>#DIV/0!</v>
          </cell>
          <cell r="V247" t="e">
            <v>#DIV/0!</v>
          </cell>
          <cell r="W247" t="e">
            <v>#DIV/0!</v>
          </cell>
          <cell r="X247">
            <v>0.32100000000000001</v>
          </cell>
          <cell r="Y247">
            <v>0.32100000000000001</v>
          </cell>
          <cell r="Z247">
            <v>0.34499999999999997</v>
          </cell>
          <cell r="AA247">
            <v>0.34499999999999997</v>
          </cell>
          <cell r="AB247">
            <v>0.38800000000000001</v>
          </cell>
          <cell r="AC247">
            <v>0.38800000000000001</v>
          </cell>
          <cell r="AD247">
            <v>0.38800000000000001</v>
          </cell>
          <cell r="AE247">
            <v>0.43</v>
          </cell>
          <cell r="AF247">
            <v>0.44</v>
          </cell>
          <cell r="AG247">
            <v>0.45</v>
          </cell>
          <cell r="AH247">
            <v>0.45</v>
          </cell>
          <cell r="AI247">
            <v>0.54</v>
          </cell>
          <cell r="AJ247">
            <v>0.48</v>
          </cell>
          <cell r="AK247">
            <v>0.49</v>
          </cell>
          <cell r="AL247">
            <v>0.51</v>
          </cell>
          <cell r="AM247">
            <v>0.52</v>
          </cell>
          <cell r="AN247">
            <v>0.54</v>
          </cell>
          <cell r="AO247">
            <v>0.55000000000000004</v>
          </cell>
          <cell r="AP247">
            <v>0.56000000000000005</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G248">
            <v>238</v>
          </cell>
          <cell r="H248" t="str">
            <v>YTD Target (Budget) Var</v>
          </cell>
          <cell r="I248">
            <v>0</v>
          </cell>
          <cell r="J248">
            <v>0</v>
          </cell>
          <cell r="K248">
            <v>0</v>
          </cell>
          <cell r="L248" t="e">
            <v>#DIV/0!</v>
          </cell>
          <cell r="M248" t="e">
            <v>#DIV/0!</v>
          </cell>
          <cell r="N248" t="e">
            <v>#DIV/0!</v>
          </cell>
          <cell r="O248" t="e">
            <v>#DIV/0!</v>
          </cell>
          <cell r="P248" t="e">
            <v>#DIV/0!</v>
          </cell>
          <cell r="Q248" t="e">
            <v>#DIV/0!</v>
          </cell>
          <cell r="R248" t="e">
            <v>#DIV/0!</v>
          </cell>
          <cell r="S248" t="e">
            <v>#DIV/0!</v>
          </cell>
          <cell r="T248" t="e">
            <v>#DIV/0!</v>
          </cell>
          <cell r="U248" t="e">
            <v>#DIV/0!</v>
          </cell>
          <cell r="V248" t="e">
            <v>#DIV/0!</v>
          </cell>
          <cell r="W248" t="e">
            <v>#DIV/0!</v>
          </cell>
          <cell r="X248">
            <v>0</v>
          </cell>
          <cell r="Y248">
            <v>0</v>
          </cell>
          <cell r="Z248">
            <v>3.6000000000000032E-2</v>
          </cell>
          <cell r="AA248">
            <v>3.6000000000000032E-2</v>
          </cell>
          <cell r="AB248">
            <v>2.9999999999999971E-2</v>
          </cell>
          <cell r="AC248">
            <v>2.9999999999999971E-2</v>
          </cell>
          <cell r="AD248">
            <v>2.9999999999999971E-2</v>
          </cell>
          <cell r="AE248">
            <v>-1.2000000000000011E-2</v>
          </cell>
          <cell r="AF248">
            <v>4.0000000000000036E-3</v>
          </cell>
          <cell r="AG248">
            <v>0</v>
          </cell>
          <cell r="AH248">
            <v>2.0000000000000018E-3</v>
          </cell>
          <cell r="AI248">
            <v>-7.6000000000000012E-2</v>
          </cell>
          <cell r="AJ248">
            <v>0</v>
          </cell>
          <cell r="AK248">
            <v>0</v>
          </cell>
          <cell r="AL248">
            <v>-1.0000000000000009E-2</v>
          </cell>
          <cell r="AM248">
            <v>-2.0000000000000018E-2</v>
          </cell>
          <cell r="AN248">
            <v>-4.0000000000000036E-2</v>
          </cell>
          <cell r="AO248">
            <v>-5.0000000000000044E-2</v>
          </cell>
          <cell r="AP248">
            <v>-4.0000000000000036E-2</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G249">
            <v>239</v>
          </cell>
          <cell r="H249" t="str">
            <v>YTD %Var</v>
          </cell>
          <cell r="I249">
            <v>0</v>
          </cell>
          <cell r="J249">
            <v>0</v>
          </cell>
          <cell r="K249">
            <v>0</v>
          </cell>
          <cell r="L249" t="e">
            <v>#DIV/0!</v>
          </cell>
          <cell r="M249" t="e">
            <v>#DIV/0!</v>
          </cell>
          <cell r="N249" t="e">
            <v>#DIV/0!</v>
          </cell>
          <cell r="O249" t="e">
            <v>#DIV/0!</v>
          </cell>
          <cell r="P249" t="e">
            <v>#DIV/0!</v>
          </cell>
          <cell r="Q249" t="e">
            <v>#DIV/0!</v>
          </cell>
          <cell r="R249" t="e">
            <v>#DIV/0!</v>
          </cell>
          <cell r="S249" t="e">
            <v>#DIV/0!</v>
          </cell>
          <cell r="T249" t="e">
            <v>#DIV/0!</v>
          </cell>
          <cell r="U249" t="e">
            <v>#DIV/0!</v>
          </cell>
          <cell r="V249" t="e">
            <v>#DIV/0!</v>
          </cell>
          <cell r="W249" t="e">
            <v>#DIV/0!</v>
          </cell>
          <cell r="X249">
            <v>0</v>
          </cell>
          <cell r="Y249">
            <v>0</v>
          </cell>
          <cell r="Z249">
            <v>0.10434782608695663</v>
          </cell>
          <cell r="AA249">
            <v>0.10434782608695663</v>
          </cell>
          <cell r="AB249">
            <v>7.7319587628865899E-2</v>
          </cell>
          <cell r="AC249">
            <v>7.7319587628865899E-2</v>
          </cell>
          <cell r="AD249">
            <v>7.7319587628865899E-2</v>
          </cell>
          <cell r="AE249">
            <v>-2.790697674418607E-2</v>
          </cell>
          <cell r="AF249">
            <v>9.0909090909090991E-3</v>
          </cell>
          <cell r="AG249">
            <v>0</v>
          </cell>
          <cell r="AH249">
            <v>4.4444444444444479E-3</v>
          </cell>
          <cell r="AI249">
            <v>-0.14074074074074075</v>
          </cell>
          <cell r="AJ249">
            <v>0</v>
          </cell>
          <cell r="AK249">
            <v>0</v>
          </cell>
          <cell r="AL249">
            <v>-1.9607843137254919E-2</v>
          </cell>
          <cell r="AM249">
            <v>-3.8461538461538491E-2</v>
          </cell>
          <cell r="AN249">
            <v>-7.4074074074074139E-2</v>
          </cell>
          <cell r="AO249">
            <v>-9.0909090909090981E-2</v>
          </cell>
          <cell r="AP249">
            <v>-7.142857142857148E-2</v>
          </cell>
          <cell r="AQ249" t="e">
            <v>#DIV/0!</v>
          </cell>
          <cell r="AR249" t="e">
            <v>#DIV/0!</v>
          </cell>
          <cell r="AS249" t="e">
            <v>#DIV/0!</v>
          </cell>
          <cell r="AT249" t="e">
            <v>#DIV/0!</v>
          </cell>
          <cell r="AU249" t="e">
            <v>#DIV/0!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G250">
            <v>240</v>
          </cell>
          <cell r="H250" t="str">
            <v>4 Month Actual</v>
          </cell>
          <cell r="I250">
            <v>0</v>
          </cell>
          <cell r="J250">
            <v>0</v>
          </cell>
          <cell r="K250">
            <v>0</v>
          </cell>
          <cell r="L250" t="e">
            <v>#DIV/0!</v>
          </cell>
          <cell r="M250" t="e">
            <v>#DIV/0!</v>
          </cell>
          <cell r="N250" t="e">
            <v>#DIV/0!</v>
          </cell>
          <cell r="O250" t="e">
            <v>#DIV/0!</v>
          </cell>
          <cell r="P250" t="e">
            <v>#DIV/0!</v>
          </cell>
          <cell r="Q250" t="e">
            <v>#DIV/0!</v>
          </cell>
          <cell r="R250" t="e">
            <v>#DIV/0!</v>
          </cell>
          <cell r="S250" t="e">
            <v>#DIV/0!</v>
          </cell>
          <cell r="T250" t="e">
            <v>#DIV/0!</v>
          </cell>
          <cell r="U250" t="e">
            <v>#DIV/0!</v>
          </cell>
          <cell r="V250" t="e">
            <v>#DIV/0!</v>
          </cell>
          <cell r="W250" t="e">
            <v>#DIV/0!</v>
          </cell>
          <cell r="X250">
            <v>0.32100000000000001</v>
          </cell>
          <cell r="Y250">
            <v>0.32100000000000001</v>
          </cell>
          <cell r="Z250">
            <v>0.34100000000000003</v>
          </cell>
          <cell r="AA250">
            <v>0.35100000000000003</v>
          </cell>
          <cell r="AB250">
            <v>0.37524999999999997</v>
          </cell>
          <cell r="AC250">
            <v>0.39949999999999997</v>
          </cell>
          <cell r="AD250">
            <v>0.40874999999999995</v>
          </cell>
          <cell r="AE250">
            <v>0.41799999999999998</v>
          </cell>
          <cell r="AF250">
            <v>0.42449999999999999</v>
          </cell>
          <cell r="AG250">
            <v>0.4325</v>
          </cell>
          <cell r="AH250">
            <v>0.441</v>
          </cell>
          <cell r="AI250">
            <v>0.45250000000000001</v>
          </cell>
          <cell r="AJ250">
            <v>0.46150000000000002</v>
          </cell>
          <cell r="AK250">
            <v>0.47149999999999997</v>
          </cell>
          <cell r="AL250">
            <v>0.48349999999999999</v>
          </cell>
          <cell r="AM250">
            <v>0.49249999999999999</v>
          </cell>
          <cell r="AN250">
            <v>0.4975</v>
          </cell>
          <cell r="AO250">
            <v>0.5</v>
          </cell>
          <cell r="AP250">
            <v>0.505</v>
          </cell>
          <cell r="AQ250">
            <v>0.50666666666666671</v>
          </cell>
          <cell r="AR250">
            <v>0.51</v>
          </cell>
          <cell r="AS250">
            <v>0.52</v>
          </cell>
          <cell r="AT250" t="e">
            <v>#DIV/0!</v>
          </cell>
          <cell r="AU250" t="e">
            <v>#DIV/0!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G251">
            <v>241</v>
          </cell>
          <cell r="H251" t="str">
            <v>4 Month Target (Budget)</v>
          </cell>
          <cell r="I251">
            <v>0</v>
          </cell>
          <cell r="J251">
            <v>0</v>
          </cell>
          <cell r="K251">
            <v>0</v>
          </cell>
          <cell r="L251" t="e">
            <v>#DIV/0!</v>
          </cell>
          <cell r="M251" t="e">
            <v>#DIV/0!</v>
          </cell>
          <cell r="N251" t="e">
            <v>#DIV/0!</v>
          </cell>
          <cell r="O251" t="e">
            <v>#DIV/0!</v>
          </cell>
          <cell r="P251" t="e">
            <v>#DIV/0!</v>
          </cell>
          <cell r="Q251" t="e">
            <v>#DIV/0!</v>
          </cell>
          <cell r="R251" t="e">
            <v>#DIV/0!</v>
          </cell>
          <cell r="S251" t="e">
            <v>#DIV/0!</v>
          </cell>
          <cell r="T251" t="e">
            <v>#DIV/0!</v>
          </cell>
          <cell r="U251" t="e">
            <v>#DIV/0!</v>
          </cell>
          <cell r="V251" t="e">
            <v>#DIV/0!</v>
          </cell>
          <cell r="W251" t="e">
            <v>#DIV/0!</v>
          </cell>
          <cell r="X251">
            <v>0.32100000000000001</v>
          </cell>
          <cell r="Y251">
            <v>0.32100000000000001</v>
          </cell>
          <cell r="Z251">
            <v>0.32900000000000001</v>
          </cell>
          <cell r="AA251">
            <v>0.33299999999999996</v>
          </cell>
          <cell r="AB251">
            <v>0.34975000000000001</v>
          </cell>
          <cell r="AC251">
            <v>0.36649999999999994</v>
          </cell>
          <cell r="AD251">
            <v>0.37724999999999997</v>
          </cell>
          <cell r="AE251">
            <v>0.39850000000000002</v>
          </cell>
          <cell r="AF251">
            <v>0.41149999999999998</v>
          </cell>
          <cell r="AG251">
            <v>0.42699999999999999</v>
          </cell>
          <cell r="AH251">
            <v>0.4425</v>
          </cell>
          <cell r="AI251">
            <v>0.47000000000000003</v>
          </cell>
          <cell r="AJ251">
            <v>0.48</v>
          </cell>
          <cell r="AK251">
            <v>0.49</v>
          </cell>
          <cell r="AL251">
            <v>0.505</v>
          </cell>
          <cell r="AM251">
            <v>0.5</v>
          </cell>
          <cell r="AN251">
            <v>0.51500000000000001</v>
          </cell>
          <cell r="AO251">
            <v>0.53</v>
          </cell>
          <cell r="AP251">
            <v>0.54249999999999998</v>
          </cell>
          <cell r="AQ251">
            <v>0.55000000000000004</v>
          </cell>
          <cell r="AR251">
            <v>0.55500000000000005</v>
          </cell>
          <cell r="AS251">
            <v>0.56000000000000005</v>
          </cell>
          <cell r="AT251" t="e">
            <v>#DIV/0!</v>
          </cell>
          <cell r="AU251" t="e">
            <v>#DIV/0!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G252">
            <v>242</v>
          </cell>
          <cell r="H252" t="str">
            <v>4 Month Target (Budget) Var</v>
          </cell>
          <cell r="I252">
            <v>0</v>
          </cell>
          <cell r="J252">
            <v>0</v>
          </cell>
          <cell r="K252">
            <v>0</v>
          </cell>
          <cell r="L252" t="e">
            <v>#DIV/0!</v>
          </cell>
          <cell r="M252" t="e">
            <v>#DIV/0!</v>
          </cell>
          <cell r="N252" t="e">
            <v>#DIV/0!</v>
          </cell>
          <cell r="O252" t="e">
            <v>#DIV/0!</v>
          </cell>
          <cell r="P252" t="e">
            <v>#DIV/0!</v>
          </cell>
          <cell r="Q252" t="e">
            <v>#DIV/0!</v>
          </cell>
          <cell r="R252" t="e">
            <v>#DIV/0!</v>
          </cell>
          <cell r="S252" t="e">
            <v>#DIV/0!</v>
          </cell>
          <cell r="T252" t="e">
            <v>#DIV/0!</v>
          </cell>
          <cell r="U252" t="e">
            <v>#DIV/0!</v>
          </cell>
          <cell r="V252" t="e">
            <v>#DIV/0!</v>
          </cell>
          <cell r="W252" t="e">
            <v>#DIV/0!</v>
          </cell>
          <cell r="X252">
            <v>0</v>
          </cell>
          <cell r="Y252">
            <v>0</v>
          </cell>
          <cell r="Z252">
            <v>1.2000000000000011E-2</v>
          </cell>
          <cell r="AA252">
            <v>1.8000000000000071E-2</v>
          </cell>
          <cell r="AB252">
            <v>2.5499999999999967E-2</v>
          </cell>
          <cell r="AC252">
            <v>3.3000000000000029E-2</v>
          </cell>
          <cell r="AD252">
            <v>3.1499999999999972E-2</v>
          </cell>
          <cell r="AE252">
            <v>1.9499999999999962E-2</v>
          </cell>
          <cell r="AF252">
            <v>1.3000000000000012E-2</v>
          </cell>
          <cell r="AG252">
            <v>5.5000000000000049E-3</v>
          </cell>
          <cell r="AH252">
            <v>-1.5000000000000013E-3</v>
          </cell>
          <cell r="AI252">
            <v>-1.7500000000000016E-2</v>
          </cell>
          <cell r="AJ252">
            <v>-1.8499999999999961E-2</v>
          </cell>
          <cell r="AK252">
            <v>-1.8500000000000016E-2</v>
          </cell>
          <cell r="AL252">
            <v>-2.1500000000000019E-2</v>
          </cell>
          <cell r="AM252">
            <v>-7.5000000000000067E-3</v>
          </cell>
          <cell r="AN252">
            <v>-1.7500000000000016E-2</v>
          </cell>
          <cell r="AO252">
            <v>-3.0000000000000027E-2</v>
          </cell>
          <cell r="AP252">
            <v>-3.7499999999999978E-2</v>
          </cell>
          <cell r="AQ252">
            <v>-4.3333333333333335E-2</v>
          </cell>
          <cell r="AR252">
            <v>-4.500000000000004E-2</v>
          </cell>
          <cell r="AS252">
            <v>-4.0000000000000036E-2</v>
          </cell>
          <cell r="AT252" t="e">
            <v>#DIV/0!</v>
          </cell>
          <cell r="AU252" t="e">
            <v>#DIV/0!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G253">
            <v>243</v>
          </cell>
          <cell r="H253" t="str">
            <v>4 Month Target (Budget) % Var</v>
          </cell>
          <cell r="I253">
            <v>0</v>
          </cell>
          <cell r="J253">
            <v>0</v>
          </cell>
          <cell r="K253">
            <v>0</v>
          </cell>
          <cell r="L253" t="e">
            <v>#DIV/0!</v>
          </cell>
          <cell r="M253" t="e">
            <v>#DIV/0!</v>
          </cell>
          <cell r="N253" t="e">
            <v>#DIV/0!</v>
          </cell>
          <cell r="O253" t="e">
            <v>#DIV/0!</v>
          </cell>
          <cell r="P253" t="e">
            <v>#DIV/0!</v>
          </cell>
          <cell r="Q253" t="e">
            <v>#DIV/0!</v>
          </cell>
          <cell r="R253" t="e">
            <v>#DIV/0!</v>
          </cell>
          <cell r="S253" t="e">
            <v>#DIV/0!</v>
          </cell>
          <cell r="T253" t="e">
            <v>#DIV/0!</v>
          </cell>
          <cell r="U253" t="e">
            <v>#DIV/0!</v>
          </cell>
          <cell r="V253" t="e">
            <v>#DIV/0!</v>
          </cell>
          <cell r="W253" t="e">
            <v>#DIV/0!</v>
          </cell>
          <cell r="X253">
            <v>0</v>
          </cell>
          <cell r="Y253">
            <v>0</v>
          </cell>
          <cell r="Z253">
            <v>3.6474164133738635E-2</v>
          </cell>
          <cell r="AA253">
            <v>5.4054054054054272E-2</v>
          </cell>
          <cell r="AB253">
            <v>7.2909220872051372E-2</v>
          </cell>
          <cell r="AC253">
            <v>9.004092769440665E-2</v>
          </cell>
          <cell r="AD253">
            <v>8.349900596421464E-2</v>
          </cell>
          <cell r="AE253">
            <v>4.8933500627352473E-2</v>
          </cell>
          <cell r="AF253">
            <v>3.1591737545565039E-2</v>
          </cell>
          <cell r="AG253">
            <v>1.2880562060889942E-2</v>
          </cell>
          <cell r="AH253">
            <v>-3.3898305084745792E-3</v>
          </cell>
          <cell r="AI253">
            <v>-3.7234042553191522E-2</v>
          </cell>
          <cell r="AJ253">
            <v>-3.8541666666666585E-2</v>
          </cell>
          <cell r="AK253">
            <v>-3.7755102040816363E-2</v>
          </cell>
          <cell r="AL253">
            <v>-4.2574257425742612E-2</v>
          </cell>
          <cell r="AM253">
            <v>-1.5000000000000013E-2</v>
          </cell>
          <cell r="AN253">
            <v>-3.3980582524271871E-2</v>
          </cell>
          <cell r="AO253">
            <v>-5.660377358490571E-2</v>
          </cell>
          <cell r="AP253">
            <v>-6.9124423963133605E-2</v>
          </cell>
          <cell r="AQ253">
            <v>-7.8787878787878782E-2</v>
          </cell>
          <cell r="AR253">
            <v>-8.1081081081081141E-2</v>
          </cell>
          <cell r="AS253">
            <v>-7.142857142857148E-2</v>
          </cell>
          <cell r="AT253" t="e">
            <v>#DIV/0!</v>
          </cell>
          <cell r="AU253" t="e">
            <v>#DIV/0!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G254">
            <v>244</v>
          </cell>
          <cell r="H254" t="str">
            <v>Actual</v>
          </cell>
          <cell r="I254">
            <v>0</v>
          </cell>
          <cell r="J254">
            <v>0</v>
          </cell>
          <cell r="K254">
            <v>0</v>
          </cell>
          <cell r="L254">
            <v>0</v>
          </cell>
          <cell r="M254">
            <v>0</v>
          </cell>
          <cell r="N254">
            <v>3.6474164133738635E-2</v>
          </cell>
          <cell r="O254">
            <v>5.4054054054054272E-2</v>
          </cell>
          <cell r="P254">
            <v>7.2909220872051372E-2</v>
          </cell>
          <cell r="Q254">
            <v>9.004092769440665E-2</v>
          </cell>
          <cell r="R254">
            <v>8.349900596421464E-2</v>
          </cell>
          <cell r="S254">
            <v>4.8933500627352473E-2</v>
          </cell>
          <cell r="T254">
            <v>3.1591737545565039E-2</v>
          </cell>
          <cell r="U254">
            <v>1.2880562060889942E-2</v>
          </cell>
          <cell r="V254">
            <v>-3.3898305084745792E-3</v>
          </cell>
          <cell r="W254">
            <v>-3.7234042553191522E-2</v>
          </cell>
          <cell r="X254">
            <v>-3.8541666666666585E-2</v>
          </cell>
          <cell r="Y254">
            <v>-3.7755102040816363E-2</v>
          </cell>
          <cell r="Z254">
            <v>-4.2574257425742612E-2</v>
          </cell>
          <cell r="AA254">
            <v>-1.5000000000000013E-2</v>
          </cell>
          <cell r="AB254">
            <v>-3.3980582524271871E-2</v>
          </cell>
          <cell r="AC254">
            <v>-5.660377358490571E-2</v>
          </cell>
          <cell r="AD254">
            <v>-6.9124423963133605E-2</v>
          </cell>
          <cell r="AE254">
            <v>-8.3034111310592476E-2</v>
          </cell>
          <cell r="AF254">
            <v>-8.8596491228070146E-2</v>
          </cell>
          <cell r="AG254">
            <v>-9.28938356164382E-2</v>
          </cell>
          <cell r="AH254">
            <v>-0.10684474123539224</v>
          </cell>
          <cell r="AI254">
            <v>-0.11056105610561048</v>
          </cell>
          <cell r="AJ254">
            <v>-0.1174551386623164</v>
          </cell>
          <cell r="AK254">
            <v>-0.12741935483870961</v>
          </cell>
          <cell r="AL254">
            <v>7.0000000000000007E-2</v>
          </cell>
          <cell r="AM254">
            <v>0.13300000000000001</v>
          </cell>
          <cell r="AN254">
            <v>0.2</v>
          </cell>
          <cell r="AO254">
            <v>0.27</v>
          </cell>
          <cell r="AP254">
            <v>0.27</v>
          </cell>
          <cell r="AQ254">
            <v>0.33400000000000002</v>
          </cell>
          <cell r="AR254">
            <v>0.47</v>
          </cell>
          <cell r="AS254">
            <v>0</v>
          </cell>
          <cell r="AT254" t="e">
            <v>#DIV/0!</v>
          </cell>
          <cell r="AU254" t="e">
            <v>#DIV/0!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G255">
            <v>245</v>
          </cell>
          <cell r="H255" t="str">
            <v>Target (Budget)</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6.7000000000000004E-2</v>
          </cell>
          <cell r="AA255">
            <v>0.13300000000000001</v>
          </cell>
          <cell r="AB255">
            <v>0.2</v>
          </cell>
          <cell r="AC255">
            <v>0.26700000000000002</v>
          </cell>
          <cell r="AD255">
            <v>0.33400000000000002</v>
          </cell>
          <cell r="AE255">
            <v>0.4</v>
          </cell>
          <cell r="AF255">
            <v>0.46700000000000003</v>
          </cell>
          <cell r="AG255">
            <v>0.53400000000000003</v>
          </cell>
          <cell r="AH255">
            <v>0.60099999999999998</v>
          </cell>
          <cell r="AI255">
            <v>0</v>
          </cell>
          <cell r="AJ255">
            <v>0</v>
          </cell>
          <cell r="AK255">
            <v>0</v>
          </cell>
          <cell r="AL255">
            <v>6.6666666700000002E-2</v>
          </cell>
          <cell r="AM255">
            <v>0.1333333334</v>
          </cell>
          <cell r="AN255">
            <v>0.20000000010000002</v>
          </cell>
          <cell r="AO255">
            <v>0.27</v>
          </cell>
          <cell r="AP255">
            <v>0.27</v>
          </cell>
          <cell r="AQ255">
            <v>0.33666666670000001</v>
          </cell>
          <cell r="AR255">
            <v>0.40333333339999999</v>
          </cell>
          <cell r="AS255">
            <v>0.47000000009999998</v>
          </cell>
          <cell r="AT255">
            <v>0.53666666679999997</v>
          </cell>
          <cell r="AU255">
            <v>0.60333333349999996</v>
          </cell>
          <cell r="AV255">
            <v>0.6</v>
          </cell>
          <cell r="AW255">
            <v>0.66666666669999997</v>
          </cell>
          <cell r="AX255">
            <v>0.73333333339999995</v>
          </cell>
          <cell r="AY255">
            <v>0.80000000009999994</v>
          </cell>
          <cell r="AZ255">
            <v>0.86666666679999993</v>
          </cell>
          <cell r="BA255">
            <v>0.93333333349999992</v>
          </cell>
          <cell r="BB255">
            <v>1.0000000002</v>
          </cell>
          <cell r="BC255">
            <v>0</v>
          </cell>
          <cell r="BD255">
            <v>0</v>
          </cell>
          <cell r="BE255">
            <v>0</v>
          </cell>
          <cell r="BF255">
            <v>0</v>
          </cell>
          <cell r="BG255">
            <v>0</v>
          </cell>
          <cell r="BH255">
            <v>0</v>
          </cell>
          <cell r="BI255">
            <v>0</v>
          </cell>
          <cell r="BJ255">
            <v>0</v>
          </cell>
          <cell r="BK255">
            <v>0</v>
          </cell>
          <cell r="BL255">
            <v>0</v>
          </cell>
        </row>
        <row r="256">
          <cell r="G256">
            <v>246</v>
          </cell>
          <cell r="H256" t="str">
            <v>Target (Budget) Variance</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6.6699999999999995E-2</v>
          </cell>
          <cell r="AA256">
            <v>0.13339999999999999</v>
          </cell>
          <cell r="AB256">
            <v>0.2001</v>
          </cell>
          <cell r="AC256">
            <v>0.26700000000000002</v>
          </cell>
          <cell r="AD256">
            <v>0.3337</v>
          </cell>
          <cell r="AE256">
            <v>0.40039999999999998</v>
          </cell>
          <cell r="AF256">
            <v>0.46709999999999996</v>
          </cell>
          <cell r="AG256">
            <v>0.53379999999999994</v>
          </cell>
          <cell r="AH256">
            <v>0.60049999999999992</v>
          </cell>
          <cell r="AI256">
            <v>0.6671999999999999</v>
          </cell>
          <cell r="AJ256">
            <v>0</v>
          </cell>
          <cell r="AK256">
            <v>0</v>
          </cell>
          <cell r="AL256">
            <v>3.3333333000000048E-3</v>
          </cell>
          <cell r="AM256">
            <v>-3.3333339999999656E-4</v>
          </cell>
          <cell r="AN256">
            <v>-1.000000082740371E-10</v>
          </cell>
          <cell r="AO256">
            <v>0</v>
          </cell>
          <cell r="AP256">
            <v>0</v>
          </cell>
          <cell r="AQ256">
            <v>-0.33666666670000001</v>
          </cell>
          <cell r="AR256">
            <v>-0.40333333339999999</v>
          </cell>
          <cell r="AS256">
            <v>-0.47000000009999998</v>
          </cell>
          <cell r="AT256">
            <v>-0.53666666679999997</v>
          </cell>
          <cell r="AU256">
            <v>-0.60333333349999996</v>
          </cell>
          <cell r="AV256">
            <v>-0.6</v>
          </cell>
          <cell r="AW256">
            <v>-0.66666666669999997</v>
          </cell>
          <cell r="AX256">
            <v>-0.73333333339999995</v>
          </cell>
          <cell r="AY256">
            <v>-0.80000000009999994</v>
          </cell>
          <cell r="AZ256">
            <v>-0.86666666679999993</v>
          </cell>
          <cell r="BA256">
            <v>-0.93333333349999992</v>
          </cell>
          <cell r="BB256">
            <v>-1.0000000002</v>
          </cell>
          <cell r="BC256">
            <v>0</v>
          </cell>
          <cell r="BD256">
            <v>0</v>
          </cell>
          <cell r="BE256">
            <v>0</v>
          </cell>
          <cell r="BF256">
            <v>0</v>
          </cell>
          <cell r="BG256">
            <v>0</v>
          </cell>
          <cell r="BH256">
            <v>0</v>
          </cell>
          <cell r="BI256">
            <v>0</v>
          </cell>
          <cell r="BJ256">
            <v>0</v>
          </cell>
          <cell r="BK256">
            <v>0</v>
          </cell>
          <cell r="BL256">
            <v>0</v>
          </cell>
        </row>
        <row r="257">
          <cell r="G257">
            <v>247</v>
          </cell>
          <cell r="H257" t="str">
            <v>Target (Budget) %Var</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1.666666649166669E-2</v>
          </cell>
          <cell r="AM257">
            <v>-1.2345681481481354E-3</v>
          </cell>
          <cell r="AN257">
            <v>-3.7037040101495222E-10</v>
          </cell>
          <cell r="AO257">
            <v>0</v>
          </cell>
          <cell r="AP257">
            <v>0</v>
          </cell>
          <cell r="AQ257">
            <v>-0.71631205665610387</v>
          </cell>
          <cell r="AR257">
            <v>-0.75155279496855831</v>
          </cell>
          <cell r="AS257">
            <v>-0.77900552481242946</v>
          </cell>
          <cell r="AT257">
            <v>-0.89444444466666662</v>
          </cell>
          <cell r="AU257">
            <v>-0.90500000020475002</v>
          </cell>
          <cell r="AV257">
            <v>-0.6</v>
          </cell>
          <cell r="AW257">
            <v>-0.6</v>
          </cell>
          <cell r="AX257">
            <v>-0.6</v>
          </cell>
          <cell r="AY257">
            <v>-0.6</v>
          </cell>
          <cell r="AZ257">
            <v>-0.6</v>
          </cell>
          <cell r="BA257">
            <v>-0.6</v>
          </cell>
          <cell r="BB257">
            <v>-0.6</v>
          </cell>
          <cell r="BC257">
            <v>0</v>
          </cell>
          <cell r="BD257">
            <v>0</v>
          </cell>
          <cell r="BE257">
            <v>0</v>
          </cell>
          <cell r="BF257">
            <v>0</v>
          </cell>
          <cell r="BG257">
            <v>0</v>
          </cell>
          <cell r="BH257">
            <v>0</v>
          </cell>
          <cell r="BI257">
            <v>0</v>
          </cell>
          <cell r="BJ257">
            <v>0</v>
          </cell>
          <cell r="BK257">
            <v>0</v>
          </cell>
          <cell r="BL257">
            <v>0</v>
          </cell>
        </row>
        <row r="258">
          <cell r="G258">
            <v>248</v>
          </cell>
          <cell r="H258" t="str">
            <v xml:space="preserve">YTD Actual </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7.0000000000000007E-2</v>
          </cell>
          <cell r="AM258">
            <v>0.13300000000000001</v>
          </cell>
          <cell r="AN258">
            <v>0.2</v>
          </cell>
          <cell r="AO258">
            <v>0.27</v>
          </cell>
          <cell r="AP258">
            <v>0.27</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G259">
            <v>249</v>
          </cell>
          <cell r="H259" t="str">
            <v xml:space="preserve">YTD Target (Budget) </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6.6666666700000002E-2</v>
          </cell>
          <cell r="AM259">
            <v>0.1333333334</v>
          </cell>
          <cell r="AN259">
            <v>0.20000000010000002</v>
          </cell>
          <cell r="AO259">
            <v>0.27</v>
          </cell>
          <cell r="AP259">
            <v>0.27</v>
          </cell>
          <cell r="AQ259">
            <v>0.33666666670000001</v>
          </cell>
          <cell r="AR259">
            <v>0.40333333339999999</v>
          </cell>
          <cell r="AS259">
            <v>0.47000000009999998</v>
          </cell>
          <cell r="AT259">
            <v>0.53666666679999997</v>
          </cell>
          <cell r="AU259">
            <v>0.60333333349999996</v>
          </cell>
          <cell r="AV259">
            <v>0.6</v>
          </cell>
          <cell r="AW259">
            <v>0.66666666669999997</v>
          </cell>
          <cell r="AX259">
            <v>0.73333333339999995</v>
          </cell>
          <cell r="AY259">
            <v>0.80000000009999994</v>
          </cell>
          <cell r="AZ259">
            <v>0.86666666679999993</v>
          </cell>
          <cell r="BA259">
            <v>0.93333333349999992</v>
          </cell>
          <cell r="BB259">
            <v>1.0000000002</v>
          </cell>
          <cell r="BC259">
            <v>0</v>
          </cell>
          <cell r="BD259">
            <v>0</v>
          </cell>
          <cell r="BE259">
            <v>0</v>
          </cell>
          <cell r="BF259">
            <v>0</v>
          </cell>
          <cell r="BG259">
            <v>0</v>
          </cell>
          <cell r="BH259">
            <v>0</v>
          </cell>
          <cell r="BI259">
            <v>0</v>
          </cell>
          <cell r="BJ259">
            <v>0</v>
          </cell>
          <cell r="BK259">
            <v>0</v>
          </cell>
          <cell r="BL259">
            <v>0</v>
          </cell>
        </row>
        <row r="260">
          <cell r="G260">
            <v>250</v>
          </cell>
          <cell r="H260" t="str">
            <v>YTD Target (Budget) Var</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3.3333333000000048E-3</v>
          </cell>
          <cell r="AM260">
            <v>-3.3333339999999656E-4</v>
          </cell>
          <cell r="AN260">
            <v>-1.000000082740371E-10</v>
          </cell>
          <cell r="AO260">
            <v>0</v>
          </cell>
          <cell r="AP260">
            <v>0</v>
          </cell>
          <cell r="AQ260">
            <v>-0.33666666670000001</v>
          </cell>
          <cell r="AR260">
            <v>-0.40333333339999999</v>
          </cell>
          <cell r="AS260">
            <v>-0.47000000009999998</v>
          </cell>
          <cell r="AT260">
            <v>-0.53666666679999997</v>
          </cell>
          <cell r="AU260">
            <v>-0.60333333349999996</v>
          </cell>
          <cell r="AV260">
            <v>0.6</v>
          </cell>
          <cell r="AW260">
            <v>0.6</v>
          </cell>
          <cell r="AX260">
            <v>0.6</v>
          </cell>
          <cell r="AY260">
            <v>0.6</v>
          </cell>
          <cell r="AZ260">
            <v>0.6</v>
          </cell>
          <cell r="BA260">
            <v>0.6</v>
          </cell>
          <cell r="BB260">
            <v>0.6</v>
          </cell>
          <cell r="BC260">
            <v>0</v>
          </cell>
          <cell r="BD260">
            <v>0</v>
          </cell>
          <cell r="BE260">
            <v>0</v>
          </cell>
          <cell r="BF260">
            <v>0</v>
          </cell>
          <cell r="BG260">
            <v>0</v>
          </cell>
          <cell r="BH260">
            <v>0</v>
          </cell>
          <cell r="BI260">
            <v>0</v>
          </cell>
          <cell r="BJ260">
            <v>0</v>
          </cell>
          <cell r="BK260">
            <v>0</v>
          </cell>
          <cell r="BL260">
            <v>0</v>
          </cell>
        </row>
        <row r="261">
          <cell r="G261">
            <v>251</v>
          </cell>
          <cell r="H261" t="str">
            <v>YTD %Var</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t="e">
            <v>#DIV/0!</v>
          </cell>
          <cell r="AK261" t="e">
            <v>#DIV/0!</v>
          </cell>
          <cell r="AL261">
            <v>4.999999947500007E-2</v>
          </cell>
          <cell r="AM261">
            <v>-2.5000004987499741E-3</v>
          </cell>
          <cell r="AN261">
            <v>-5.0000004112018546E-10</v>
          </cell>
          <cell r="AO261">
            <v>0</v>
          </cell>
          <cell r="AP261">
            <v>0</v>
          </cell>
          <cell r="AQ261">
            <v>-1</v>
          </cell>
          <cell r="AR261">
            <v>-1</v>
          </cell>
          <cell r="AS261">
            <v>-1</v>
          </cell>
          <cell r="AT261">
            <v>-1</v>
          </cell>
          <cell r="AU261">
            <v>-1</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G262">
            <v>252</v>
          </cell>
          <cell r="H262" t="str">
            <v>4 Month Actual</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t="e">
            <v>#DIV/0!</v>
          </cell>
          <cell r="AK262" t="e">
            <v>#DIV/0!</v>
          </cell>
          <cell r="AL262">
            <v>7.0000000000000007E-2</v>
          </cell>
          <cell r="AM262">
            <v>0.10150000000000001</v>
          </cell>
          <cell r="AN262">
            <v>0.13433333333333333</v>
          </cell>
          <cell r="AO262">
            <v>0.16825000000000001</v>
          </cell>
          <cell r="AP262">
            <v>0.21825</v>
          </cell>
          <cell r="AQ262">
            <v>0.24666666666666667</v>
          </cell>
          <cell r="AR262">
            <v>0.27</v>
          </cell>
          <cell r="AS262">
            <v>0.27</v>
          </cell>
          <cell r="AT262" t="e">
            <v>#DIV/0!</v>
          </cell>
          <cell r="AU262" t="e">
            <v>#DIV/0!</v>
          </cell>
          <cell r="AV262" t="e">
            <v>#DIV/0!</v>
          </cell>
          <cell r="AW262" t="e">
            <v>#DIV/0!</v>
          </cell>
          <cell r="AX262" t="e">
            <v>#DIV/0!</v>
          </cell>
          <cell r="AY262" t="e">
            <v>#DIV/0!</v>
          </cell>
          <cell r="AZ262" t="e">
            <v>#DIV/0!</v>
          </cell>
          <cell r="BA262" t="e">
            <v>#DIV/0!</v>
          </cell>
          <cell r="BB262" t="e">
            <v>#DIV/0!</v>
          </cell>
          <cell r="BC262">
            <v>0</v>
          </cell>
          <cell r="BD262">
            <v>0</v>
          </cell>
          <cell r="BE262">
            <v>0</v>
          </cell>
          <cell r="BF262">
            <v>0</v>
          </cell>
          <cell r="BG262">
            <v>0</v>
          </cell>
          <cell r="BH262">
            <v>0</v>
          </cell>
          <cell r="BI262">
            <v>0</v>
          </cell>
          <cell r="BJ262">
            <v>0</v>
          </cell>
          <cell r="BK262">
            <v>0</v>
          </cell>
          <cell r="BL262">
            <v>0</v>
          </cell>
        </row>
        <row r="263">
          <cell r="G263">
            <v>253</v>
          </cell>
          <cell r="H263" t="str">
            <v>4 Month Target (Budget)</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t="e">
            <v>#DIV/0!</v>
          </cell>
          <cell r="AK263" t="e">
            <v>#DIV/0!</v>
          </cell>
          <cell r="AL263">
            <v>6.6666666700000002E-2</v>
          </cell>
          <cell r="AM263">
            <v>0.10000000005000001</v>
          </cell>
          <cell r="AN263">
            <v>0.1333333334</v>
          </cell>
          <cell r="AO263">
            <v>0.16750000005000001</v>
          </cell>
          <cell r="AP263">
            <v>0.21833333337500002</v>
          </cell>
          <cell r="AQ263">
            <v>0.2691666667</v>
          </cell>
          <cell r="AR263">
            <v>0.32000000002500001</v>
          </cell>
          <cell r="AS263">
            <v>0.37000000005</v>
          </cell>
          <cell r="AT263">
            <v>0.43666666674999999</v>
          </cell>
          <cell r="AU263">
            <v>0.50333333344999998</v>
          </cell>
          <cell r="AV263">
            <v>0.5525000001</v>
          </cell>
          <cell r="AW263">
            <v>0.60166666674999991</v>
          </cell>
          <cell r="AX263">
            <v>0.65083333339999994</v>
          </cell>
          <cell r="AY263">
            <v>0.70000000004999996</v>
          </cell>
          <cell r="AZ263">
            <v>0.76666666674999995</v>
          </cell>
          <cell r="BA263">
            <v>0.83333333344999994</v>
          </cell>
          <cell r="BB263">
            <v>0.90000000014999992</v>
          </cell>
          <cell r="BC263">
            <v>0</v>
          </cell>
          <cell r="BD263">
            <v>0</v>
          </cell>
          <cell r="BE263">
            <v>0</v>
          </cell>
          <cell r="BF263">
            <v>0</v>
          </cell>
          <cell r="BG263">
            <v>0</v>
          </cell>
          <cell r="BH263">
            <v>0</v>
          </cell>
          <cell r="BI263">
            <v>0</v>
          </cell>
          <cell r="BJ263">
            <v>0</v>
          </cell>
          <cell r="BK263">
            <v>0</v>
          </cell>
          <cell r="BL263">
            <v>0</v>
          </cell>
        </row>
        <row r="264">
          <cell r="G264">
            <v>254</v>
          </cell>
          <cell r="H264" t="str">
            <v>4 Month Target (Budget) Var</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t="e">
            <v>#DIV/0!</v>
          </cell>
          <cell r="AK264" t="e">
            <v>#DIV/0!</v>
          </cell>
          <cell r="AL264">
            <v>3.3333333000000048E-3</v>
          </cell>
          <cell r="AM264">
            <v>1.4999999499999972E-3</v>
          </cell>
          <cell r="AN264">
            <v>9.9999993333332871E-4</v>
          </cell>
          <cell r="AO264">
            <v>7.4999994999999653E-4</v>
          </cell>
          <cell r="AP264">
            <v>-8.3333375000022025E-5</v>
          </cell>
          <cell r="AQ264">
            <v>-2.2500000033333328E-2</v>
          </cell>
          <cell r="AR264">
            <v>-5.0000000024999991E-2</v>
          </cell>
          <cell r="AS264">
            <v>-0.10000000004999998</v>
          </cell>
          <cell r="AT264" t="e">
            <v>#DIV/0!</v>
          </cell>
          <cell r="AU264" t="e">
            <v>#DIV/0!</v>
          </cell>
          <cell r="AV264">
            <v>0.6</v>
          </cell>
          <cell r="AW264">
            <v>0.6</v>
          </cell>
          <cell r="AX264">
            <v>0.6</v>
          </cell>
          <cell r="AY264">
            <v>0.6</v>
          </cell>
          <cell r="AZ264">
            <v>0.6</v>
          </cell>
          <cell r="BA264">
            <v>0.6</v>
          </cell>
          <cell r="BB264">
            <v>0.6</v>
          </cell>
          <cell r="BC264">
            <v>0</v>
          </cell>
          <cell r="BD264">
            <v>0</v>
          </cell>
          <cell r="BE264">
            <v>0</v>
          </cell>
          <cell r="BF264">
            <v>0</v>
          </cell>
          <cell r="BG264">
            <v>0</v>
          </cell>
          <cell r="BH264">
            <v>0</v>
          </cell>
          <cell r="BI264">
            <v>0</v>
          </cell>
          <cell r="BJ264">
            <v>0</v>
          </cell>
          <cell r="BK264">
            <v>0</v>
          </cell>
          <cell r="BL264">
            <v>0</v>
          </cell>
        </row>
        <row r="265">
          <cell r="G265">
            <v>255</v>
          </cell>
          <cell r="H265" t="str">
            <v>4 Month Target (Budget) % Var</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t="e">
            <v>#DIV/0!</v>
          </cell>
          <cell r="AK265" t="e">
            <v>#DIV/0!</v>
          </cell>
          <cell r="AL265">
            <v>4.999999947500007E-2</v>
          </cell>
          <cell r="AM265">
            <v>1.4999999492499971E-2</v>
          </cell>
          <cell r="AN265">
            <v>7.499999496249965E-3</v>
          </cell>
          <cell r="AO265">
            <v>4.4776116404544233E-3</v>
          </cell>
          <cell r="AP265">
            <v>-3.8167958007993298E-4</v>
          </cell>
          <cell r="AQ265">
            <v>-8.3591331382836961E-2</v>
          </cell>
          <cell r="AR265">
            <v>-0.15625000006591794</v>
          </cell>
          <cell r="AS265">
            <v>-0.27027027036888235</v>
          </cell>
          <cell r="AT265" t="e">
            <v>#DIV/0!</v>
          </cell>
          <cell r="AU265" t="e">
            <v>#DIV/0!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G266">
            <v>256</v>
          </cell>
          <cell r="H266" t="str">
            <v>Actual</v>
          </cell>
          <cell r="I266">
            <v>0</v>
          </cell>
          <cell r="J266">
            <v>0</v>
          </cell>
          <cell r="K266">
            <v>0</v>
          </cell>
          <cell r="L266">
            <v>108285</v>
          </cell>
          <cell r="M266">
            <v>254137</v>
          </cell>
          <cell r="N266">
            <v>450010</v>
          </cell>
          <cell r="O266">
            <v>440297</v>
          </cell>
          <cell r="P266">
            <v>381082</v>
          </cell>
          <cell r="Q266">
            <v>172788</v>
          </cell>
          <cell r="R266">
            <v>426962</v>
          </cell>
          <cell r="S266">
            <v>505557</v>
          </cell>
          <cell r="T266">
            <v>387545</v>
          </cell>
          <cell r="U266">
            <v>406227</v>
          </cell>
          <cell r="V266">
            <v>105950</v>
          </cell>
          <cell r="W266">
            <v>121069</v>
          </cell>
          <cell r="X266">
            <v>114592</v>
          </cell>
          <cell r="Y266">
            <v>182927</v>
          </cell>
          <cell r="Z266">
            <v>509731</v>
          </cell>
          <cell r="AA266">
            <v>529692</v>
          </cell>
          <cell r="AB266">
            <v>408876</v>
          </cell>
          <cell r="AC266">
            <v>279919</v>
          </cell>
          <cell r="AD266">
            <v>367115</v>
          </cell>
          <cell r="AE266">
            <v>523857</v>
          </cell>
          <cell r="AF266">
            <v>432802</v>
          </cell>
          <cell r="AG266">
            <v>459115</v>
          </cell>
          <cell r="AH266">
            <v>118418</v>
          </cell>
          <cell r="AI266">
            <v>108167</v>
          </cell>
          <cell r="AJ266">
            <v>103126</v>
          </cell>
          <cell r="AK266">
            <v>187572</v>
          </cell>
          <cell r="AL266">
            <v>481738</v>
          </cell>
          <cell r="AM266">
            <v>445072</v>
          </cell>
          <cell r="AN266">
            <v>374033</v>
          </cell>
          <cell r="AO266">
            <v>273879</v>
          </cell>
          <cell r="AP266">
            <v>384201</v>
          </cell>
          <cell r="AQ266">
            <v>516977</v>
          </cell>
          <cell r="AR266">
            <v>439198</v>
          </cell>
          <cell r="AS266">
            <v>445461</v>
          </cell>
          <cell r="AT266">
            <v>113874</v>
          </cell>
          <cell r="AU266" t="e">
            <v>#DIV/0!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G267">
            <v>257</v>
          </cell>
          <cell r="H267" t="str">
            <v>Target (Budget)</v>
          </cell>
          <cell r="I267">
            <v>0</v>
          </cell>
          <cell r="J267">
            <v>0</v>
          </cell>
          <cell r="K267">
            <v>0</v>
          </cell>
          <cell r="L267">
            <v>125000</v>
          </cell>
          <cell r="M267">
            <v>220000</v>
          </cell>
          <cell r="N267">
            <v>628000</v>
          </cell>
          <cell r="O267">
            <v>630000</v>
          </cell>
          <cell r="P267">
            <v>655000</v>
          </cell>
          <cell r="Q267">
            <v>140000</v>
          </cell>
          <cell r="R267">
            <v>570000</v>
          </cell>
          <cell r="S267">
            <v>570000</v>
          </cell>
          <cell r="T267">
            <v>480000</v>
          </cell>
          <cell r="U267">
            <v>550000</v>
          </cell>
          <cell r="V267">
            <v>120000</v>
          </cell>
          <cell r="W267">
            <v>115000</v>
          </cell>
          <cell r="X267">
            <v>110000</v>
          </cell>
          <cell r="Y267">
            <v>160000</v>
          </cell>
          <cell r="Z267">
            <v>540000</v>
          </cell>
          <cell r="AA267">
            <v>550000</v>
          </cell>
          <cell r="AB267">
            <v>450000</v>
          </cell>
          <cell r="AC267">
            <v>130000</v>
          </cell>
          <cell r="AD267">
            <v>530000</v>
          </cell>
          <cell r="AE267">
            <v>550000</v>
          </cell>
          <cell r="AF267">
            <v>430000</v>
          </cell>
          <cell r="AG267">
            <v>450000</v>
          </cell>
          <cell r="AH267">
            <v>160000</v>
          </cell>
          <cell r="AI267">
            <v>110000</v>
          </cell>
          <cell r="AJ267">
            <v>115000</v>
          </cell>
          <cell r="AK267">
            <v>180000</v>
          </cell>
          <cell r="AL267">
            <v>510000</v>
          </cell>
          <cell r="AM267">
            <v>530000</v>
          </cell>
          <cell r="AN267">
            <v>400000</v>
          </cell>
          <cell r="AO267">
            <v>220000</v>
          </cell>
          <cell r="AP267">
            <v>360000</v>
          </cell>
          <cell r="AQ267">
            <v>520000</v>
          </cell>
          <cell r="AR267">
            <v>430000</v>
          </cell>
          <cell r="AS267">
            <v>450000</v>
          </cell>
          <cell r="AT267">
            <v>120000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G268">
            <v>258</v>
          </cell>
          <cell r="H268" t="str">
            <v>Target (Budget) Variance</v>
          </cell>
          <cell r="I268">
            <v>0</v>
          </cell>
          <cell r="J268">
            <v>0</v>
          </cell>
          <cell r="K268">
            <v>0</v>
          </cell>
          <cell r="L268">
            <v>-16715</v>
          </cell>
          <cell r="M268">
            <v>34137</v>
          </cell>
          <cell r="N268">
            <v>-177990</v>
          </cell>
          <cell r="O268">
            <v>-189703</v>
          </cell>
          <cell r="P268">
            <v>-273918</v>
          </cell>
          <cell r="Q268">
            <v>32788</v>
          </cell>
          <cell r="R268">
            <v>-143038</v>
          </cell>
          <cell r="S268">
            <v>-64443</v>
          </cell>
          <cell r="T268">
            <v>-92455</v>
          </cell>
          <cell r="U268">
            <v>-143773</v>
          </cell>
          <cell r="V268">
            <v>-14050</v>
          </cell>
          <cell r="W268">
            <v>6069</v>
          </cell>
          <cell r="X268">
            <v>4592</v>
          </cell>
          <cell r="Y268">
            <v>22927</v>
          </cell>
          <cell r="Z268">
            <v>-30269</v>
          </cell>
          <cell r="AA268">
            <v>-20308</v>
          </cell>
          <cell r="AB268">
            <v>-41124</v>
          </cell>
          <cell r="AC268">
            <v>149919</v>
          </cell>
          <cell r="AD268">
            <v>-162885</v>
          </cell>
          <cell r="AE268">
            <v>-26143</v>
          </cell>
          <cell r="AF268">
            <v>2802</v>
          </cell>
          <cell r="AG268">
            <v>9115</v>
          </cell>
          <cell r="AH268">
            <v>-41582</v>
          </cell>
          <cell r="AI268">
            <v>-1833</v>
          </cell>
          <cell r="AJ268">
            <v>-11874</v>
          </cell>
          <cell r="AK268">
            <v>7572</v>
          </cell>
          <cell r="AL268">
            <v>-28262</v>
          </cell>
          <cell r="AM268">
            <v>-84928</v>
          </cell>
          <cell r="AN268">
            <v>-25967</v>
          </cell>
          <cell r="AO268">
            <v>53879</v>
          </cell>
          <cell r="AP268">
            <v>24201</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G269">
            <v>259</v>
          </cell>
          <cell r="H269" t="str">
            <v>Target (Budget) %Var</v>
          </cell>
          <cell r="I269">
            <v>0</v>
          </cell>
          <cell r="J269">
            <v>0</v>
          </cell>
          <cell r="K269">
            <v>0</v>
          </cell>
          <cell r="L269">
            <v>-0.13372000000000001</v>
          </cell>
          <cell r="M269">
            <v>0.15516818181818182</v>
          </cell>
          <cell r="N269">
            <v>-0.2834235668789809</v>
          </cell>
          <cell r="O269">
            <v>-0.301115873015873</v>
          </cell>
          <cell r="P269">
            <v>-0.41819541984732822</v>
          </cell>
          <cell r="Q269">
            <v>0.23419999999999999</v>
          </cell>
          <cell r="R269">
            <v>-0.2509438596491228</v>
          </cell>
          <cell r="S269">
            <v>-0.11305789473684211</v>
          </cell>
          <cell r="T269">
            <v>-0.19261458333333334</v>
          </cell>
          <cell r="U269">
            <v>-0.26140545454545455</v>
          </cell>
          <cell r="V269">
            <v>-0.11708333333333333</v>
          </cell>
          <cell r="W269">
            <v>5.2773913043478261E-2</v>
          </cell>
          <cell r="X269">
            <v>4.1745454545454544E-2</v>
          </cell>
          <cell r="Y269">
            <v>0.14329375</v>
          </cell>
          <cell r="Z269">
            <v>-5.6053703703703703E-2</v>
          </cell>
          <cell r="AA269">
            <v>-3.6923636363636367E-2</v>
          </cell>
          <cell r="AB269">
            <v>-9.1386666666666672E-2</v>
          </cell>
          <cell r="AC269">
            <v>1.1532230769230769</v>
          </cell>
          <cell r="AD269">
            <v>-0.30733018867924528</v>
          </cell>
          <cell r="AE269">
            <v>-4.7532727272727275E-2</v>
          </cell>
          <cell r="AF269">
            <v>6.5162790697674416E-3</v>
          </cell>
          <cell r="AG269">
            <v>2.0255555555555554E-2</v>
          </cell>
          <cell r="AH269">
            <v>-0.25988749999999999</v>
          </cell>
          <cell r="AI269">
            <v>-1.6663636363636363E-2</v>
          </cell>
          <cell r="AJ269">
            <v>-0.10325217391304348</v>
          </cell>
          <cell r="AK269">
            <v>4.2066666666666669E-2</v>
          </cell>
          <cell r="AL269">
            <v>-5.5415686274509803E-2</v>
          </cell>
          <cell r="AM269">
            <v>-0.16024150943396226</v>
          </cell>
          <cell r="AN269">
            <v>-6.4917500000000003E-2</v>
          </cell>
          <cell r="AO269">
            <v>0.24490454545454546</v>
          </cell>
          <cell r="AP269">
            <v>6.7224999999999993E-2</v>
          </cell>
          <cell r="AQ269" t="e">
            <v>#DIV/0!</v>
          </cell>
          <cell r="AR269" t="e">
            <v>#DIV/0!</v>
          </cell>
          <cell r="AS269" t="e">
            <v>#DIV/0!</v>
          </cell>
          <cell r="AT269" t="e">
            <v>#DIV/0!</v>
          </cell>
          <cell r="AU269" t="e">
            <v>#DIV/0!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G270">
            <v>260</v>
          </cell>
          <cell r="H270" t="str">
            <v>YTD Actual</v>
          </cell>
          <cell r="I270">
            <v>0</v>
          </cell>
          <cell r="J270">
            <v>0</v>
          </cell>
          <cell r="K270">
            <v>0</v>
          </cell>
          <cell r="L270">
            <v>108285</v>
          </cell>
          <cell r="M270">
            <v>362422</v>
          </cell>
          <cell r="N270">
            <v>812432</v>
          </cell>
          <cell r="O270">
            <v>1252729</v>
          </cell>
          <cell r="P270">
            <v>1633811</v>
          </cell>
          <cell r="Q270">
            <v>1806599</v>
          </cell>
          <cell r="R270">
            <v>2233561</v>
          </cell>
          <cell r="S270">
            <v>2739118</v>
          </cell>
          <cell r="T270">
            <v>3126663</v>
          </cell>
          <cell r="U270">
            <v>3532890</v>
          </cell>
          <cell r="V270">
            <v>3638840</v>
          </cell>
          <cell r="W270">
            <v>3759909</v>
          </cell>
          <cell r="X270">
            <v>114592</v>
          </cell>
          <cell r="Y270">
            <v>297519</v>
          </cell>
          <cell r="Z270">
            <v>807250</v>
          </cell>
          <cell r="AA270">
            <v>1336942</v>
          </cell>
          <cell r="AB270">
            <v>1745818</v>
          </cell>
          <cell r="AC270">
            <v>2025737</v>
          </cell>
          <cell r="AD270">
            <v>2392852</v>
          </cell>
          <cell r="AE270">
            <v>2916709</v>
          </cell>
          <cell r="AF270">
            <v>3349511</v>
          </cell>
          <cell r="AG270">
            <v>3808626</v>
          </cell>
          <cell r="AH270">
            <v>3927044</v>
          </cell>
          <cell r="AI270">
            <v>4035211</v>
          </cell>
          <cell r="AJ270">
            <v>103126</v>
          </cell>
          <cell r="AK270">
            <v>290698</v>
          </cell>
          <cell r="AL270">
            <v>772436</v>
          </cell>
          <cell r="AM270">
            <v>1217508</v>
          </cell>
          <cell r="AN270">
            <v>1591541</v>
          </cell>
          <cell r="AO270">
            <v>1865420</v>
          </cell>
          <cell r="AP270">
            <v>2249621</v>
          </cell>
          <cell r="AQ270">
            <v>2249621</v>
          </cell>
          <cell r="AR270">
            <v>2249621</v>
          </cell>
          <cell r="AS270">
            <v>2249621</v>
          </cell>
          <cell r="AT270">
            <v>2249621</v>
          </cell>
          <cell r="AU270">
            <v>2249621</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G271">
            <v>261</v>
          </cell>
          <cell r="H271" t="str">
            <v>YTD Target (Budget)</v>
          </cell>
          <cell r="I271">
            <v>0</v>
          </cell>
          <cell r="J271">
            <v>0</v>
          </cell>
          <cell r="K271">
            <v>0</v>
          </cell>
          <cell r="L271">
            <v>125000</v>
          </cell>
          <cell r="M271">
            <v>345000</v>
          </cell>
          <cell r="N271">
            <v>973000</v>
          </cell>
          <cell r="O271">
            <v>1603000</v>
          </cell>
          <cell r="P271">
            <v>2258000</v>
          </cell>
          <cell r="Q271">
            <v>2398000</v>
          </cell>
          <cell r="R271">
            <v>2968000</v>
          </cell>
          <cell r="S271">
            <v>3538000</v>
          </cell>
          <cell r="T271">
            <v>4018000</v>
          </cell>
          <cell r="U271">
            <v>4568000</v>
          </cell>
          <cell r="V271">
            <v>4688000</v>
          </cell>
          <cell r="W271">
            <v>4803000</v>
          </cell>
          <cell r="X271">
            <v>110000</v>
          </cell>
          <cell r="Y271">
            <v>270000</v>
          </cell>
          <cell r="Z271">
            <v>810000</v>
          </cell>
          <cell r="AA271">
            <v>1360000</v>
          </cell>
          <cell r="AB271">
            <v>1810000</v>
          </cell>
          <cell r="AC271">
            <v>1940000</v>
          </cell>
          <cell r="AD271">
            <v>2470000</v>
          </cell>
          <cell r="AE271">
            <v>3020000</v>
          </cell>
          <cell r="AF271">
            <v>3450000</v>
          </cell>
          <cell r="AG271">
            <v>3900000</v>
          </cell>
          <cell r="AH271">
            <v>4060000</v>
          </cell>
          <cell r="AI271">
            <v>4170000</v>
          </cell>
          <cell r="AJ271">
            <v>115000</v>
          </cell>
          <cell r="AK271">
            <v>295000</v>
          </cell>
          <cell r="AL271">
            <v>805000</v>
          </cell>
          <cell r="AM271">
            <v>1335000</v>
          </cell>
          <cell r="AN271">
            <v>1735000</v>
          </cell>
          <cell r="AO271">
            <v>1955000</v>
          </cell>
          <cell r="AP271">
            <v>2315000</v>
          </cell>
          <cell r="AQ271">
            <v>2315000</v>
          </cell>
          <cell r="AR271">
            <v>2315000</v>
          </cell>
          <cell r="AS271">
            <v>2315000</v>
          </cell>
          <cell r="AT271">
            <v>2315000</v>
          </cell>
          <cell r="AU271">
            <v>2315000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G272">
            <v>262</v>
          </cell>
          <cell r="H272" t="str">
            <v>YTD Target (Budget) Var</v>
          </cell>
          <cell r="I272">
            <v>0</v>
          </cell>
          <cell r="J272">
            <v>0</v>
          </cell>
          <cell r="K272">
            <v>0</v>
          </cell>
          <cell r="L272">
            <v>-16715</v>
          </cell>
          <cell r="M272">
            <v>17422</v>
          </cell>
          <cell r="N272">
            <v>-160568</v>
          </cell>
          <cell r="O272">
            <v>-350271</v>
          </cell>
          <cell r="P272">
            <v>-624189</v>
          </cell>
          <cell r="Q272">
            <v>-591401</v>
          </cell>
          <cell r="R272">
            <v>-734439</v>
          </cell>
          <cell r="S272">
            <v>-798882</v>
          </cell>
          <cell r="T272">
            <v>-891337</v>
          </cell>
          <cell r="U272">
            <v>-1035110</v>
          </cell>
          <cell r="V272">
            <v>-1049160</v>
          </cell>
          <cell r="W272">
            <v>-1043091</v>
          </cell>
          <cell r="X272">
            <v>4592</v>
          </cell>
          <cell r="Y272">
            <v>27519</v>
          </cell>
          <cell r="Z272">
            <v>-2750</v>
          </cell>
          <cell r="AA272">
            <v>-23058</v>
          </cell>
          <cell r="AB272">
            <v>-64182</v>
          </cell>
          <cell r="AC272">
            <v>85737</v>
          </cell>
          <cell r="AD272">
            <v>-77148</v>
          </cell>
          <cell r="AE272">
            <v>-103291</v>
          </cell>
          <cell r="AF272">
            <v>-100489</v>
          </cell>
          <cell r="AG272">
            <v>-91374</v>
          </cell>
          <cell r="AH272">
            <v>-132956</v>
          </cell>
          <cell r="AI272">
            <v>-134789</v>
          </cell>
          <cell r="AJ272">
            <v>-11874</v>
          </cell>
          <cell r="AK272">
            <v>-4302</v>
          </cell>
          <cell r="AL272">
            <v>-32564</v>
          </cell>
          <cell r="AM272">
            <v>-117492</v>
          </cell>
          <cell r="AN272">
            <v>-143459</v>
          </cell>
          <cell r="AO272">
            <v>-89580</v>
          </cell>
          <cell r="AP272">
            <v>-65379</v>
          </cell>
          <cell r="AQ272">
            <v>-65379</v>
          </cell>
          <cell r="AR272">
            <v>-65379</v>
          </cell>
          <cell r="AS272">
            <v>-65379</v>
          </cell>
          <cell r="AT272">
            <v>-65379</v>
          </cell>
          <cell r="AU272">
            <v>-65379</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G273">
            <v>263</v>
          </cell>
          <cell r="H273" t="str">
            <v>YTD %Var</v>
          </cell>
          <cell r="I273">
            <v>0</v>
          </cell>
          <cell r="J273">
            <v>0</v>
          </cell>
          <cell r="K273">
            <v>0</v>
          </cell>
          <cell r="L273">
            <v>-0.13372000000000001</v>
          </cell>
          <cell r="M273">
            <v>5.0498550724637679E-2</v>
          </cell>
          <cell r="N273">
            <v>-0.16502363823227131</v>
          </cell>
          <cell r="O273">
            <v>-0.21850966936993138</v>
          </cell>
          <cell r="P273">
            <v>-0.27643445527015059</v>
          </cell>
          <cell r="Q273">
            <v>-0.24662260216847373</v>
          </cell>
          <cell r="R273">
            <v>-0.24745249326145552</v>
          </cell>
          <cell r="S273">
            <v>-0.22580045223289993</v>
          </cell>
          <cell r="T273">
            <v>-0.22183598805375809</v>
          </cell>
          <cell r="U273">
            <v>-0.22660026269702277</v>
          </cell>
          <cell r="V273">
            <v>-0.22379692832764506</v>
          </cell>
          <cell r="W273">
            <v>-0.21717489069331666</v>
          </cell>
          <cell r="X273">
            <v>4.1745454545454544E-2</v>
          </cell>
          <cell r="Y273">
            <v>0.10192222222222222</v>
          </cell>
          <cell r="Z273">
            <v>-3.3950617283950617E-3</v>
          </cell>
          <cell r="AA273">
            <v>-1.6954411764705881E-2</v>
          </cell>
          <cell r="AB273">
            <v>-3.5459668508287294E-2</v>
          </cell>
          <cell r="AC273">
            <v>4.419432989690722E-2</v>
          </cell>
          <cell r="AD273">
            <v>-3.1234008097165991E-2</v>
          </cell>
          <cell r="AE273">
            <v>-3.4202317880794704E-2</v>
          </cell>
          <cell r="AF273">
            <v>-2.9127246376811595E-2</v>
          </cell>
          <cell r="AG273">
            <v>-2.3429230769230768E-2</v>
          </cell>
          <cell r="AH273">
            <v>-3.2747783251231524E-2</v>
          </cell>
          <cell r="AI273">
            <v>-3.2323501199040768E-2</v>
          </cell>
          <cell r="AJ273">
            <v>-0.10325217391304348</v>
          </cell>
          <cell r="AK273">
            <v>-1.4583050847457627E-2</v>
          </cell>
          <cell r="AL273">
            <v>-4.0452173913043475E-2</v>
          </cell>
          <cell r="AM273">
            <v>-8.8008988764044949E-2</v>
          </cell>
          <cell r="AN273">
            <v>-8.2685302593659943E-2</v>
          </cell>
          <cell r="AO273">
            <v>-4.5820971867007676E-2</v>
          </cell>
          <cell r="AP273">
            <v>-2.8241468682505398E-2</v>
          </cell>
          <cell r="AQ273">
            <v>-2.8241468682505398E-2</v>
          </cell>
          <cell r="AR273">
            <v>-2.8241468682505398E-2</v>
          </cell>
          <cell r="AS273">
            <v>-2.8241468682505398E-2</v>
          </cell>
          <cell r="AT273">
            <v>-2.8241468682505398E-2</v>
          </cell>
          <cell r="AU273">
            <v>-2.8241468682505398E-2</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G274">
            <v>264</v>
          </cell>
          <cell r="H274" t="str">
            <v>4 Month Actual</v>
          </cell>
          <cell r="I274">
            <v>0</v>
          </cell>
          <cell r="J274">
            <v>0</v>
          </cell>
          <cell r="K274">
            <v>0</v>
          </cell>
          <cell r="L274">
            <v>108285</v>
          </cell>
          <cell r="M274">
            <v>362422</v>
          </cell>
          <cell r="N274">
            <v>812432</v>
          </cell>
          <cell r="O274">
            <v>1252729</v>
          </cell>
          <cell r="P274">
            <v>1525526</v>
          </cell>
          <cell r="Q274">
            <v>1444177</v>
          </cell>
          <cell r="R274">
            <v>1421129</v>
          </cell>
          <cell r="S274">
            <v>1486389</v>
          </cell>
          <cell r="T274">
            <v>1492852</v>
          </cell>
          <cell r="U274">
            <v>1726291</v>
          </cell>
          <cell r="V274">
            <v>1405279</v>
          </cell>
          <cell r="W274">
            <v>1020791</v>
          </cell>
          <cell r="X274">
            <v>747838</v>
          </cell>
          <cell r="Y274">
            <v>524538</v>
          </cell>
          <cell r="Z274">
            <v>928319</v>
          </cell>
          <cell r="AA274">
            <v>1336942</v>
          </cell>
          <cell r="AB274">
            <v>1631226</v>
          </cell>
          <cell r="AC274">
            <v>1728218</v>
          </cell>
          <cell r="AD274">
            <v>1585602</v>
          </cell>
          <cell r="AE274">
            <v>1579767</v>
          </cell>
          <cell r="AF274">
            <v>1603693</v>
          </cell>
          <cell r="AG274">
            <v>1782889</v>
          </cell>
          <cell r="AH274">
            <v>1534192</v>
          </cell>
          <cell r="AI274">
            <v>1118502</v>
          </cell>
          <cell r="AJ274">
            <v>788826</v>
          </cell>
          <cell r="AK274">
            <v>517283</v>
          </cell>
          <cell r="AL274">
            <v>880603</v>
          </cell>
          <cell r="AM274">
            <v>1217508</v>
          </cell>
          <cell r="AN274">
            <v>1488415</v>
          </cell>
          <cell r="AO274">
            <v>1574722</v>
          </cell>
          <cell r="AP274">
            <v>1477185</v>
          </cell>
          <cell r="AQ274">
            <v>1032113</v>
          </cell>
          <cell r="AR274">
            <v>658080</v>
          </cell>
          <cell r="AS274">
            <v>384201</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G275">
            <v>265</v>
          </cell>
          <cell r="H275" t="str">
            <v>4 Month Target (Budget)</v>
          </cell>
          <cell r="I275">
            <v>0</v>
          </cell>
          <cell r="J275">
            <v>0</v>
          </cell>
          <cell r="K275">
            <v>0</v>
          </cell>
          <cell r="L275">
            <v>125000</v>
          </cell>
          <cell r="M275">
            <v>345000</v>
          </cell>
          <cell r="N275">
            <v>973000</v>
          </cell>
          <cell r="O275">
            <v>1603000</v>
          </cell>
          <cell r="P275">
            <v>2133000</v>
          </cell>
          <cell r="Q275">
            <v>2053000</v>
          </cell>
          <cell r="R275">
            <v>1995000</v>
          </cell>
          <cell r="S275">
            <v>1935000</v>
          </cell>
          <cell r="T275">
            <v>1760000</v>
          </cell>
          <cell r="U275">
            <v>2170000</v>
          </cell>
          <cell r="V275">
            <v>1720000</v>
          </cell>
          <cell r="W275">
            <v>1265000</v>
          </cell>
          <cell r="X275">
            <v>895000</v>
          </cell>
          <cell r="Y275">
            <v>505000</v>
          </cell>
          <cell r="Z275">
            <v>925000</v>
          </cell>
          <cell r="AA275">
            <v>1360000</v>
          </cell>
          <cell r="AB275">
            <v>1700000</v>
          </cell>
          <cell r="AC275">
            <v>1670000</v>
          </cell>
          <cell r="AD275">
            <v>1660000</v>
          </cell>
          <cell r="AE275">
            <v>1660000</v>
          </cell>
          <cell r="AF275">
            <v>1640000</v>
          </cell>
          <cell r="AG275">
            <v>1960000</v>
          </cell>
          <cell r="AH275">
            <v>1590000</v>
          </cell>
          <cell r="AI275">
            <v>1150000</v>
          </cell>
          <cell r="AJ275">
            <v>835000</v>
          </cell>
          <cell r="AK275">
            <v>565000</v>
          </cell>
          <cell r="AL275">
            <v>915000</v>
          </cell>
          <cell r="AM275">
            <v>1335000</v>
          </cell>
          <cell r="AN275">
            <v>1620000</v>
          </cell>
          <cell r="AO275">
            <v>1660000</v>
          </cell>
          <cell r="AP275">
            <v>1510000</v>
          </cell>
          <cell r="AQ275">
            <v>980000</v>
          </cell>
          <cell r="AR275">
            <v>580000</v>
          </cell>
          <cell r="AS275">
            <v>360000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G276">
            <v>266</v>
          </cell>
          <cell r="H276" t="str">
            <v>4 Month Target (Budget) Var</v>
          </cell>
          <cell r="I276">
            <v>0</v>
          </cell>
          <cell r="J276">
            <v>0</v>
          </cell>
          <cell r="K276">
            <v>0</v>
          </cell>
          <cell r="L276">
            <v>-16715</v>
          </cell>
          <cell r="M276">
            <v>17422</v>
          </cell>
          <cell r="N276">
            <v>-160568</v>
          </cell>
          <cell r="O276">
            <v>-350271</v>
          </cell>
          <cell r="P276">
            <v>-607474</v>
          </cell>
          <cell r="Q276">
            <v>-608823</v>
          </cell>
          <cell r="R276">
            <v>-573871</v>
          </cell>
          <cell r="S276">
            <v>-448611</v>
          </cell>
          <cell r="T276">
            <v>-267148</v>
          </cell>
          <cell r="U276">
            <v>-443709</v>
          </cell>
          <cell r="V276">
            <v>-314721</v>
          </cell>
          <cell r="W276">
            <v>-244209</v>
          </cell>
          <cell r="X276">
            <v>-147162</v>
          </cell>
          <cell r="Y276">
            <v>19538</v>
          </cell>
          <cell r="Z276">
            <v>3319</v>
          </cell>
          <cell r="AA276">
            <v>-23058</v>
          </cell>
          <cell r="AB276">
            <v>-68774</v>
          </cell>
          <cell r="AC276">
            <v>58218</v>
          </cell>
          <cell r="AD276">
            <v>-74398</v>
          </cell>
          <cell r="AE276">
            <v>-80233</v>
          </cell>
          <cell r="AF276">
            <v>-36307</v>
          </cell>
          <cell r="AG276">
            <v>-177111</v>
          </cell>
          <cell r="AH276">
            <v>-55808</v>
          </cell>
          <cell r="AI276">
            <v>-31498</v>
          </cell>
          <cell r="AJ276">
            <v>-46174</v>
          </cell>
          <cell r="AK276">
            <v>-47717</v>
          </cell>
          <cell r="AL276">
            <v>-34397</v>
          </cell>
          <cell r="AM276">
            <v>-117492</v>
          </cell>
          <cell r="AN276">
            <v>-131585</v>
          </cell>
          <cell r="AO276">
            <v>-85278</v>
          </cell>
          <cell r="AP276">
            <v>-32815</v>
          </cell>
          <cell r="AQ276">
            <v>52113</v>
          </cell>
          <cell r="AR276">
            <v>78080</v>
          </cell>
          <cell r="AS276">
            <v>24201</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G277">
            <v>267</v>
          </cell>
          <cell r="H277" t="str">
            <v>4 Month Target (Budget) % Var</v>
          </cell>
          <cell r="I277">
            <v>0</v>
          </cell>
          <cell r="J277">
            <v>0</v>
          </cell>
          <cell r="K277">
            <v>0</v>
          </cell>
          <cell r="L277">
            <v>-0.13372000000000001</v>
          </cell>
          <cell r="M277">
            <v>5.0498550724637679E-2</v>
          </cell>
          <cell r="N277">
            <v>-0.16502363823227131</v>
          </cell>
          <cell r="O277">
            <v>-0.21850966936993138</v>
          </cell>
          <cell r="P277">
            <v>-0.28479793717768404</v>
          </cell>
          <cell r="Q277">
            <v>-0.29655284948855332</v>
          </cell>
          <cell r="R277">
            <v>-0.28765463659147872</v>
          </cell>
          <cell r="S277">
            <v>-0.23184031007751937</v>
          </cell>
          <cell r="T277">
            <v>-0.15178863636363638</v>
          </cell>
          <cell r="U277">
            <v>-0.20447419354838708</v>
          </cell>
          <cell r="V277">
            <v>-0.18297732558139534</v>
          </cell>
          <cell r="W277">
            <v>-0.19305059288537549</v>
          </cell>
          <cell r="X277">
            <v>-0.16442681564245809</v>
          </cell>
          <cell r="Y277">
            <v>3.8689108910891092E-2</v>
          </cell>
          <cell r="Z277">
            <v>3.588108108108108E-3</v>
          </cell>
          <cell r="AA277">
            <v>-1.6954411764705881E-2</v>
          </cell>
          <cell r="AB277">
            <v>-4.0455294117647062E-2</v>
          </cell>
          <cell r="AC277">
            <v>3.4861077844311375E-2</v>
          </cell>
          <cell r="AD277">
            <v>-4.481807228915663E-2</v>
          </cell>
          <cell r="AE277">
            <v>-4.8333132530120483E-2</v>
          </cell>
          <cell r="AF277">
            <v>-2.2138414634146342E-2</v>
          </cell>
          <cell r="AG277">
            <v>-9.0362755102040823E-2</v>
          </cell>
          <cell r="AH277">
            <v>-3.5099371069182393E-2</v>
          </cell>
          <cell r="AI277">
            <v>-2.7389565217391304E-2</v>
          </cell>
          <cell r="AJ277">
            <v>-5.5298203592814371E-2</v>
          </cell>
          <cell r="AK277">
            <v>-8.4454867256637173E-2</v>
          </cell>
          <cell r="AL277">
            <v>-3.7592349726775956E-2</v>
          </cell>
          <cell r="AM277">
            <v>-8.8008988764044949E-2</v>
          </cell>
          <cell r="AN277">
            <v>-8.1225308641975302E-2</v>
          </cell>
          <cell r="AO277">
            <v>-5.1372289156626505E-2</v>
          </cell>
          <cell r="AP277">
            <v>-2.17317880794702E-2</v>
          </cell>
          <cell r="AQ277">
            <v>5.31765306122449E-2</v>
          </cell>
          <cell r="AR277">
            <v>0.1346206896551724</v>
          </cell>
          <cell r="AS277">
            <v>6.7224999999999993E-2</v>
          </cell>
          <cell r="AT277" t="e">
            <v>#DIV/0!</v>
          </cell>
          <cell r="AU277" t="e">
            <v>#DIV/0!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G278">
            <v>268</v>
          </cell>
          <cell r="H278" t="str">
            <v>Actual</v>
          </cell>
          <cell r="I278">
            <v>0</v>
          </cell>
          <cell r="J278">
            <v>0</v>
          </cell>
          <cell r="K278">
            <v>0</v>
          </cell>
          <cell r="L278">
            <v>4.1745454545454544E-2</v>
          </cell>
          <cell r="M278">
            <v>0.83</v>
          </cell>
          <cell r="N278">
            <v>0.83</v>
          </cell>
          <cell r="O278">
            <v>0.8</v>
          </cell>
          <cell r="P278">
            <v>0.89</v>
          </cell>
          <cell r="Q278">
            <v>0.85</v>
          </cell>
          <cell r="R278">
            <v>0.87</v>
          </cell>
          <cell r="S278">
            <v>0.9</v>
          </cell>
          <cell r="T278">
            <v>0.86</v>
          </cell>
          <cell r="U278">
            <v>0.91</v>
          </cell>
          <cell r="V278">
            <v>0.84</v>
          </cell>
          <cell r="W278">
            <v>0.82</v>
          </cell>
          <cell r="X278">
            <v>0.75</v>
          </cell>
          <cell r="Y278">
            <v>0.68</v>
          </cell>
          <cell r="Z278">
            <v>0.78</v>
          </cell>
          <cell r="AA278">
            <v>0.76</v>
          </cell>
          <cell r="AB278">
            <v>0.77</v>
          </cell>
          <cell r="AC278">
            <v>0.79</v>
          </cell>
          <cell r="AD278">
            <v>0.78</v>
          </cell>
          <cell r="AE278">
            <v>0.87</v>
          </cell>
          <cell r="AF278">
            <v>0.85</v>
          </cell>
          <cell r="AG278">
            <v>0.84</v>
          </cell>
          <cell r="AH278">
            <v>0.79</v>
          </cell>
          <cell r="AI278">
            <v>0.78</v>
          </cell>
          <cell r="AJ278">
            <v>0.79</v>
          </cell>
          <cell r="AK278">
            <v>0.79</v>
          </cell>
          <cell r="AL278">
            <v>0.88</v>
          </cell>
          <cell r="AM278">
            <v>0.85</v>
          </cell>
          <cell r="AN278">
            <v>0.86</v>
          </cell>
          <cell r="AO278">
            <v>0.82</v>
          </cell>
          <cell r="AP278">
            <v>0.87</v>
          </cell>
          <cell r="AQ278">
            <v>0.92</v>
          </cell>
          <cell r="AR278">
            <v>0.85</v>
          </cell>
          <cell r="AS278">
            <v>0.89</v>
          </cell>
          <cell r="AT278">
            <v>0.84</v>
          </cell>
          <cell r="AU278" t="e">
            <v>#DIV/0!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G279">
            <v>269</v>
          </cell>
          <cell r="H279" t="str">
            <v>Target (Budget)</v>
          </cell>
          <cell r="I279">
            <v>0</v>
          </cell>
          <cell r="J279">
            <v>0</v>
          </cell>
          <cell r="K279">
            <v>0</v>
          </cell>
          <cell r="L279">
            <v>0.85</v>
          </cell>
          <cell r="M279">
            <v>0.85</v>
          </cell>
          <cell r="N279">
            <v>0.85</v>
          </cell>
          <cell r="O279">
            <v>0.85</v>
          </cell>
          <cell r="P279">
            <v>0.85</v>
          </cell>
          <cell r="Q279">
            <v>0.85</v>
          </cell>
          <cell r="R279">
            <v>0.85</v>
          </cell>
          <cell r="S279">
            <v>0.85</v>
          </cell>
          <cell r="T279">
            <v>0.85</v>
          </cell>
          <cell r="U279">
            <v>0.85</v>
          </cell>
          <cell r="V279">
            <v>0.85</v>
          </cell>
          <cell r="W279">
            <v>0.85</v>
          </cell>
          <cell r="X279">
            <v>0.85</v>
          </cell>
          <cell r="Y279">
            <v>0.85</v>
          </cell>
          <cell r="Z279">
            <v>0.85</v>
          </cell>
          <cell r="AA279">
            <v>0.85</v>
          </cell>
          <cell r="AB279">
            <v>0.85</v>
          </cell>
          <cell r="AC279">
            <v>0.85</v>
          </cell>
          <cell r="AD279">
            <v>0.85</v>
          </cell>
          <cell r="AE279">
            <v>0.85</v>
          </cell>
          <cell r="AF279">
            <v>0.85</v>
          </cell>
          <cell r="AG279">
            <v>0.85</v>
          </cell>
          <cell r="AH279">
            <v>0.85</v>
          </cell>
          <cell r="AI279">
            <v>0.85</v>
          </cell>
          <cell r="AJ279">
            <v>0.85</v>
          </cell>
          <cell r="AK279">
            <v>0.85</v>
          </cell>
          <cell r="AL279">
            <v>0.85</v>
          </cell>
          <cell r="AM279">
            <v>0.85</v>
          </cell>
          <cell r="AN279">
            <v>0.85</v>
          </cell>
          <cell r="AO279">
            <v>0.85</v>
          </cell>
          <cell r="AP279">
            <v>0.85</v>
          </cell>
          <cell r="AQ279">
            <v>0.85</v>
          </cell>
          <cell r="AR279">
            <v>0.85</v>
          </cell>
          <cell r="AS279">
            <v>0.85</v>
          </cell>
          <cell r="AT279">
            <v>0.85</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G280">
            <v>270</v>
          </cell>
          <cell r="H280" t="str">
            <v>Target (Budget) Variance</v>
          </cell>
          <cell r="I280">
            <v>0</v>
          </cell>
          <cell r="J280">
            <v>0</v>
          </cell>
          <cell r="K280">
            <v>0</v>
          </cell>
          <cell r="L280">
            <v>-0.85</v>
          </cell>
          <cell r="M280">
            <v>-2.0000000000000018E-2</v>
          </cell>
          <cell r="N280">
            <v>-2.0000000000000018E-2</v>
          </cell>
          <cell r="O280">
            <v>-4.9999999999999933E-2</v>
          </cell>
          <cell r="P280">
            <v>4.0000000000000036E-2</v>
          </cell>
          <cell r="Q280">
            <v>0</v>
          </cell>
          <cell r="R280">
            <v>2.0000000000000018E-2</v>
          </cell>
          <cell r="S280">
            <v>5.0000000000000044E-2</v>
          </cell>
          <cell r="T280">
            <v>1.0000000000000009E-2</v>
          </cell>
          <cell r="U280">
            <v>6.0000000000000053E-2</v>
          </cell>
          <cell r="V280">
            <v>-1.0000000000000009E-2</v>
          </cell>
          <cell r="W280">
            <v>-3.0000000000000027E-2</v>
          </cell>
          <cell r="X280">
            <v>-9.9999999999999978E-2</v>
          </cell>
          <cell r="Y280">
            <v>-0.16999999999999993</v>
          </cell>
          <cell r="Z280">
            <v>-6.9999999999999951E-2</v>
          </cell>
          <cell r="AA280">
            <v>-8.9999999999999969E-2</v>
          </cell>
          <cell r="AB280">
            <v>-7.999999999999996E-2</v>
          </cell>
          <cell r="AC280">
            <v>-5.9999999999999942E-2</v>
          </cell>
          <cell r="AD280">
            <v>-6.9999999999999951E-2</v>
          </cell>
          <cell r="AE280">
            <v>2.0000000000000018E-2</v>
          </cell>
          <cell r="AF280">
            <v>0</v>
          </cell>
          <cell r="AG280">
            <v>-1.0000000000000009E-2</v>
          </cell>
          <cell r="AH280">
            <v>-5.9999999999999942E-2</v>
          </cell>
          <cell r="AI280">
            <v>-6.9999999999999951E-2</v>
          </cell>
          <cell r="AJ280">
            <v>-5.9999999999999942E-2</v>
          </cell>
          <cell r="AK280">
            <v>-5.9999999999999942E-2</v>
          </cell>
          <cell r="AL280">
            <v>3.0000000000000027E-2</v>
          </cell>
          <cell r="AM280">
            <v>0</v>
          </cell>
          <cell r="AN280">
            <v>1.0000000000000009E-2</v>
          </cell>
          <cell r="AO280">
            <v>-3.0000000000000027E-2</v>
          </cell>
          <cell r="AP280">
            <v>2.0000000000000018E-2</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G281">
            <v>271</v>
          </cell>
          <cell r="H281" t="str">
            <v>Target (Budget) %Var</v>
          </cell>
          <cell r="I281">
            <v>0</v>
          </cell>
          <cell r="J281">
            <v>0</v>
          </cell>
          <cell r="K281">
            <v>0</v>
          </cell>
          <cell r="L281">
            <v>-1</v>
          </cell>
          <cell r="M281">
            <v>-2.3529411764705903E-2</v>
          </cell>
          <cell r="N281">
            <v>-2.3529411764705903E-2</v>
          </cell>
          <cell r="O281">
            <v>-5.8823529411764629E-2</v>
          </cell>
          <cell r="P281">
            <v>4.7058823529411806E-2</v>
          </cell>
          <cell r="Q281">
            <v>0</v>
          </cell>
          <cell r="R281">
            <v>2.3529411764705903E-2</v>
          </cell>
          <cell r="S281">
            <v>5.8823529411764761E-2</v>
          </cell>
          <cell r="T281">
            <v>1.1764705882352951E-2</v>
          </cell>
          <cell r="U281">
            <v>7.0588235294117715E-2</v>
          </cell>
          <cell r="V281">
            <v>-1.1764705882352951E-2</v>
          </cell>
          <cell r="W281">
            <v>-3.5294117647058858E-2</v>
          </cell>
          <cell r="X281">
            <v>-0.11764705882352938</v>
          </cell>
          <cell r="Y281">
            <v>-0.19999999999999993</v>
          </cell>
          <cell r="Z281">
            <v>-8.2352941176470532E-2</v>
          </cell>
          <cell r="AA281">
            <v>-0.10588235294117644</v>
          </cell>
          <cell r="AB281">
            <v>-9.4117647058823486E-2</v>
          </cell>
          <cell r="AC281">
            <v>-7.0588235294117577E-2</v>
          </cell>
          <cell r="AD281">
            <v>-8.2352941176470532E-2</v>
          </cell>
          <cell r="AE281">
            <v>2.3529411764705903E-2</v>
          </cell>
          <cell r="AF281">
            <v>0</v>
          </cell>
          <cell r="AG281">
            <v>-1.1764705882352951E-2</v>
          </cell>
          <cell r="AH281">
            <v>-7.0588235294117577E-2</v>
          </cell>
          <cell r="AI281">
            <v>-8.2352941176470532E-2</v>
          </cell>
          <cell r="AJ281">
            <v>-7.0588235294117577E-2</v>
          </cell>
          <cell r="AK281">
            <v>-7.0588235294117577E-2</v>
          </cell>
          <cell r="AL281">
            <v>3.5294117647058858E-2</v>
          </cell>
          <cell r="AM281">
            <v>0</v>
          </cell>
          <cell r="AN281">
            <v>1.1764705882352951E-2</v>
          </cell>
          <cell r="AO281">
            <v>-3.5294117647058858E-2</v>
          </cell>
          <cell r="AP281">
            <v>2.3529411764705903E-2</v>
          </cell>
          <cell r="AQ281" t="e">
            <v>#DIV/0!</v>
          </cell>
          <cell r="AR281" t="e">
            <v>#DIV/0!</v>
          </cell>
          <cell r="AS281" t="e">
            <v>#DIV/0!</v>
          </cell>
          <cell r="AT281" t="e">
            <v>#DIV/0!</v>
          </cell>
          <cell r="AU281" t="e">
            <v>#DIV/0!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G282">
            <v>272</v>
          </cell>
          <cell r="H282" t="str">
            <v>YTD Actual</v>
          </cell>
          <cell r="I282">
            <v>0</v>
          </cell>
          <cell r="J282">
            <v>0</v>
          </cell>
          <cell r="K282">
            <v>0</v>
          </cell>
          <cell r="L282" t="e">
            <v>#DIV/0!</v>
          </cell>
          <cell r="M282">
            <v>0.83</v>
          </cell>
          <cell r="N282">
            <v>0.83</v>
          </cell>
          <cell r="O282">
            <v>0.82</v>
          </cell>
          <cell r="P282">
            <v>0.83750000000000002</v>
          </cell>
          <cell r="Q282">
            <v>0.84000000000000008</v>
          </cell>
          <cell r="R282">
            <v>0.84500000000000008</v>
          </cell>
          <cell r="S282">
            <v>0.85285714285714298</v>
          </cell>
          <cell r="T282">
            <v>0.85375000000000012</v>
          </cell>
          <cell r="U282">
            <v>0.8600000000000001</v>
          </cell>
          <cell r="V282">
            <v>0.85800000000000021</v>
          </cell>
          <cell r="W282">
            <v>0.85454545454545472</v>
          </cell>
          <cell r="X282">
            <v>0.75</v>
          </cell>
          <cell r="Y282">
            <v>0.71500000000000008</v>
          </cell>
          <cell r="Z282">
            <v>0.73666666666666669</v>
          </cell>
          <cell r="AA282">
            <v>0.74249999999999994</v>
          </cell>
          <cell r="AB282">
            <v>0.748</v>
          </cell>
          <cell r="AC282">
            <v>0.75499999999999989</v>
          </cell>
          <cell r="AD282">
            <v>0.75857142857142856</v>
          </cell>
          <cell r="AE282">
            <v>0.77249999999999996</v>
          </cell>
          <cell r="AF282">
            <v>0.78111111111111109</v>
          </cell>
          <cell r="AG282">
            <v>0.78699999999999992</v>
          </cell>
          <cell r="AH282">
            <v>0.78727272727272724</v>
          </cell>
          <cell r="AI282">
            <v>0.78666666666666663</v>
          </cell>
          <cell r="AJ282">
            <v>0.79</v>
          </cell>
          <cell r="AK282">
            <v>0.79</v>
          </cell>
          <cell r="AL282">
            <v>0.82</v>
          </cell>
          <cell r="AM282">
            <v>0.82750000000000001</v>
          </cell>
          <cell r="AN282">
            <v>0.83399999999999996</v>
          </cell>
          <cell r="AO282">
            <v>0.83166666666666667</v>
          </cell>
          <cell r="AP282">
            <v>0.83714285714285719</v>
          </cell>
          <cell r="AQ282">
            <v>0.83714285714285719</v>
          </cell>
          <cell r="AR282">
            <v>0.83714285714285719</v>
          </cell>
          <cell r="AS282">
            <v>0.83714285714285719</v>
          </cell>
          <cell r="AT282">
            <v>0.83714285714285719</v>
          </cell>
          <cell r="AU282">
            <v>0.83714285714285719</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G283">
            <v>273</v>
          </cell>
          <cell r="H283" t="str">
            <v>YTD Target (Budget)</v>
          </cell>
          <cell r="I283">
            <v>0</v>
          </cell>
          <cell r="J283">
            <v>0</v>
          </cell>
          <cell r="K283">
            <v>0</v>
          </cell>
          <cell r="L283">
            <v>0.85</v>
          </cell>
          <cell r="M283">
            <v>0.85</v>
          </cell>
          <cell r="N283">
            <v>0.85</v>
          </cell>
          <cell r="O283">
            <v>0.85</v>
          </cell>
          <cell r="P283">
            <v>0.85</v>
          </cell>
          <cell r="Q283">
            <v>0.85</v>
          </cell>
          <cell r="R283">
            <v>0.84999999999999987</v>
          </cell>
          <cell r="S283">
            <v>0.84999999999999987</v>
          </cell>
          <cell r="T283">
            <v>0.84999999999999987</v>
          </cell>
          <cell r="U283">
            <v>0.84999999999999987</v>
          </cell>
          <cell r="V283">
            <v>0.84999999999999976</v>
          </cell>
          <cell r="W283">
            <v>0.84999999999999976</v>
          </cell>
          <cell r="X283">
            <v>0.85</v>
          </cell>
          <cell r="Y283">
            <v>0.85</v>
          </cell>
          <cell r="Z283">
            <v>0.85</v>
          </cell>
          <cell r="AA283">
            <v>0.85</v>
          </cell>
          <cell r="AB283">
            <v>0.85</v>
          </cell>
          <cell r="AC283">
            <v>0.85</v>
          </cell>
          <cell r="AD283">
            <v>0.84999999999999987</v>
          </cell>
          <cell r="AE283">
            <v>0.84999999999999987</v>
          </cell>
          <cell r="AF283">
            <v>0.84999999999999987</v>
          </cell>
          <cell r="AG283">
            <v>0.84999999999999987</v>
          </cell>
          <cell r="AH283">
            <v>0.84999999999999976</v>
          </cell>
          <cell r="AI283">
            <v>0.84999999999999976</v>
          </cell>
          <cell r="AJ283">
            <v>0.85</v>
          </cell>
          <cell r="AK283">
            <v>0.85</v>
          </cell>
          <cell r="AL283">
            <v>0.85</v>
          </cell>
          <cell r="AM283">
            <v>0.85</v>
          </cell>
          <cell r="AN283">
            <v>0.85</v>
          </cell>
          <cell r="AO283">
            <v>0.85</v>
          </cell>
          <cell r="AP283">
            <v>0.84999999999999987</v>
          </cell>
          <cell r="AQ283">
            <v>0.84999999999999987</v>
          </cell>
          <cell r="AR283">
            <v>0.84999999999999987</v>
          </cell>
          <cell r="AS283">
            <v>0.84999999999999987</v>
          </cell>
          <cell r="AT283">
            <v>0.84999999999999987</v>
          </cell>
          <cell r="AU283">
            <v>0.84999999999999987</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G284">
            <v>274</v>
          </cell>
          <cell r="H284" t="str">
            <v>YTD Target (Budget) Var</v>
          </cell>
          <cell r="I284">
            <v>0</v>
          </cell>
          <cell r="J284">
            <v>0</v>
          </cell>
          <cell r="K284">
            <v>0</v>
          </cell>
          <cell r="L284" t="e">
            <v>#DIV/0!</v>
          </cell>
          <cell r="M284">
            <v>-2.0000000000000018E-2</v>
          </cell>
          <cell r="N284">
            <v>-2.0000000000000018E-2</v>
          </cell>
          <cell r="O284">
            <v>-3.0000000000000027E-2</v>
          </cell>
          <cell r="P284">
            <v>-1.2499999999999956E-2</v>
          </cell>
          <cell r="Q284">
            <v>-9.9999999999998979E-3</v>
          </cell>
          <cell r="R284">
            <v>-4.9999999999997824E-3</v>
          </cell>
          <cell r="S284">
            <v>2.8571428571431134E-3</v>
          </cell>
          <cell r="T284">
            <v>3.7500000000002531E-3</v>
          </cell>
          <cell r="U284">
            <v>1.0000000000000231E-2</v>
          </cell>
          <cell r="V284">
            <v>8.0000000000004512E-3</v>
          </cell>
          <cell r="W284">
            <v>4.5454545454549633E-3</v>
          </cell>
          <cell r="X284">
            <v>-9.9999999999999978E-2</v>
          </cell>
          <cell r="Y284">
            <v>-0.1349999999999999</v>
          </cell>
          <cell r="Z284">
            <v>-0.11333333333333329</v>
          </cell>
          <cell r="AA284">
            <v>-0.10750000000000004</v>
          </cell>
          <cell r="AB284">
            <v>-0.10199999999999998</v>
          </cell>
          <cell r="AC284">
            <v>-9.5000000000000084E-2</v>
          </cell>
          <cell r="AD284">
            <v>-9.1428571428571304E-2</v>
          </cell>
          <cell r="AE284">
            <v>-7.7499999999999902E-2</v>
          </cell>
          <cell r="AF284">
            <v>-6.8888888888888777E-2</v>
          </cell>
          <cell r="AG284">
            <v>-6.2999999999999945E-2</v>
          </cell>
          <cell r="AH284">
            <v>-6.2727272727272521E-2</v>
          </cell>
          <cell r="AI284">
            <v>-6.3333333333333131E-2</v>
          </cell>
          <cell r="AJ284">
            <v>-5.9999999999999942E-2</v>
          </cell>
          <cell r="AK284">
            <v>-5.9999999999999942E-2</v>
          </cell>
          <cell r="AL284">
            <v>-3.0000000000000027E-2</v>
          </cell>
          <cell r="AM284">
            <v>-2.2499999999999964E-2</v>
          </cell>
          <cell r="AN284">
            <v>-1.6000000000000014E-2</v>
          </cell>
          <cell r="AO284">
            <v>-1.8333333333333313E-2</v>
          </cell>
          <cell r="AP284">
            <v>-1.2857142857142678E-2</v>
          </cell>
          <cell r="AQ284">
            <v>-1.2857142857142678E-2</v>
          </cell>
          <cell r="AR284">
            <v>-1.2857142857142678E-2</v>
          </cell>
          <cell r="AS284">
            <v>-1.2857142857142678E-2</v>
          </cell>
          <cell r="AT284">
            <v>-1.2857142857142678E-2</v>
          </cell>
          <cell r="AU284">
            <v>-1.2857142857142678E-2</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G285">
            <v>275</v>
          </cell>
          <cell r="H285" t="str">
            <v>YTD %Var</v>
          </cell>
          <cell r="I285">
            <v>0</v>
          </cell>
          <cell r="J285">
            <v>0</v>
          </cell>
          <cell r="K285">
            <v>0</v>
          </cell>
          <cell r="L285" t="e">
            <v>#DIV/0!</v>
          </cell>
          <cell r="M285">
            <v>-2.3529411764705903E-2</v>
          </cell>
          <cell r="N285">
            <v>-2.3529411764705903E-2</v>
          </cell>
          <cell r="O285">
            <v>-3.5294117647058858E-2</v>
          </cell>
          <cell r="P285">
            <v>-1.4705882352941124E-2</v>
          </cell>
          <cell r="Q285">
            <v>-1.1764705882352821E-2</v>
          </cell>
          <cell r="R285">
            <v>-5.8823529411762155E-3</v>
          </cell>
          <cell r="S285">
            <v>3.3613445378154281E-3</v>
          </cell>
          <cell r="T285">
            <v>4.4117647058826513E-3</v>
          </cell>
          <cell r="U285">
            <v>1.1764705882353215E-2</v>
          </cell>
          <cell r="V285">
            <v>9.4117647058828864E-3</v>
          </cell>
          <cell r="W285">
            <v>5.3475935828881938E-3</v>
          </cell>
          <cell r="X285">
            <v>-0.11764705882352938</v>
          </cell>
          <cell r="Y285">
            <v>-0.15882352941176459</v>
          </cell>
          <cell r="Z285">
            <v>-0.13333333333333328</v>
          </cell>
          <cell r="AA285">
            <v>-0.12647058823529417</v>
          </cell>
          <cell r="AB285">
            <v>-0.11999999999999998</v>
          </cell>
          <cell r="AC285">
            <v>-0.11176470588235304</v>
          </cell>
          <cell r="AD285">
            <v>-0.1075630252100839</v>
          </cell>
          <cell r="AE285">
            <v>-9.1176470588235192E-2</v>
          </cell>
          <cell r="AF285">
            <v>-8.1045751633986807E-2</v>
          </cell>
          <cell r="AG285">
            <v>-7.4117647058823483E-2</v>
          </cell>
          <cell r="AH285">
            <v>-7.3796791443850041E-2</v>
          </cell>
          <cell r="AI285">
            <v>-7.4509803921568404E-2</v>
          </cell>
          <cell r="AJ285">
            <v>-7.0588235294117577E-2</v>
          </cell>
          <cell r="AK285">
            <v>-7.0588235294117577E-2</v>
          </cell>
          <cell r="AL285">
            <v>-3.5294117647058858E-2</v>
          </cell>
          <cell r="AM285">
            <v>-2.6470588235294076E-2</v>
          </cell>
          <cell r="AN285">
            <v>-1.8823529411764722E-2</v>
          </cell>
          <cell r="AO285">
            <v>-2.1568627450980368E-2</v>
          </cell>
          <cell r="AP285">
            <v>-1.5126050420167859E-2</v>
          </cell>
          <cell r="AQ285">
            <v>-1.5126050420167859E-2</v>
          </cell>
          <cell r="AR285">
            <v>-1.5126050420167859E-2</v>
          </cell>
          <cell r="AS285">
            <v>-1.5126050420167859E-2</v>
          </cell>
          <cell r="AT285">
            <v>-1.5126050420167859E-2</v>
          </cell>
          <cell r="AU285">
            <v>-1.5126050420167859E-2</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G286">
            <v>276</v>
          </cell>
          <cell r="H286" t="str">
            <v>4 Month Actual</v>
          </cell>
          <cell r="I286">
            <v>0</v>
          </cell>
          <cell r="J286">
            <v>0</v>
          </cell>
          <cell r="K286">
            <v>0</v>
          </cell>
          <cell r="L286" t="e">
            <v>#DIV/0!</v>
          </cell>
          <cell r="M286">
            <v>0.83</v>
          </cell>
          <cell r="N286">
            <v>0.83</v>
          </cell>
          <cell r="O286">
            <v>0.82</v>
          </cell>
          <cell r="P286">
            <v>0.83750000000000002</v>
          </cell>
          <cell r="Q286">
            <v>0.84250000000000003</v>
          </cell>
          <cell r="R286">
            <v>0.85250000000000004</v>
          </cell>
          <cell r="S286">
            <v>0.87749999999999995</v>
          </cell>
          <cell r="T286">
            <v>0.87</v>
          </cell>
          <cell r="U286">
            <v>0.88500000000000001</v>
          </cell>
          <cell r="V286">
            <v>0.87749999999999995</v>
          </cell>
          <cell r="W286">
            <v>0.85749999999999993</v>
          </cell>
          <cell r="X286">
            <v>0.83</v>
          </cell>
          <cell r="Y286">
            <v>0.77250000000000008</v>
          </cell>
          <cell r="Z286">
            <v>0.75750000000000006</v>
          </cell>
          <cell r="AA286">
            <v>0.74249999999999994</v>
          </cell>
          <cell r="AB286">
            <v>0.74749999999999994</v>
          </cell>
          <cell r="AC286">
            <v>0.77500000000000002</v>
          </cell>
          <cell r="AD286">
            <v>0.77500000000000013</v>
          </cell>
          <cell r="AE286">
            <v>0.80249999999999999</v>
          </cell>
          <cell r="AF286">
            <v>0.82250000000000001</v>
          </cell>
          <cell r="AG286">
            <v>0.83499999999999996</v>
          </cell>
          <cell r="AH286">
            <v>0.83750000000000002</v>
          </cell>
          <cell r="AI286">
            <v>0.81499999999999995</v>
          </cell>
          <cell r="AJ286">
            <v>0.8</v>
          </cell>
          <cell r="AK286">
            <v>0.78750000000000009</v>
          </cell>
          <cell r="AL286">
            <v>0.81</v>
          </cell>
          <cell r="AM286">
            <v>0.82750000000000001</v>
          </cell>
          <cell r="AN286">
            <v>0.84499999999999997</v>
          </cell>
          <cell r="AO286">
            <v>0.85249999999999992</v>
          </cell>
          <cell r="AP286">
            <v>0.85</v>
          </cell>
          <cell r="AQ286">
            <v>0.85</v>
          </cell>
          <cell r="AR286">
            <v>0.84499999999999997</v>
          </cell>
          <cell r="AS286">
            <v>0.87</v>
          </cell>
          <cell r="AT286" t="e">
            <v>#DIV/0!</v>
          </cell>
          <cell r="AU286" t="e">
            <v>#DIV/0!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G287">
            <v>277</v>
          </cell>
          <cell r="H287" t="str">
            <v>4 Month Target (Budget)</v>
          </cell>
          <cell r="I287">
            <v>0</v>
          </cell>
          <cell r="J287">
            <v>0</v>
          </cell>
          <cell r="K287">
            <v>0</v>
          </cell>
          <cell r="L287">
            <v>0.85</v>
          </cell>
          <cell r="M287">
            <v>0.85</v>
          </cell>
          <cell r="N287">
            <v>0.85</v>
          </cell>
          <cell r="O287">
            <v>0.85</v>
          </cell>
          <cell r="P287">
            <v>0.85</v>
          </cell>
          <cell r="Q287">
            <v>0.85</v>
          </cell>
          <cell r="R287">
            <v>0.85</v>
          </cell>
          <cell r="S287">
            <v>0.85</v>
          </cell>
          <cell r="T287">
            <v>0.85</v>
          </cell>
          <cell r="U287">
            <v>0.85</v>
          </cell>
          <cell r="V287">
            <v>0.85</v>
          </cell>
          <cell r="W287">
            <v>0.85</v>
          </cell>
          <cell r="X287">
            <v>0.85</v>
          </cell>
          <cell r="Y287">
            <v>0.85</v>
          </cell>
          <cell r="Z287">
            <v>0.85</v>
          </cell>
          <cell r="AA287">
            <v>0.85</v>
          </cell>
          <cell r="AB287">
            <v>0.85</v>
          </cell>
          <cell r="AC287">
            <v>0.85</v>
          </cell>
          <cell r="AD287">
            <v>0.85</v>
          </cell>
          <cell r="AE287">
            <v>0.85</v>
          </cell>
          <cell r="AF287">
            <v>0.85</v>
          </cell>
          <cell r="AG287">
            <v>0.85</v>
          </cell>
          <cell r="AH287">
            <v>0.85</v>
          </cell>
          <cell r="AI287">
            <v>0.85</v>
          </cell>
          <cell r="AJ287">
            <v>0.85</v>
          </cell>
          <cell r="AK287">
            <v>0.85</v>
          </cell>
          <cell r="AL287">
            <v>0.85</v>
          </cell>
          <cell r="AM287">
            <v>0.85</v>
          </cell>
          <cell r="AN287">
            <v>0.85</v>
          </cell>
          <cell r="AO287">
            <v>0.85</v>
          </cell>
          <cell r="AP287">
            <v>0.85</v>
          </cell>
          <cell r="AQ287">
            <v>0.85</v>
          </cell>
          <cell r="AR287">
            <v>0.85</v>
          </cell>
          <cell r="AS287">
            <v>0.85</v>
          </cell>
          <cell r="AT287" t="e">
            <v>#DIV/0!</v>
          </cell>
          <cell r="AU287" t="e">
            <v>#DIV/0!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G288">
            <v>278</v>
          </cell>
          <cell r="H288" t="str">
            <v>4 Month Target (Budget) Var</v>
          </cell>
          <cell r="I288">
            <v>0</v>
          </cell>
          <cell r="J288">
            <v>0</v>
          </cell>
          <cell r="K288">
            <v>0</v>
          </cell>
          <cell r="L288" t="e">
            <v>#DIV/0!</v>
          </cell>
          <cell r="M288">
            <v>-2.0000000000000018E-2</v>
          </cell>
          <cell r="N288">
            <v>-2.0000000000000018E-2</v>
          </cell>
          <cell r="O288">
            <v>-3.0000000000000027E-2</v>
          </cell>
          <cell r="P288">
            <v>-1.2499999999999956E-2</v>
          </cell>
          <cell r="Q288">
            <v>-7.4999999999999512E-3</v>
          </cell>
          <cell r="R288">
            <v>2.5000000000000577E-3</v>
          </cell>
          <cell r="S288">
            <v>2.7499999999999969E-2</v>
          </cell>
          <cell r="T288">
            <v>2.0000000000000018E-2</v>
          </cell>
          <cell r="U288">
            <v>3.5000000000000031E-2</v>
          </cell>
          <cell r="V288">
            <v>2.7499999999999969E-2</v>
          </cell>
          <cell r="W288">
            <v>7.4999999999999512E-3</v>
          </cell>
          <cell r="X288">
            <v>-2.0000000000000018E-2</v>
          </cell>
          <cell r="Y288">
            <v>-7.7499999999999902E-2</v>
          </cell>
          <cell r="Z288">
            <v>-9.2499999999999916E-2</v>
          </cell>
          <cell r="AA288">
            <v>-0.10750000000000004</v>
          </cell>
          <cell r="AB288">
            <v>-0.10250000000000004</v>
          </cell>
          <cell r="AC288">
            <v>-7.4999999999999956E-2</v>
          </cell>
          <cell r="AD288">
            <v>-7.4999999999999845E-2</v>
          </cell>
          <cell r="AE288">
            <v>-4.7499999999999987E-2</v>
          </cell>
          <cell r="AF288">
            <v>-2.7499999999999969E-2</v>
          </cell>
          <cell r="AG288">
            <v>-1.5000000000000013E-2</v>
          </cell>
          <cell r="AH288">
            <v>-1.2499999999999956E-2</v>
          </cell>
          <cell r="AI288">
            <v>-3.5000000000000031E-2</v>
          </cell>
          <cell r="AJ288">
            <v>-4.9999999999999933E-2</v>
          </cell>
          <cell r="AK288">
            <v>-6.2499999999999889E-2</v>
          </cell>
          <cell r="AL288">
            <v>-3.9999999999999925E-2</v>
          </cell>
          <cell r="AM288">
            <v>-2.2499999999999964E-2</v>
          </cell>
          <cell r="AN288">
            <v>-5.0000000000000044E-3</v>
          </cell>
          <cell r="AO288">
            <v>2.4999999999999467E-3</v>
          </cell>
          <cell r="AP288">
            <v>0</v>
          </cell>
          <cell r="AQ288">
            <v>0</v>
          </cell>
          <cell r="AR288">
            <v>-5.0000000000000044E-3</v>
          </cell>
          <cell r="AS288">
            <v>2.0000000000000018E-2</v>
          </cell>
          <cell r="AT288" t="e">
            <v>#DIV/0!</v>
          </cell>
          <cell r="AU288" t="e">
            <v>#DIV/0!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G289">
            <v>279</v>
          </cell>
          <cell r="H289" t="str">
            <v>4 Month Target (Budget) % Var</v>
          </cell>
          <cell r="I289">
            <v>0</v>
          </cell>
          <cell r="J289">
            <v>0</v>
          </cell>
          <cell r="K289">
            <v>0</v>
          </cell>
          <cell r="L289" t="e">
            <v>#DIV/0!</v>
          </cell>
          <cell r="M289">
            <v>-2.3529411764705903E-2</v>
          </cell>
          <cell r="N289">
            <v>-2.3529411764705903E-2</v>
          </cell>
          <cell r="O289">
            <v>-3.5294117647058858E-2</v>
          </cell>
          <cell r="P289">
            <v>-1.4705882352941124E-2</v>
          </cell>
          <cell r="Q289">
            <v>-8.8235294117646485E-3</v>
          </cell>
          <cell r="R289">
            <v>2.9411764705883033E-3</v>
          </cell>
          <cell r="S289">
            <v>3.235294117647055E-2</v>
          </cell>
          <cell r="T289">
            <v>2.3529411764705903E-2</v>
          </cell>
          <cell r="U289">
            <v>4.1176470588235335E-2</v>
          </cell>
          <cell r="V289">
            <v>3.235294117647055E-2</v>
          </cell>
          <cell r="W289">
            <v>8.8235294117646485E-3</v>
          </cell>
          <cell r="X289">
            <v>-2.3529411764705903E-2</v>
          </cell>
          <cell r="Y289">
            <v>-9.1176470588235178E-2</v>
          </cell>
          <cell r="Z289">
            <v>-0.10882352941176461</v>
          </cell>
          <cell r="AA289">
            <v>-0.12647058823529417</v>
          </cell>
          <cell r="AB289">
            <v>-0.12058823529411769</v>
          </cell>
          <cell r="AC289">
            <v>-8.8235294117647009E-2</v>
          </cell>
          <cell r="AD289">
            <v>-8.8235294117646884E-2</v>
          </cell>
          <cell r="AE289">
            <v>-5.5882352941176459E-2</v>
          </cell>
          <cell r="AF289">
            <v>-3.235294117647055E-2</v>
          </cell>
          <cell r="AG289">
            <v>-1.7647058823529429E-2</v>
          </cell>
          <cell r="AH289">
            <v>-1.4705882352941124E-2</v>
          </cell>
          <cell r="AI289">
            <v>-4.1176470588235335E-2</v>
          </cell>
          <cell r="AJ289">
            <v>-5.8823529411764629E-2</v>
          </cell>
          <cell r="AK289">
            <v>-7.352941176470576E-2</v>
          </cell>
          <cell r="AL289">
            <v>-4.7058823529411674E-2</v>
          </cell>
          <cell r="AM289">
            <v>-2.6470588235294076E-2</v>
          </cell>
          <cell r="AN289">
            <v>-5.8823529411764757E-3</v>
          </cell>
          <cell r="AO289">
            <v>2.9411764705881728E-3</v>
          </cell>
          <cell r="AP289">
            <v>0</v>
          </cell>
          <cell r="AQ289">
            <v>0</v>
          </cell>
          <cell r="AR289">
            <v>-5.8823529411764757E-3</v>
          </cell>
          <cell r="AS289">
            <v>2.3529411764705903E-2</v>
          </cell>
          <cell r="AT289" t="e">
            <v>#DIV/0!</v>
          </cell>
          <cell r="AU289" t="e">
            <v>#DIV/0!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G290">
            <v>280</v>
          </cell>
          <cell r="H290" t="str">
            <v>Actual</v>
          </cell>
          <cell r="I290">
            <v>0</v>
          </cell>
          <cell r="J290">
            <v>0</v>
          </cell>
          <cell r="K290">
            <v>0</v>
          </cell>
          <cell r="L290">
            <v>-0.11764705882352938</v>
          </cell>
          <cell r="M290">
            <v>4358</v>
          </cell>
          <cell r="N290">
            <v>713</v>
          </cell>
          <cell r="O290">
            <v>746</v>
          </cell>
          <cell r="P290">
            <v>361</v>
          </cell>
          <cell r="Q290">
            <v>375</v>
          </cell>
          <cell r="R290">
            <v>1386</v>
          </cell>
          <cell r="S290">
            <v>759</v>
          </cell>
          <cell r="T290">
            <v>619</v>
          </cell>
          <cell r="U290">
            <v>557</v>
          </cell>
          <cell r="V290">
            <v>2864</v>
          </cell>
          <cell r="W290">
            <v>2351</v>
          </cell>
          <cell r="X290">
            <v>2757</v>
          </cell>
          <cell r="Y290">
            <v>517</v>
          </cell>
          <cell r="Z290">
            <v>324</v>
          </cell>
          <cell r="AA290">
            <v>754</v>
          </cell>
          <cell r="AB290">
            <v>1547</v>
          </cell>
          <cell r="AC290">
            <v>954</v>
          </cell>
          <cell r="AD290">
            <v>713</v>
          </cell>
          <cell r="AE290">
            <v>867</v>
          </cell>
          <cell r="AF290">
            <v>675</v>
          </cell>
          <cell r="AG290">
            <v>1187</v>
          </cell>
          <cell r="AH290">
            <v>1292</v>
          </cell>
          <cell r="AI290">
            <v>1025</v>
          </cell>
          <cell r="AJ290">
            <v>1293</v>
          </cell>
          <cell r="AK290">
            <v>815</v>
          </cell>
          <cell r="AL290">
            <v>514</v>
          </cell>
          <cell r="AM290">
            <v>3397</v>
          </cell>
          <cell r="AN290">
            <v>299</v>
          </cell>
          <cell r="AO290">
            <v>310</v>
          </cell>
          <cell r="AP290">
            <v>310</v>
          </cell>
          <cell r="AQ290">
            <v>2670</v>
          </cell>
          <cell r="AR290">
            <v>3216</v>
          </cell>
          <cell r="AS290">
            <v>1259</v>
          </cell>
          <cell r="AT290">
            <v>1126</v>
          </cell>
          <cell r="AU290" t="e">
            <v>#DIV/0!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G291">
            <v>281</v>
          </cell>
          <cell r="H291" t="str">
            <v>Target (Budget)</v>
          </cell>
          <cell r="I291">
            <v>0</v>
          </cell>
          <cell r="J291">
            <v>0</v>
          </cell>
          <cell r="K291">
            <v>0</v>
          </cell>
          <cell r="L291">
            <v>2500</v>
          </cell>
          <cell r="M291">
            <v>2500</v>
          </cell>
          <cell r="N291">
            <v>1250</v>
          </cell>
          <cell r="O291">
            <v>1250</v>
          </cell>
          <cell r="P291">
            <v>1250</v>
          </cell>
          <cell r="Q291">
            <v>1250</v>
          </cell>
          <cell r="R291">
            <v>1250</v>
          </cell>
          <cell r="S291">
            <v>1250</v>
          </cell>
          <cell r="T291">
            <v>1250</v>
          </cell>
          <cell r="U291">
            <v>1250</v>
          </cell>
          <cell r="V291">
            <v>2500</v>
          </cell>
          <cell r="W291">
            <v>2500</v>
          </cell>
          <cell r="X291">
            <v>2500</v>
          </cell>
          <cell r="Y291">
            <v>2500</v>
          </cell>
          <cell r="Z291">
            <v>1250</v>
          </cell>
          <cell r="AA291">
            <v>1250</v>
          </cell>
          <cell r="AB291">
            <v>1250</v>
          </cell>
          <cell r="AC291">
            <v>1250</v>
          </cell>
          <cell r="AD291">
            <v>1250</v>
          </cell>
          <cell r="AE291">
            <v>1250</v>
          </cell>
          <cell r="AF291">
            <v>1250</v>
          </cell>
          <cell r="AG291">
            <v>1250</v>
          </cell>
          <cell r="AH291">
            <v>2500</v>
          </cell>
          <cell r="AI291">
            <v>2500</v>
          </cell>
          <cell r="AJ291">
            <v>2500</v>
          </cell>
          <cell r="AK291">
            <v>2500</v>
          </cell>
          <cell r="AL291">
            <v>1250</v>
          </cell>
          <cell r="AM291">
            <v>1250</v>
          </cell>
          <cell r="AN291">
            <v>1250</v>
          </cell>
          <cell r="AO291">
            <v>1250</v>
          </cell>
          <cell r="AP291">
            <v>1250</v>
          </cell>
          <cell r="AQ291">
            <v>1250</v>
          </cell>
          <cell r="AR291">
            <v>1250</v>
          </cell>
          <cell r="AS291">
            <v>1250</v>
          </cell>
          <cell r="AT291">
            <v>2500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G292">
            <v>282</v>
          </cell>
          <cell r="H292" t="str">
            <v>Target (Budget) Variance</v>
          </cell>
          <cell r="I292">
            <v>0</v>
          </cell>
          <cell r="J292">
            <v>0</v>
          </cell>
          <cell r="K292">
            <v>0</v>
          </cell>
          <cell r="L292" t="e">
            <v>#REF!</v>
          </cell>
          <cell r="M292">
            <v>-2500</v>
          </cell>
          <cell r="N292">
            <v>1858</v>
          </cell>
          <cell r="O292">
            <v>-537</v>
          </cell>
          <cell r="P292">
            <v>-504</v>
          </cell>
          <cell r="Q292">
            <v>-889</v>
          </cell>
          <cell r="R292">
            <v>-875</v>
          </cell>
          <cell r="S292">
            <v>136</v>
          </cell>
          <cell r="T292">
            <v>-491</v>
          </cell>
          <cell r="U292">
            <v>-631</v>
          </cell>
          <cell r="V292">
            <v>-693</v>
          </cell>
          <cell r="W292">
            <v>364</v>
          </cell>
          <cell r="X292">
            <v>-149</v>
          </cell>
          <cell r="Y292">
            <v>257</v>
          </cell>
          <cell r="Z292">
            <v>-1983</v>
          </cell>
          <cell r="AA292">
            <v>-926</v>
          </cell>
          <cell r="AB292">
            <v>-496</v>
          </cell>
          <cell r="AC292">
            <v>297</v>
          </cell>
          <cell r="AD292">
            <v>-296</v>
          </cell>
          <cell r="AE292">
            <v>-537</v>
          </cell>
          <cell r="AF292">
            <v>-383</v>
          </cell>
          <cell r="AG292">
            <v>-575</v>
          </cell>
          <cell r="AH292">
            <v>-63</v>
          </cell>
          <cell r="AI292">
            <v>-1208</v>
          </cell>
          <cell r="AJ292">
            <v>-1207</v>
          </cell>
          <cell r="AK292">
            <v>-1685</v>
          </cell>
          <cell r="AL292">
            <v>-736</v>
          </cell>
          <cell r="AM292">
            <v>2147</v>
          </cell>
          <cell r="AN292">
            <v>-951</v>
          </cell>
          <cell r="AO292">
            <v>-940</v>
          </cell>
          <cell r="AP292">
            <v>-940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G293">
            <v>283</v>
          </cell>
          <cell r="H293" t="str">
            <v>Target (Budget) %Var</v>
          </cell>
          <cell r="I293">
            <v>0</v>
          </cell>
          <cell r="J293">
            <v>0</v>
          </cell>
          <cell r="K293">
            <v>0</v>
          </cell>
          <cell r="L293" t="e">
            <v>#REF!</v>
          </cell>
          <cell r="M293">
            <v>-1</v>
          </cell>
          <cell r="N293">
            <v>0.74319999999999997</v>
          </cell>
          <cell r="O293">
            <v>-0.42959999999999998</v>
          </cell>
          <cell r="P293">
            <v>-0.4032</v>
          </cell>
          <cell r="Q293">
            <v>-0.71120000000000005</v>
          </cell>
          <cell r="R293">
            <v>-0.7</v>
          </cell>
          <cell r="S293">
            <v>0.10879999999999999</v>
          </cell>
          <cell r="T293">
            <v>-0.39279999999999998</v>
          </cell>
          <cell r="U293">
            <v>-0.50480000000000003</v>
          </cell>
          <cell r="V293">
            <v>-0.5544</v>
          </cell>
          <cell r="W293">
            <v>0.14560000000000001</v>
          </cell>
          <cell r="X293">
            <v>-5.96E-2</v>
          </cell>
          <cell r="Y293">
            <v>0.1028</v>
          </cell>
          <cell r="Z293">
            <v>-0.79320000000000002</v>
          </cell>
          <cell r="AA293">
            <v>-0.74080000000000001</v>
          </cell>
          <cell r="AB293">
            <v>-0.39679999999999999</v>
          </cell>
          <cell r="AC293">
            <v>0.23760000000000001</v>
          </cell>
          <cell r="AD293">
            <v>-0.23680000000000001</v>
          </cell>
          <cell r="AE293">
            <v>-0.42959999999999998</v>
          </cell>
          <cell r="AF293">
            <v>-0.30640000000000001</v>
          </cell>
          <cell r="AG293">
            <v>-0.46</v>
          </cell>
          <cell r="AH293">
            <v>-5.04E-2</v>
          </cell>
          <cell r="AI293">
            <v>-0.48320000000000002</v>
          </cell>
          <cell r="AJ293">
            <v>-0.48280000000000001</v>
          </cell>
          <cell r="AK293">
            <v>-0.67400000000000004</v>
          </cell>
          <cell r="AL293">
            <v>-0.58879999999999999</v>
          </cell>
          <cell r="AM293">
            <v>1.7176</v>
          </cell>
          <cell r="AN293">
            <v>-0.76080000000000003</v>
          </cell>
          <cell r="AO293">
            <v>-0.752</v>
          </cell>
          <cell r="AP293">
            <v>-0.752</v>
          </cell>
          <cell r="AQ293" t="e">
            <v>#DIV/0!</v>
          </cell>
          <cell r="AR293" t="e">
            <v>#DIV/0!</v>
          </cell>
          <cell r="AS293" t="e">
            <v>#DIV/0!</v>
          </cell>
          <cell r="AT293" t="e">
            <v>#DIV/0!</v>
          </cell>
          <cell r="AU293" t="e">
            <v>#DIV/0!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G294">
            <v>284</v>
          </cell>
          <cell r="H294" t="str">
            <v>YTD Actual</v>
          </cell>
          <cell r="I294">
            <v>0</v>
          </cell>
          <cell r="J294">
            <v>0</v>
          </cell>
          <cell r="K294">
            <v>0</v>
          </cell>
          <cell r="L294" t="e">
            <v>#REF!</v>
          </cell>
          <cell r="M294">
            <v>4358</v>
          </cell>
          <cell r="N294">
            <v>5071</v>
          </cell>
          <cell r="O294">
            <v>5817</v>
          </cell>
          <cell r="P294">
            <v>6178</v>
          </cell>
          <cell r="Q294">
            <v>6553</v>
          </cell>
          <cell r="R294">
            <v>7939</v>
          </cell>
          <cell r="S294">
            <v>8698</v>
          </cell>
          <cell r="T294">
            <v>9317</v>
          </cell>
          <cell r="U294">
            <v>9874</v>
          </cell>
          <cell r="V294">
            <v>12738</v>
          </cell>
          <cell r="W294">
            <v>15089</v>
          </cell>
          <cell r="X294">
            <v>2757</v>
          </cell>
          <cell r="Y294">
            <v>3274</v>
          </cell>
          <cell r="Z294">
            <v>3598</v>
          </cell>
          <cell r="AA294">
            <v>4352</v>
          </cell>
          <cell r="AB294">
            <v>5899</v>
          </cell>
          <cell r="AC294">
            <v>6853</v>
          </cell>
          <cell r="AD294">
            <v>7566</v>
          </cell>
          <cell r="AE294">
            <v>8433</v>
          </cell>
          <cell r="AF294">
            <v>9108</v>
          </cell>
          <cell r="AG294">
            <v>10295</v>
          </cell>
          <cell r="AH294">
            <v>11587</v>
          </cell>
          <cell r="AI294">
            <v>12612</v>
          </cell>
          <cell r="AJ294">
            <v>1293</v>
          </cell>
          <cell r="AK294">
            <v>2108</v>
          </cell>
          <cell r="AL294">
            <v>2622</v>
          </cell>
          <cell r="AM294">
            <v>6019</v>
          </cell>
          <cell r="AN294">
            <v>6318</v>
          </cell>
          <cell r="AO294">
            <v>6628</v>
          </cell>
          <cell r="AP294">
            <v>6938</v>
          </cell>
          <cell r="AQ294">
            <v>6938</v>
          </cell>
          <cell r="AR294">
            <v>6938</v>
          </cell>
          <cell r="AS294">
            <v>6938</v>
          </cell>
          <cell r="AT294">
            <v>6938</v>
          </cell>
          <cell r="AU294">
            <v>6938</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G295">
            <v>285</v>
          </cell>
          <cell r="H295" t="str">
            <v>YTD Target (Budget)</v>
          </cell>
          <cell r="I295">
            <v>0</v>
          </cell>
          <cell r="J295">
            <v>0</v>
          </cell>
          <cell r="K295">
            <v>0</v>
          </cell>
          <cell r="L295" t="e">
            <v>#REF!</v>
          </cell>
          <cell r="M295">
            <v>5000</v>
          </cell>
          <cell r="N295">
            <v>6250</v>
          </cell>
          <cell r="O295">
            <v>7500</v>
          </cell>
          <cell r="P295">
            <v>8750</v>
          </cell>
          <cell r="Q295">
            <v>10000</v>
          </cell>
          <cell r="R295">
            <v>11250</v>
          </cell>
          <cell r="S295">
            <v>12500</v>
          </cell>
          <cell r="T295">
            <v>13750</v>
          </cell>
          <cell r="U295">
            <v>15000</v>
          </cell>
          <cell r="V295">
            <v>17500</v>
          </cell>
          <cell r="W295">
            <v>20000</v>
          </cell>
          <cell r="X295">
            <v>2500</v>
          </cell>
          <cell r="Y295">
            <v>5000</v>
          </cell>
          <cell r="Z295">
            <v>6250</v>
          </cell>
          <cell r="AA295">
            <v>7500</v>
          </cell>
          <cell r="AB295">
            <v>8750</v>
          </cell>
          <cell r="AC295">
            <v>10000</v>
          </cell>
          <cell r="AD295">
            <v>11250</v>
          </cell>
          <cell r="AE295">
            <v>12500</v>
          </cell>
          <cell r="AF295">
            <v>13750</v>
          </cell>
          <cell r="AG295">
            <v>15000</v>
          </cell>
          <cell r="AH295">
            <v>17500</v>
          </cell>
          <cell r="AI295">
            <v>20000</v>
          </cell>
          <cell r="AJ295">
            <v>2500</v>
          </cell>
          <cell r="AK295">
            <v>5000</v>
          </cell>
          <cell r="AL295">
            <v>6250</v>
          </cell>
          <cell r="AM295">
            <v>7500</v>
          </cell>
          <cell r="AN295">
            <v>8750</v>
          </cell>
          <cell r="AO295">
            <v>10000</v>
          </cell>
          <cell r="AP295">
            <v>11250</v>
          </cell>
          <cell r="AQ295">
            <v>11250</v>
          </cell>
          <cell r="AR295">
            <v>11250</v>
          </cell>
          <cell r="AS295">
            <v>11250</v>
          </cell>
          <cell r="AT295">
            <v>11250</v>
          </cell>
          <cell r="AU295">
            <v>11250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G296">
            <v>286</v>
          </cell>
          <cell r="H296" t="str">
            <v>YTD Target (Budget) Var</v>
          </cell>
          <cell r="I296">
            <v>0</v>
          </cell>
          <cell r="J296">
            <v>0</v>
          </cell>
          <cell r="K296">
            <v>0</v>
          </cell>
          <cell r="L296" t="e">
            <v>#REF!</v>
          </cell>
          <cell r="M296">
            <v>-642</v>
          </cell>
          <cell r="N296">
            <v>-1179</v>
          </cell>
          <cell r="O296">
            <v>-1683</v>
          </cell>
          <cell r="P296">
            <v>-2572</v>
          </cell>
          <cell r="Q296">
            <v>-3447</v>
          </cell>
          <cell r="R296">
            <v>-3311</v>
          </cell>
          <cell r="S296">
            <v>-3802</v>
          </cell>
          <cell r="T296">
            <v>-4433</v>
          </cell>
          <cell r="U296">
            <v>-5126</v>
          </cell>
          <cell r="V296">
            <v>-4762</v>
          </cell>
          <cell r="W296">
            <v>-4911</v>
          </cell>
          <cell r="X296">
            <v>257</v>
          </cell>
          <cell r="Y296">
            <v>-1726</v>
          </cell>
          <cell r="Z296">
            <v>-2652</v>
          </cell>
          <cell r="AA296">
            <v>-3148</v>
          </cell>
          <cell r="AB296">
            <v>-2851</v>
          </cell>
          <cell r="AC296">
            <v>-3147</v>
          </cell>
          <cell r="AD296">
            <v>-3684</v>
          </cell>
          <cell r="AE296">
            <v>-4067</v>
          </cell>
          <cell r="AF296">
            <v>-4642</v>
          </cell>
          <cell r="AG296">
            <v>-4705</v>
          </cell>
          <cell r="AH296">
            <v>-5913</v>
          </cell>
          <cell r="AI296">
            <v>-7388</v>
          </cell>
          <cell r="AJ296">
            <v>-1207</v>
          </cell>
          <cell r="AK296">
            <v>-2892</v>
          </cell>
          <cell r="AL296">
            <v>-3628</v>
          </cell>
          <cell r="AM296">
            <v>-1481</v>
          </cell>
          <cell r="AN296">
            <v>-2432</v>
          </cell>
          <cell r="AO296">
            <v>-3372</v>
          </cell>
          <cell r="AP296">
            <v>-4312</v>
          </cell>
          <cell r="AQ296">
            <v>-4312</v>
          </cell>
          <cell r="AR296">
            <v>-4312</v>
          </cell>
          <cell r="AS296">
            <v>-4312</v>
          </cell>
          <cell r="AT296">
            <v>-4312</v>
          </cell>
          <cell r="AU296">
            <v>-4312</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G297">
            <v>287</v>
          </cell>
          <cell r="H297" t="str">
            <v>YTD %Var</v>
          </cell>
          <cell r="I297">
            <v>0</v>
          </cell>
          <cell r="J297">
            <v>0</v>
          </cell>
          <cell r="K297">
            <v>0</v>
          </cell>
          <cell r="L297" t="e">
            <v>#REF!</v>
          </cell>
          <cell r="M297">
            <v>-0.12839999999999999</v>
          </cell>
          <cell r="N297">
            <v>-0.18864</v>
          </cell>
          <cell r="O297">
            <v>-0.22439999999999999</v>
          </cell>
          <cell r="P297">
            <v>-0.29394285714285712</v>
          </cell>
          <cell r="Q297">
            <v>-0.34470000000000001</v>
          </cell>
          <cell r="R297">
            <v>-0.29431111111111113</v>
          </cell>
          <cell r="S297">
            <v>-0.30415999999999999</v>
          </cell>
          <cell r="T297">
            <v>-0.32240000000000002</v>
          </cell>
          <cell r="U297">
            <v>-0.34173333333333333</v>
          </cell>
          <cell r="V297">
            <v>-0.2721142857142857</v>
          </cell>
          <cell r="W297">
            <v>-0.24554999999999999</v>
          </cell>
          <cell r="X297">
            <v>0.1028</v>
          </cell>
          <cell r="Y297">
            <v>-0.34520000000000001</v>
          </cell>
          <cell r="Z297">
            <v>-0.42431999999999997</v>
          </cell>
          <cell r="AA297">
            <v>-0.41973333333333335</v>
          </cell>
          <cell r="AB297">
            <v>-0.32582857142857141</v>
          </cell>
          <cell r="AC297">
            <v>-0.31469999999999998</v>
          </cell>
          <cell r="AD297">
            <v>-0.32746666666666668</v>
          </cell>
          <cell r="AE297">
            <v>-0.32535999999999998</v>
          </cell>
          <cell r="AF297">
            <v>-0.33760000000000001</v>
          </cell>
          <cell r="AG297">
            <v>-0.31366666666666665</v>
          </cell>
          <cell r="AH297">
            <v>-0.33788571428571429</v>
          </cell>
          <cell r="AI297">
            <v>-0.36940000000000001</v>
          </cell>
          <cell r="AJ297">
            <v>-0.48280000000000001</v>
          </cell>
          <cell r="AK297">
            <v>-0.57840000000000003</v>
          </cell>
          <cell r="AL297">
            <v>-0.58048</v>
          </cell>
          <cell r="AM297">
            <v>-0.19746666666666668</v>
          </cell>
          <cell r="AN297">
            <v>-0.27794285714285716</v>
          </cell>
          <cell r="AO297">
            <v>-0.3372</v>
          </cell>
          <cell r="AP297">
            <v>-0.3832888888888889</v>
          </cell>
          <cell r="AQ297">
            <v>-0.3832888888888889</v>
          </cell>
          <cell r="AR297">
            <v>-0.3832888888888889</v>
          </cell>
          <cell r="AS297">
            <v>-0.3832888888888889</v>
          </cell>
          <cell r="AT297">
            <v>-0.3832888888888889</v>
          </cell>
          <cell r="AU297">
            <v>-0.3832888888888889</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G298">
            <v>288</v>
          </cell>
          <cell r="H298" t="str">
            <v>4 Month Actual</v>
          </cell>
          <cell r="I298">
            <v>0</v>
          </cell>
          <cell r="J298">
            <v>0</v>
          </cell>
          <cell r="K298">
            <v>0</v>
          </cell>
          <cell r="L298">
            <v>0</v>
          </cell>
          <cell r="M298">
            <v>0</v>
          </cell>
          <cell r="N298">
            <v>4358</v>
          </cell>
          <cell r="O298">
            <v>5071</v>
          </cell>
          <cell r="P298">
            <v>5817</v>
          </cell>
          <cell r="Q298">
            <v>6178</v>
          </cell>
          <cell r="R298">
            <v>2195</v>
          </cell>
          <cell r="S298">
            <v>2868</v>
          </cell>
          <cell r="T298">
            <v>2881</v>
          </cell>
          <cell r="U298">
            <v>3139</v>
          </cell>
          <cell r="V298">
            <v>3321</v>
          </cell>
          <cell r="W298">
            <v>4799</v>
          </cell>
          <cell r="X298">
            <v>6391</v>
          </cell>
          <cell r="Y298">
            <v>8529</v>
          </cell>
          <cell r="Z298">
            <v>8489</v>
          </cell>
          <cell r="AA298">
            <v>5949</v>
          </cell>
          <cell r="AB298">
            <v>4352</v>
          </cell>
          <cell r="AC298">
            <v>3142</v>
          </cell>
          <cell r="AD298">
            <v>3579</v>
          </cell>
          <cell r="AE298">
            <v>3968</v>
          </cell>
          <cell r="AF298">
            <v>4081</v>
          </cell>
          <cell r="AG298">
            <v>3209</v>
          </cell>
          <cell r="AH298">
            <v>3442</v>
          </cell>
          <cell r="AI298">
            <v>4021</v>
          </cell>
          <cell r="AJ298">
            <v>5472</v>
          </cell>
          <cell r="AK298">
            <v>5612</v>
          </cell>
          <cell r="AL298">
            <v>4939</v>
          </cell>
          <cell r="AM298">
            <v>6019</v>
          </cell>
          <cell r="AN298">
            <v>5025</v>
          </cell>
          <cell r="AO298">
            <v>4520</v>
          </cell>
          <cell r="AP298">
            <v>4316</v>
          </cell>
          <cell r="AQ298">
            <v>919</v>
          </cell>
          <cell r="AR298">
            <v>620</v>
          </cell>
          <cell r="AS298">
            <v>310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G299">
            <v>289</v>
          </cell>
          <cell r="H299" t="str">
            <v>4 Month Target (Budget)</v>
          </cell>
          <cell r="I299">
            <v>0</v>
          </cell>
          <cell r="J299">
            <v>0</v>
          </cell>
          <cell r="K299">
            <v>0</v>
          </cell>
          <cell r="L299">
            <v>0</v>
          </cell>
          <cell r="M299">
            <v>2500</v>
          </cell>
          <cell r="N299">
            <v>5000</v>
          </cell>
          <cell r="O299">
            <v>6250</v>
          </cell>
          <cell r="P299">
            <v>7500</v>
          </cell>
          <cell r="Q299">
            <v>6250</v>
          </cell>
          <cell r="R299">
            <v>5000</v>
          </cell>
          <cell r="S299">
            <v>5000</v>
          </cell>
          <cell r="T299">
            <v>5000</v>
          </cell>
          <cell r="U299">
            <v>5000</v>
          </cell>
          <cell r="V299">
            <v>5000</v>
          </cell>
          <cell r="W299">
            <v>6250</v>
          </cell>
          <cell r="X299">
            <v>7500</v>
          </cell>
          <cell r="Y299">
            <v>8750</v>
          </cell>
          <cell r="Z299">
            <v>10000</v>
          </cell>
          <cell r="AA299">
            <v>8750</v>
          </cell>
          <cell r="AB299">
            <v>7500</v>
          </cell>
          <cell r="AC299">
            <v>6250</v>
          </cell>
          <cell r="AD299">
            <v>5000</v>
          </cell>
          <cell r="AE299">
            <v>5000</v>
          </cell>
          <cell r="AF299">
            <v>5000</v>
          </cell>
          <cell r="AG299">
            <v>5000</v>
          </cell>
          <cell r="AH299">
            <v>5000</v>
          </cell>
          <cell r="AI299">
            <v>6250</v>
          </cell>
          <cell r="AJ299">
            <v>10000</v>
          </cell>
          <cell r="AK299">
            <v>11250</v>
          </cell>
          <cell r="AL299">
            <v>11250</v>
          </cell>
          <cell r="AM299">
            <v>7500</v>
          </cell>
          <cell r="AN299">
            <v>6250</v>
          </cell>
          <cell r="AO299">
            <v>5000</v>
          </cell>
          <cell r="AP299">
            <v>5000</v>
          </cell>
          <cell r="AQ299">
            <v>3750</v>
          </cell>
          <cell r="AR299">
            <v>2500</v>
          </cell>
          <cell r="AS299">
            <v>1250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G300">
            <v>290</v>
          </cell>
          <cell r="H300" t="str">
            <v>4 Month Target (Budget) Var</v>
          </cell>
          <cell r="I300">
            <v>0</v>
          </cell>
          <cell r="J300">
            <v>0</v>
          </cell>
          <cell r="K300">
            <v>0</v>
          </cell>
          <cell r="L300">
            <v>0</v>
          </cell>
          <cell r="M300">
            <v>-2500</v>
          </cell>
          <cell r="N300">
            <v>-642</v>
          </cell>
          <cell r="O300">
            <v>-1179</v>
          </cell>
          <cell r="P300">
            <v>-1683</v>
          </cell>
          <cell r="Q300">
            <v>-72</v>
          </cell>
          <cell r="R300">
            <v>-2805</v>
          </cell>
          <cell r="S300">
            <v>-2132</v>
          </cell>
          <cell r="T300">
            <v>-2119</v>
          </cell>
          <cell r="U300">
            <v>-1861</v>
          </cell>
          <cell r="V300">
            <v>-1679</v>
          </cell>
          <cell r="W300">
            <v>-1451</v>
          </cell>
          <cell r="X300">
            <v>-1109</v>
          </cell>
          <cell r="Y300">
            <v>-221</v>
          </cell>
          <cell r="Z300">
            <v>-1511</v>
          </cell>
          <cell r="AA300">
            <v>-2801</v>
          </cell>
          <cell r="AB300">
            <v>-3148</v>
          </cell>
          <cell r="AC300">
            <v>-3108</v>
          </cell>
          <cell r="AD300">
            <v>-1421</v>
          </cell>
          <cell r="AE300">
            <v>-1032</v>
          </cell>
          <cell r="AF300">
            <v>-919</v>
          </cell>
          <cell r="AG300">
            <v>-1791</v>
          </cell>
          <cell r="AH300">
            <v>-1558</v>
          </cell>
          <cell r="AI300">
            <v>-2229</v>
          </cell>
          <cell r="AJ300">
            <v>-4528</v>
          </cell>
          <cell r="AK300">
            <v>-5638</v>
          </cell>
          <cell r="AL300">
            <v>-6311</v>
          </cell>
          <cell r="AM300">
            <v>-1481</v>
          </cell>
          <cell r="AN300">
            <v>-1225</v>
          </cell>
          <cell r="AO300">
            <v>-480</v>
          </cell>
          <cell r="AP300">
            <v>-684</v>
          </cell>
          <cell r="AQ300">
            <v>-2831</v>
          </cell>
          <cell r="AR300">
            <v>-1880</v>
          </cell>
          <cell r="AS300">
            <v>-940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G301">
            <v>291</v>
          </cell>
          <cell r="H301" t="str">
            <v>4 Month Target (Budget) % Var</v>
          </cell>
          <cell r="I301">
            <v>0</v>
          </cell>
          <cell r="J301">
            <v>0</v>
          </cell>
          <cell r="K301">
            <v>0</v>
          </cell>
          <cell r="L301" t="e">
            <v>#DIV/0!</v>
          </cell>
          <cell r="M301">
            <v>-1</v>
          </cell>
          <cell r="N301">
            <v>-0.12839999999999999</v>
          </cell>
          <cell r="O301">
            <v>-0.18864</v>
          </cell>
          <cell r="P301">
            <v>-0.22439999999999999</v>
          </cell>
          <cell r="Q301">
            <v>-1.1520000000000001E-2</v>
          </cell>
          <cell r="R301">
            <v>-0.56100000000000005</v>
          </cell>
          <cell r="S301">
            <v>-0.4264</v>
          </cell>
          <cell r="T301">
            <v>-0.42380000000000001</v>
          </cell>
          <cell r="U301">
            <v>-0.37219999999999998</v>
          </cell>
          <cell r="V301">
            <v>-0.33579999999999999</v>
          </cell>
          <cell r="W301">
            <v>-0.23216000000000001</v>
          </cell>
          <cell r="X301">
            <v>-0.14786666666666667</v>
          </cell>
          <cell r="Y301">
            <v>-2.5257142857142856E-2</v>
          </cell>
          <cell r="Z301">
            <v>-0.15110000000000001</v>
          </cell>
          <cell r="AA301">
            <v>-0.32011428571428574</v>
          </cell>
          <cell r="AB301">
            <v>-0.41973333333333335</v>
          </cell>
          <cell r="AC301">
            <v>-0.49728</v>
          </cell>
          <cell r="AD301">
            <v>-0.28420000000000001</v>
          </cell>
          <cell r="AE301">
            <v>-0.2064</v>
          </cell>
          <cell r="AF301">
            <v>-0.18379999999999999</v>
          </cell>
          <cell r="AG301">
            <v>-0.35820000000000002</v>
          </cell>
          <cell r="AH301">
            <v>-0.31159999999999999</v>
          </cell>
          <cell r="AI301">
            <v>-0.35664000000000001</v>
          </cell>
          <cell r="AJ301">
            <v>-0.45279999999999998</v>
          </cell>
          <cell r="AK301">
            <v>-0.50115555555555558</v>
          </cell>
          <cell r="AL301">
            <v>-0.5609777777777778</v>
          </cell>
          <cell r="AM301">
            <v>-0.19746666666666668</v>
          </cell>
          <cell r="AN301">
            <v>-0.19600000000000001</v>
          </cell>
          <cell r="AO301">
            <v>-9.6000000000000002E-2</v>
          </cell>
          <cell r="AP301">
            <v>-0.1368</v>
          </cell>
          <cell r="AQ301">
            <v>-0.75493333333333335</v>
          </cell>
          <cell r="AR301">
            <v>-0.752</v>
          </cell>
          <cell r="AS301">
            <v>-0.752</v>
          </cell>
          <cell r="AT301" t="e">
            <v>#DIV/0!</v>
          </cell>
          <cell r="AU301" t="e">
            <v>#DIV/0!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G302">
            <v>292</v>
          </cell>
          <cell r="H302" t="str">
            <v>Actual</v>
          </cell>
          <cell r="I302">
            <v>0</v>
          </cell>
          <cell r="J302">
            <v>0</v>
          </cell>
          <cell r="K302">
            <v>0</v>
          </cell>
          <cell r="L302">
            <v>38</v>
          </cell>
          <cell r="M302">
            <v>46</v>
          </cell>
          <cell r="N302">
            <v>57</v>
          </cell>
          <cell r="O302">
            <v>64</v>
          </cell>
          <cell r="P302">
            <v>57</v>
          </cell>
          <cell r="Q302">
            <v>42</v>
          </cell>
          <cell r="R302">
            <v>46</v>
          </cell>
          <cell r="S302">
            <v>36</v>
          </cell>
          <cell r="T302">
            <v>40</v>
          </cell>
          <cell r="U302">
            <v>72</v>
          </cell>
          <cell r="V302">
            <v>45</v>
          </cell>
          <cell r="W302">
            <v>26</v>
          </cell>
          <cell r="X302">
            <v>43</v>
          </cell>
          <cell r="Y302">
            <v>36</v>
          </cell>
          <cell r="Z302">
            <v>73</v>
          </cell>
          <cell r="AA302">
            <v>47</v>
          </cell>
          <cell r="AB302">
            <v>41</v>
          </cell>
          <cell r="AC302">
            <v>37</v>
          </cell>
          <cell r="AD302">
            <v>37</v>
          </cell>
          <cell r="AE302">
            <v>34</v>
          </cell>
          <cell r="AF302">
            <v>42</v>
          </cell>
          <cell r="AG302">
            <v>34</v>
          </cell>
          <cell r="AH302">
            <v>29</v>
          </cell>
          <cell r="AI302">
            <v>35</v>
          </cell>
          <cell r="AJ302">
            <v>28</v>
          </cell>
          <cell r="AK302">
            <v>45</v>
          </cell>
          <cell r="AL302">
            <v>60</v>
          </cell>
          <cell r="AM302">
            <v>46</v>
          </cell>
          <cell r="AN302">
            <v>43</v>
          </cell>
          <cell r="AO302">
            <v>44</v>
          </cell>
          <cell r="AP302">
            <v>32</v>
          </cell>
          <cell r="AQ302">
            <v>38</v>
          </cell>
          <cell r="AR302">
            <v>47</v>
          </cell>
          <cell r="AS302">
            <v>68</v>
          </cell>
          <cell r="AT302">
            <v>35</v>
          </cell>
          <cell r="AU302" t="e">
            <v>#DIV/0!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G303">
            <v>293</v>
          </cell>
          <cell r="H303" t="str">
            <v>Target (Budget)</v>
          </cell>
          <cell r="I303">
            <v>0</v>
          </cell>
          <cell r="J303">
            <v>0</v>
          </cell>
          <cell r="K303">
            <v>0</v>
          </cell>
          <cell r="L303">
            <v>38</v>
          </cell>
          <cell r="M303">
            <v>46</v>
          </cell>
          <cell r="N303">
            <v>57</v>
          </cell>
          <cell r="O303">
            <v>64</v>
          </cell>
          <cell r="P303">
            <v>57</v>
          </cell>
          <cell r="Q303">
            <v>42</v>
          </cell>
          <cell r="R303">
            <v>46</v>
          </cell>
          <cell r="S303">
            <v>36</v>
          </cell>
          <cell r="T303">
            <v>40</v>
          </cell>
          <cell r="U303">
            <v>72</v>
          </cell>
          <cell r="V303">
            <v>45</v>
          </cell>
          <cell r="W303">
            <v>26</v>
          </cell>
          <cell r="X303">
            <v>46</v>
          </cell>
          <cell r="Y303">
            <v>46</v>
          </cell>
          <cell r="Z303">
            <v>56</v>
          </cell>
          <cell r="AA303">
            <v>62</v>
          </cell>
          <cell r="AB303">
            <v>56</v>
          </cell>
          <cell r="AC303">
            <v>41</v>
          </cell>
          <cell r="AD303">
            <v>45</v>
          </cell>
          <cell r="AE303">
            <v>35</v>
          </cell>
          <cell r="AF303">
            <v>38</v>
          </cell>
          <cell r="AG303">
            <v>69</v>
          </cell>
          <cell r="AH303">
            <v>44</v>
          </cell>
          <cell r="AI303">
            <v>26</v>
          </cell>
          <cell r="AJ303">
            <v>43</v>
          </cell>
          <cell r="AK303">
            <v>36</v>
          </cell>
          <cell r="AL303">
            <v>73</v>
          </cell>
          <cell r="AM303">
            <v>47</v>
          </cell>
          <cell r="AN303">
            <v>41</v>
          </cell>
          <cell r="AO303">
            <v>37</v>
          </cell>
          <cell r="AP303">
            <v>37</v>
          </cell>
          <cell r="AQ303">
            <v>34</v>
          </cell>
          <cell r="AR303">
            <v>42</v>
          </cell>
          <cell r="AS303">
            <v>34</v>
          </cell>
          <cell r="AT303">
            <v>29</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G304">
            <v>294</v>
          </cell>
          <cell r="H304" t="str">
            <v>Target (Budget) Variance</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-3</v>
          </cell>
          <cell r="Y304">
            <v>-10</v>
          </cell>
          <cell r="Z304">
            <v>17</v>
          </cell>
          <cell r="AA304">
            <v>-15</v>
          </cell>
          <cell r="AB304">
            <v>-15</v>
          </cell>
          <cell r="AC304">
            <v>-4</v>
          </cell>
          <cell r="AD304">
            <v>-8</v>
          </cell>
          <cell r="AE304">
            <v>-1</v>
          </cell>
          <cell r="AF304">
            <v>4</v>
          </cell>
          <cell r="AG304">
            <v>-35</v>
          </cell>
          <cell r="AH304">
            <v>-15</v>
          </cell>
          <cell r="AI304">
            <v>9</v>
          </cell>
          <cell r="AJ304">
            <v>-15</v>
          </cell>
          <cell r="AK304">
            <v>9</v>
          </cell>
          <cell r="AL304">
            <v>-13</v>
          </cell>
          <cell r="AM304">
            <v>-1</v>
          </cell>
          <cell r="AN304">
            <v>2</v>
          </cell>
          <cell r="AO304">
            <v>7</v>
          </cell>
          <cell r="AP304">
            <v>-5</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G305">
            <v>295</v>
          </cell>
          <cell r="H305" t="str">
            <v>Target (Budget) %Var</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-6.5217391304347824E-2</v>
          </cell>
          <cell r="Y305">
            <v>-0.21739130434782608</v>
          </cell>
          <cell r="Z305">
            <v>0.30357142857142855</v>
          </cell>
          <cell r="AA305">
            <v>-0.24193548387096775</v>
          </cell>
          <cell r="AB305">
            <v>-0.26785714285714285</v>
          </cell>
          <cell r="AC305">
            <v>-9.7560975609756101E-2</v>
          </cell>
          <cell r="AD305">
            <v>-0.17777777777777778</v>
          </cell>
          <cell r="AE305">
            <v>-2.8571428571428571E-2</v>
          </cell>
          <cell r="AF305">
            <v>0.10526315789473684</v>
          </cell>
          <cell r="AG305">
            <v>-0.50724637681159424</v>
          </cell>
          <cell r="AH305">
            <v>-0.34090909090909088</v>
          </cell>
          <cell r="AI305">
            <v>0.34615384615384615</v>
          </cell>
          <cell r="AJ305">
            <v>-0.34883720930232559</v>
          </cell>
          <cell r="AK305">
            <v>0.25</v>
          </cell>
          <cell r="AL305">
            <v>-0.17808219178082191</v>
          </cell>
          <cell r="AM305">
            <v>-2.1276595744680851E-2</v>
          </cell>
          <cell r="AN305">
            <v>4.878048780487805E-2</v>
          </cell>
          <cell r="AO305">
            <v>0.1891891891891892</v>
          </cell>
          <cell r="AP305">
            <v>-0.13513513513513514</v>
          </cell>
          <cell r="AQ305" t="e">
            <v>#DIV/0!</v>
          </cell>
          <cell r="AR305" t="e">
            <v>#DIV/0!</v>
          </cell>
          <cell r="AS305" t="e">
            <v>#DIV/0!</v>
          </cell>
          <cell r="AT305" t="e">
            <v>#DIV/0!</v>
          </cell>
          <cell r="AU305" t="e">
            <v>#DIV/0!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G306">
            <v>296</v>
          </cell>
          <cell r="H306" t="str">
            <v>YTD Actual</v>
          </cell>
          <cell r="I306">
            <v>0</v>
          </cell>
          <cell r="J306">
            <v>0</v>
          </cell>
          <cell r="K306">
            <v>0</v>
          </cell>
          <cell r="L306">
            <v>38</v>
          </cell>
          <cell r="M306">
            <v>84</v>
          </cell>
          <cell r="N306">
            <v>141</v>
          </cell>
          <cell r="O306">
            <v>205</v>
          </cell>
          <cell r="P306">
            <v>262</v>
          </cell>
          <cell r="Q306">
            <v>304</v>
          </cell>
          <cell r="R306">
            <v>350</v>
          </cell>
          <cell r="S306">
            <v>386</v>
          </cell>
          <cell r="T306">
            <v>426</v>
          </cell>
          <cell r="U306">
            <v>498</v>
          </cell>
          <cell r="V306">
            <v>543</v>
          </cell>
          <cell r="W306">
            <v>569</v>
          </cell>
          <cell r="X306">
            <v>43</v>
          </cell>
          <cell r="Y306">
            <v>79</v>
          </cell>
          <cell r="Z306">
            <v>152</v>
          </cell>
          <cell r="AA306">
            <v>199</v>
          </cell>
          <cell r="AB306">
            <v>240</v>
          </cell>
          <cell r="AC306">
            <v>277</v>
          </cell>
          <cell r="AD306">
            <v>314</v>
          </cell>
          <cell r="AE306">
            <v>348</v>
          </cell>
          <cell r="AF306">
            <v>390</v>
          </cell>
          <cell r="AG306">
            <v>424</v>
          </cell>
          <cell r="AH306">
            <v>453</v>
          </cell>
          <cell r="AI306">
            <v>488</v>
          </cell>
          <cell r="AJ306">
            <v>28</v>
          </cell>
          <cell r="AK306">
            <v>73</v>
          </cell>
          <cell r="AL306">
            <v>133</v>
          </cell>
          <cell r="AM306">
            <v>179</v>
          </cell>
          <cell r="AN306">
            <v>222</v>
          </cell>
          <cell r="AO306">
            <v>266</v>
          </cell>
          <cell r="AP306">
            <v>298</v>
          </cell>
          <cell r="AQ306">
            <v>298</v>
          </cell>
          <cell r="AR306">
            <v>298</v>
          </cell>
          <cell r="AS306">
            <v>298</v>
          </cell>
          <cell r="AT306">
            <v>298</v>
          </cell>
          <cell r="AU306">
            <v>298</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G307">
            <v>297</v>
          </cell>
          <cell r="H307" t="str">
            <v>YTD Target (Budget)</v>
          </cell>
          <cell r="I307">
            <v>0</v>
          </cell>
          <cell r="J307">
            <v>0</v>
          </cell>
          <cell r="K307">
            <v>0</v>
          </cell>
          <cell r="L307">
            <v>38</v>
          </cell>
          <cell r="M307">
            <v>84</v>
          </cell>
          <cell r="N307">
            <v>141</v>
          </cell>
          <cell r="O307">
            <v>205</v>
          </cell>
          <cell r="P307">
            <v>262</v>
          </cell>
          <cell r="Q307">
            <v>304</v>
          </cell>
          <cell r="R307">
            <v>350</v>
          </cell>
          <cell r="S307">
            <v>386</v>
          </cell>
          <cell r="T307">
            <v>426</v>
          </cell>
          <cell r="U307">
            <v>498</v>
          </cell>
          <cell r="V307">
            <v>543</v>
          </cell>
          <cell r="W307">
            <v>569</v>
          </cell>
          <cell r="X307">
            <v>46</v>
          </cell>
          <cell r="Y307">
            <v>92</v>
          </cell>
          <cell r="Z307">
            <v>148</v>
          </cell>
          <cell r="AA307">
            <v>210</v>
          </cell>
          <cell r="AB307">
            <v>266</v>
          </cell>
          <cell r="AC307">
            <v>307</v>
          </cell>
          <cell r="AD307">
            <v>352</v>
          </cell>
          <cell r="AE307">
            <v>387</v>
          </cell>
          <cell r="AF307">
            <v>425</v>
          </cell>
          <cell r="AG307">
            <v>494</v>
          </cell>
          <cell r="AH307">
            <v>538</v>
          </cell>
          <cell r="AI307">
            <v>564</v>
          </cell>
          <cell r="AJ307">
            <v>43</v>
          </cell>
          <cell r="AK307">
            <v>79</v>
          </cell>
          <cell r="AL307">
            <v>152</v>
          </cell>
          <cell r="AM307">
            <v>199</v>
          </cell>
          <cell r="AN307">
            <v>240</v>
          </cell>
          <cell r="AO307">
            <v>277</v>
          </cell>
          <cell r="AP307">
            <v>314</v>
          </cell>
          <cell r="AQ307">
            <v>314</v>
          </cell>
          <cell r="AR307">
            <v>314</v>
          </cell>
          <cell r="AS307">
            <v>314</v>
          </cell>
          <cell r="AT307">
            <v>314</v>
          </cell>
          <cell r="AU307">
            <v>314</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G308">
            <v>298</v>
          </cell>
          <cell r="H308" t="str">
            <v>YTD Target (Budget) Var</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-3</v>
          </cell>
          <cell r="Y308">
            <v>-13</v>
          </cell>
          <cell r="Z308">
            <v>4</v>
          </cell>
          <cell r="AA308">
            <v>-11</v>
          </cell>
          <cell r="AB308">
            <v>-26</v>
          </cell>
          <cell r="AC308">
            <v>-30</v>
          </cell>
          <cell r="AD308">
            <v>-38</v>
          </cell>
          <cell r="AE308">
            <v>-39</v>
          </cell>
          <cell r="AF308">
            <v>-35</v>
          </cell>
          <cell r="AG308">
            <v>-70</v>
          </cell>
          <cell r="AH308">
            <v>-85</v>
          </cell>
          <cell r="AI308">
            <v>-76</v>
          </cell>
          <cell r="AJ308">
            <v>-15</v>
          </cell>
          <cell r="AK308">
            <v>-6</v>
          </cell>
          <cell r="AL308">
            <v>-19</v>
          </cell>
          <cell r="AM308">
            <v>-20</v>
          </cell>
          <cell r="AN308">
            <v>-18</v>
          </cell>
          <cell r="AO308">
            <v>-11</v>
          </cell>
          <cell r="AP308">
            <v>-16</v>
          </cell>
          <cell r="AQ308">
            <v>-16</v>
          </cell>
          <cell r="AR308">
            <v>-16</v>
          </cell>
          <cell r="AS308">
            <v>-16</v>
          </cell>
          <cell r="AT308">
            <v>-16</v>
          </cell>
          <cell r="AU308">
            <v>-16</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G309">
            <v>299</v>
          </cell>
          <cell r="H309" t="str">
            <v>YTD %Var</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-6.5217391304347824E-2</v>
          </cell>
          <cell r="Y309">
            <v>-0.14130434782608695</v>
          </cell>
          <cell r="Z309">
            <v>2.7027027027027029E-2</v>
          </cell>
          <cell r="AA309">
            <v>-5.2380952380952382E-2</v>
          </cell>
          <cell r="AB309">
            <v>-9.7744360902255634E-2</v>
          </cell>
          <cell r="AC309">
            <v>-9.7719869706840393E-2</v>
          </cell>
          <cell r="AD309">
            <v>-0.10795454545454546</v>
          </cell>
          <cell r="AE309">
            <v>-0.10077519379844961</v>
          </cell>
          <cell r="AF309">
            <v>-8.2352941176470587E-2</v>
          </cell>
          <cell r="AG309">
            <v>-0.1417004048582996</v>
          </cell>
          <cell r="AH309">
            <v>-0.15799256505576209</v>
          </cell>
          <cell r="AI309">
            <v>-0.13475177304964539</v>
          </cell>
          <cell r="AJ309">
            <v>-0.34883720930232559</v>
          </cell>
          <cell r="AK309">
            <v>-7.5949367088607597E-2</v>
          </cell>
          <cell r="AL309">
            <v>-0.125</v>
          </cell>
          <cell r="AM309">
            <v>-0.10050251256281408</v>
          </cell>
          <cell r="AN309">
            <v>-7.4999999999999997E-2</v>
          </cell>
          <cell r="AO309">
            <v>-3.9711191335740074E-2</v>
          </cell>
          <cell r="AP309">
            <v>-5.0955414012738856E-2</v>
          </cell>
          <cell r="AQ309">
            <v>-5.0955414012738856E-2</v>
          </cell>
          <cell r="AR309">
            <v>-5.0955414012738856E-2</v>
          </cell>
          <cell r="AS309">
            <v>-5.0955414012738856E-2</v>
          </cell>
          <cell r="AT309">
            <v>-5.0955414012738856E-2</v>
          </cell>
          <cell r="AU309">
            <v>-5.0955414012738856E-2</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G310">
            <v>300</v>
          </cell>
          <cell r="H310" t="str">
            <v>4 Month Actual</v>
          </cell>
          <cell r="I310">
            <v>0</v>
          </cell>
          <cell r="J310">
            <v>0</v>
          </cell>
          <cell r="K310">
            <v>0</v>
          </cell>
          <cell r="L310">
            <v>38</v>
          </cell>
          <cell r="M310">
            <v>84</v>
          </cell>
          <cell r="N310">
            <v>141</v>
          </cell>
          <cell r="O310">
            <v>205</v>
          </cell>
          <cell r="P310">
            <v>224</v>
          </cell>
          <cell r="Q310">
            <v>220</v>
          </cell>
          <cell r="R310">
            <v>209</v>
          </cell>
          <cell r="S310">
            <v>181</v>
          </cell>
          <cell r="T310">
            <v>164</v>
          </cell>
          <cell r="U310">
            <v>194</v>
          </cell>
          <cell r="V310">
            <v>193</v>
          </cell>
          <cell r="W310">
            <v>183</v>
          </cell>
          <cell r="X310">
            <v>186</v>
          </cell>
          <cell r="Y310">
            <v>150</v>
          </cell>
          <cell r="Z310">
            <v>178</v>
          </cell>
          <cell r="AA310">
            <v>199</v>
          </cell>
          <cell r="AB310">
            <v>197</v>
          </cell>
          <cell r="AC310">
            <v>198</v>
          </cell>
          <cell r="AD310">
            <v>162</v>
          </cell>
          <cell r="AE310">
            <v>149</v>
          </cell>
          <cell r="AF310">
            <v>150</v>
          </cell>
          <cell r="AG310">
            <v>147</v>
          </cell>
          <cell r="AH310">
            <v>139</v>
          </cell>
          <cell r="AI310">
            <v>140</v>
          </cell>
          <cell r="AJ310">
            <v>126</v>
          </cell>
          <cell r="AK310">
            <v>137</v>
          </cell>
          <cell r="AL310">
            <v>168</v>
          </cell>
          <cell r="AM310">
            <v>179</v>
          </cell>
          <cell r="AN310">
            <v>194</v>
          </cell>
          <cell r="AO310">
            <v>193</v>
          </cell>
          <cell r="AP310">
            <v>165</v>
          </cell>
          <cell r="AQ310">
            <v>119</v>
          </cell>
          <cell r="AR310">
            <v>76</v>
          </cell>
          <cell r="AS310">
            <v>32</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G311">
            <v>301</v>
          </cell>
          <cell r="H311" t="str">
            <v>4 Month Target (Budget)</v>
          </cell>
          <cell r="I311">
            <v>0</v>
          </cell>
          <cell r="J311">
            <v>0</v>
          </cell>
          <cell r="K311">
            <v>0</v>
          </cell>
          <cell r="L311">
            <v>38</v>
          </cell>
          <cell r="M311">
            <v>84</v>
          </cell>
          <cell r="N311">
            <v>141</v>
          </cell>
          <cell r="O311">
            <v>205</v>
          </cell>
          <cell r="P311">
            <v>224</v>
          </cell>
          <cell r="Q311">
            <v>220</v>
          </cell>
          <cell r="R311">
            <v>209</v>
          </cell>
          <cell r="S311">
            <v>181</v>
          </cell>
          <cell r="T311">
            <v>164</v>
          </cell>
          <cell r="U311">
            <v>194</v>
          </cell>
          <cell r="V311">
            <v>193</v>
          </cell>
          <cell r="W311">
            <v>183</v>
          </cell>
          <cell r="X311">
            <v>189</v>
          </cell>
          <cell r="Y311">
            <v>163</v>
          </cell>
          <cell r="Z311">
            <v>174</v>
          </cell>
          <cell r="AA311">
            <v>210</v>
          </cell>
          <cell r="AB311">
            <v>220</v>
          </cell>
          <cell r="AC311">
            <v>215</v>
          </cell>
          <cell r="AD311">
            <v>204</v>
          </cell>
          <cell r="AE311">
            <v>177</v>
          </cell>
          <cell r="AF311">
            <v>159</v>
          </cell>
          <cell r="AG311">
            <v>187</v>
          </cell>
          <cell r="AH311">
            <v>186</v>
          </cell>
          <cell r="AI311">
            <v>177</v>
          </cell>
          <cell r="AJ311">
            <v>182</v>
          </cell>
          <cell r="AK311">
            <v>149</v>
          </cell>
          <cell r="AL311">
            <v>178</v>
          </cell>
          <cell r="AM311">
            <v>199</v>
          </cell>
          <cell r="AN311">
            <v>197</v>
          </cell>
          <cell r="AO311">
            <v>198</v>
          </cell>
          <cell r="AP311">
            <v>162</v>
          </cell>
          <cell r="AQ311">
            <v>115</v>
          </cell>
          <cell r="AR311">
            <v>74</v>
          </cell>
          <cell r="AS311">
            <v>37</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G312">
            <v>302</v>
          </cell>
          <cell r="H312" t="str">
            <v>4 Month Target (Budget) Var</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-3</v>
          </cell>
          <cell r="Y312">
            <v>-13</v>
          </cell>
          <cell r="Z312">
            <v>4</v>
          </cell>
          <cell r="AA312">
            <v>-11</v>
          </cell>
          <cell r="AB312">
            <v>-23</v>
          </cell>
          <cell r="AC312">
            <v>-17</v>
          </cell>
          <cell r="AD312">
            <v>-42</v>
          </cell>
          <cell r="AE312">
            <v>-28</v>
          </cell>
          <cell r="AF312">
            <v>-9</v>
          </cell>
          <cell r="AG312">
            <v>-40</v>
          </cell>
          <cell r="AH312">
            <v>-47</v>
          </cell>
          <cell r="AI312">
            <v>-37</v>
          </cell>
          <cell r="AJ312">
            <v>-56</v>
          </cell>
          <cell r="AK312">
            <v>-12</v>
          </cell>
          <cell r="AL312">
            <v>-10</v>
          </cell>
          <cell r="AM312">
            <v>-20</v>
          </cell>
          <cell r="AN312">
            <v>-3</v>
          </cell>
          <cell r="AO312">
            <v>-5</v>
          </cell>
          <cell r="AP312">
            <v>3</v>
          </cell>
          <cell r="AQ312">
            <v>4</v>
          </cell>
          <cell r="AR312">
            <v>2</v>
          </cell>
          <cell r="AS312">
            <v>-5</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G313">
            <v>303</v>
          </cell>
          <cell r="H313" t="str">
            <v>4 Month Target (Budget) % Var</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-1.5873015873015872E-2</v>
          </cell>
          <cell r="Y313">
            <v>-7.9754601226993863E-2</v>
          </cell>
          <cell r="Z313">
            <v>2.2988505747126436E-2</v>
          </cell>
          <cell r="AA313">
            <v>-5.2380952380952382E-2</v>
          </cell>
          <cell r="AB313">
            <v>-0.10454545454545454</v>
          </cell>
          <cell r="AC313">
            <v>-7.9069767441860464E-2</v>
          </cell>
          <cell r="AD313">
            <v>-0.20588235294117646</v>
          </cell>
          <cell r="AE313">
            <v>-0.15819209039548024</v>
          </cell>
          <cell r="AF313">
            <v>-5.6603773584905662E-2</v>
          </cell>
          <cell r="AG313">
            <v>-0.21390374331550802</v>
          </cell>
          <cell r="AH313">
            <v>-0.25268817204301075</v>
          </cell>
          <cell r="AI313">
            <v>-0.20903954802259886</v>
          </cell>
          <cell r="AJ313">
            <v>-0.30769230769230771</v>
          </cell>
          <cell r="AK313">
            <v>-8.0536912751677847E-2</v>
          </cell>
          <cell r="AL313">
            <v>-5.6179775280898875E-2</v>
          </cell>
          <cell r="AM313">
            <v>-0.10050251256281408</v>
          </cell>
          <cell r="AN313">
            <v>-1.5228426395939087E-2</v>
          </cell>
          <cell r="AO313">
            <v>-2.5252525252525252E-2</v>
          </cell>
          <cell r="AP313">
            <v>1.8518518518518517E-2</v>
          </cell>
          <cell r="AQ313">
            <v>3.4782608695652174E-2</v>
          </cell>
          <cell r="AR313">
            <v>2.7027027027027029E-2</v>
          </cell>
          <cell r="AS313">
            <v>-0.13513513513513514</v>
          </cell>
          <cell r="AT313" t="e">
            <v>#DIV/0!</v>
          </cell>
          <cell r="AU313" t="e">
            <v>#DIV/0!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G314">
            <v>304</v>
          </cell>
          <cell r="H314" t="str">
            <v>Actual</v>
          </cell>
          <cell r="I314">
            <v>0</v>
          </cell>
          <cell r="J314">
            <v>0</v>
          </cell>
          <cell r="K314">
            <v>0</v>
          </cell>
          <cell r="L314">
            <v>211</v>
          </cell>
          <cell r="M314">
            <v>310</v>
          </cell>
          <cell r="N314">
            <v>328</v>
          </cell>
          <cell r="O314">
            <v>367</v>
          </cell>
          <cell r="P314">
            <v>266</v>
          </cell>
          <cell r="Q314">
            <v>168</v>
          </cell>
          <cell r="R314">
            <v>178</v>
          </cell>
          <cell r="S314">
            <v>170</v>
          </cell>
          <cell r="T314">
            <v>325</v>
          </cell>
          <cell r="U314">
            <v>276</v>
          </cell>
          <cell r="V314">
            <v>246</v>
          </cell>
          <cell r="W314">
            <v>192</v>
          </cell>
          <cell r="X314">
            <v>149</v>
          </cell>
          <cell r="Y314">
            <v>218</v>
          </cell>
          <cell r="Z314">
            <v>326</v>
          </cell>
          <cell r="AA314">
            <v>305</v>
          </cell>
          <cell r="AB314">
            <v>273</v>
          </cell>
          <cell r="AC314">
            <v>141</v>
          </cell>
          <cell r="AD314">
            <v>113</v>
          </cell>
          <cell r="AE314">
            <v>145</v>
          </cell>
          <cell r="AF314">
            <v>205</v>
          </cell>
          <cell r="AG314">
            <v>204</v>
          </cell>
          <cell r="AH314">
            <v>281</v>
          </cell>
          <cell r="AI314">
            <v>223</v>
          </cell>
          <cell r="AJ314">
            <v>284</v>
          </cell>
          <cell r="AK314">
            <v>211</v>
          </cell>
          <cell r="AL314">
            <v>266</v>
          </cell>
          <cell r="AM314">
            <v>289</v>
          </cell>
          <cell r="AN314">
            <v>195</v>
          </cell>
          <cell r="AO314">
            <v>197</v>
          </cell>
          <cell r="AP314">
            <v>185</v>
          </cell>
          <cell r="AQ314">
            <v>211</v>
          </cell>
          <cell r="AR314">
            <v>229</v>
          </cell>
          <cell r="AS314">
            <v>226</v>
          </cell>
          <cell r="AT314">
            <v>149</v>
          </cell>
          <cell r="AU314" t="e">
            <v>#DIV/0!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G315">
            <v>305</v>
          </cell>
          <cell r="H315" t="str">
            <v>Target (Budget)</v>
          </cell>
          <cell r="I315">
            <v>0</v>
          </cell>
          <cell r="J315">
            <v>0</v>
          </cell>
          <cell r="K315">
            <v>0</v>
          </cell>
          <cell r="L315">
            <v>211</v>
          </cell>
          <cell r="M315">
            <v>310</v>
          </cell>
          <cell r="N315">
            <v>328</v>
          </cell>
          <cell r="O315">
            <v>367</v>
          </cell>
          <cell r="P315">
            <v>266</v>
          </cell>
          <cell r="Q315">
            <v>168</v>
          </cell>
          <cell r="R315">
            <v>178</v>
          </cell>
          <cell r="S315">
            <v>170</v>
          </cell>
          <cell r="T315">
            <v>325</v>
          </cell>
          <cell r="U315">
            <v>276</v>
          </cell>
          <cell r="V315">
            <v>246</v>
          </cell>
          <cell r="W315">
            <v>192</v>
          </cell>
          <cell r="X315">
            <v>205</v>
          </cell>
          <cell r="Y315">
            <v>300</v>
          </cell>
          <cell r="Z315">
            <v>318</v>
          </cell>
          <cell r="AA315">
            <v>357</v>
          </cell>
          <cell r="AB315">
            <v>264</v>
          </cell>
          <cell r="AC315">
            <v>168</v>
          </cell>
          <cell r="AD315">
            <v>175</v>
          </cell>
          <cell r="AE315">
            <v>166</v>
          </cell>
          <cell r="AF315">
            <v>315</v>
          </cell>
          <cell r="AG315">
            <v>266</v>
          </cell>
          <cell r="AH315">
            <v>236</v>
          </cell>
          <cell r="AI315">
            <v>182</v>
          </cell>
          <cell r="AJ315">
            <v>146</v>
          </cell>
          <cell r="AK315">
            <v>214</v>
          </cell>
          <cell r="AL315">
            <v>319</v>
          </cell>
          <cell r="AM315">
            <v>299</v>
          </cell>
          <cell r="AN315">
            <v>268</v>
          </cell>
          <cell r="AO315">
            <v>138</v>
          </cell>
          <cell r="AP315">
            <v>111</v>
          </cell>
          <cell r="AQ315">
            <v>142</v>
          </cell>
          <cell r="AR315">
            <v>201</v>
          </cell>
          <cell r="AS315">
            <v>200</v>
          </cell>
          <cell r="AT315">
            <v>275</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G316">
            <v>306</v>
          </cell>
          <cell r="H316" t="str">
            <v>Target (Budget) Variance</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-56</v>
          </cell>
          <cell r="Y316">
            <v>-82</v>
          </cell>
          <cell r="Z316">
            <v>8</v>
          </cell>
          <cell r="AA316">
            <v>-52</v>
          </cell>
          <cell r="AB316">
            <v>9</v>
          </cell>
          <cell r="AC316">
            <v>-27</v>
          </cell>
          <cell r="AD316">
            <v>-62</v>
          </cell>
          <cell r="AE316">
            <v>-21</v>
          </cell>
          <cell r="AF316">
            <v>-110</v>
          </cell>
          <cell r="AG316">
            <v>-62</v>
          </cell>
          <cell r="AH316">
            <v>45</v>
          </cell>
          <cell r="AI316">
            <v>41</v>
          </cell>
          <cell r="AJ316">
            <v>138</v>
          </cell>
          <cell r="AK316">
            <v>-3</v>
          </cell>
          <cell r="AL316">
            <v>-53</v>
          </cell>
          <cell r="AM316">
            <v>-10</v>
          </cell>
          <cell r="AN316">
            <v>-73</v>
          </cell>
          <cell r="AO316">
            <v>59</v>
          </cell>
          <cell r="AP316">
            <v>74</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G317">
            <v>307</v>
          </cell>
          <cell r="H317" t="str">
            <v>Target (Budget) %Var</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-0.27317073170731709</v>
          </cell>
          <cell r="Y317">
            <v>-0.27333333333333332</v>
          </cell>
          <cell r="Z317">
            <v>2.5157232704402517E-2</v>
          </cell>
          <cell r="AA317">
            <v>-0.14565826330532214</v>
          </cell>
          <cell r="AB317">
            <v>3.4090909090909088E-2</v>
          </cell>
          <cell r="AC317">
            <v>-0.16071428571428573</v>
          </cell>
          <cell r="AD317">
            <v>-0.35428571428571426</v>
          </cell>
          <cell r="AE317">
            <v>-0.12650602409638553</v>
          </cell>
          <cell r="AF317">
            <v>-0.34920634920634919</v>
          </cell>
          <cell r="AG317">
            <v>-0.23308270676691728</v>
          </cell>
          <cell r="AH317">
            <v>0.19067796610169491</v>
          </cell>
          <cell r="AI317">
            <v>0.22527472527472528</v>
          </cell>
          <cell r="AJ317">
            <v>0.9452054794520548</v>
          </cell>
          <cell r="AK317">
            <v>-1.4018691588785047E-2</v>
          </cell>
          <cell r="AL317">
            <v>-0.16614420062695925</v>
          </cell>
          <cell r="AM317">
            <v>-3.3444816053511704E-2</v>
          </cell>
          <cell r="AN317">
            <v>-0.27238805970149255</v>
          </cell>
          <cell r="AO317">
            <v>0.42753623188405798</v>
          </cell>
          <cell r="AP317">
            <v>0.66666666666666663</v>
          </cell>
          <cell r="AQ317" t="e">
            <v>#DIV/0!</v>
          </cell>
          <cell r="AR317" t="e">
            <v>#DIV/0!</v>
          </cell>
          <cell r="AS317" t="e">
            <v>#DIV/0!</v>
          </cell>
          <cell r="AT317" t="e">
            <v>#DIV/0!</v>
          </cell>
          <cell r="AU317" t="e">
            <v>#DIV/0!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G318">
            <v>308</v>
          </cell>
          <cell r="H318" t="str">
            <v>YTD Actual</v>
          </cell>
          <cell r="I318">
            <v>0</v>
          </cell>
          <cell r="J318">
            <v>0</v>
          </cell>
          <cell r="K318">
            <v>0</v>
          </cell>
          <cell r="L318">
            <v>211</v>
          </cell>
          <cell r="M318">
            <v>521</v>
          </cell>
          <cell r="N318">
            <v>849</v>
          </cell>
          <cell r="O318">
            <v>1216</v>
          </cell>
          <cell r="P318">
            <v>1482</v>
          </cell>
          <cell r="Q318">
            <v>1650</v>
          </cell>
          <cell r="R318">
            <v>1828</v>
          </cell>
          <cell r="S318">
            <v>1998</v>
          </cell>
          <cell r="T318">
            <v>2323</v>
          </cell>
          <cell r="U318">
            <v>2599</v>
          </cell>
          <cell r="V318">
            <v>2845</v>
          </cell>
          <cell r="W318">
            <v>3037</v>
          </cell>
          <cell r="X318">
            <v>149</v>
          </cell>
          <cell r="Y318">
            <v>367</v>
          </cell>
          <cell r="Z318">
            <v>693</v>
          </cell>
          <cell r="AA318">
            <v>998</v>
          </cell>
          <cell r="AB318">
            <v>1271</v>
          </cell>
          <cell r="AC318">
            <v>1412</v>
          </cell>
          <cell r="AD318">
            <v>1525</v>
          </cell>
          <cell r="AE318">
            <v>1670</v>
          </cell>
          <cell r="AF318">
            <v>1875</v>
          </cell>
          <cell r="AG318">
            <v>2079</v>
          </cell>
          <cell r="AH318">
            <v>2360</v>
          </cell>
          <cell r="AI318">
            <v>2583</v>
          </cell>
          <cell r="AJ318">
            <v>284</v>
          </cell>
          <cell r="AK318">
            <v>495</v>
          </cell>
          <cell r="AL318">
            <v>761</v>
          </cell>
          <cell r="AM318">
            <v>1050</v>
          </cell>
          <cell r="AN318">
            <v>1245</v>
          </cell>
          <cell r="AO318">
            <v>1442</v>
          </cell>
          <cell r="AP318">
            <v>1627</v>
          </cell>
          <cell r="AQ318">
            <v>1627</v>
          </cell>
          <cell r="AR318">
            <v>1627</v>
          </cell>
          <cell r="AS318">
            <v>1627</v>
          </cell>
          <cell r="AT318">
            <v>1627</v>
          </cell>
          <cell r="AU318">
            <v>1627</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G319">
            <v>309</v>
          </cell>
          <cell r="H319" t="str">
            <v>YTD Target (Budget)</v>
          </cell>
          <cell r="I319">
            <v>0</v>
          </cell>
          <cell r="J319">
            <v>0</v>
          </cell>
          <cell r="K319">
            <v>0</v>
          </cell>
          <cell r="L319">
            <v>211</v>
          </cell>
          <cell r="M319">
            <v>521</v>
          </cell>
          <cell r="N319">
            <v>849</v>
          </cell>
          <cell r="O319">
            <v>1216</v>
          </cell>
          <cell r="P319">
            <v>1482</v>
          </cell>
          <cell r="Q319">
            <v>1650</v>
          </cell>
          <cell r="R319">
            <v>1828</v>
          </cell>
          <cell r="S319">
            <v>1998</v>
          </cell>
          <cell r="T319">
            <v>2323</v>
          </cell>
          <cell r="U319">
            <v>2599</v>
          </cell>
          <cell r="V319">
            <v>2845</v>
          </cell>
          <cell r="W319">
            <v>3037</v>
          </cell>
          <cell r="X319">
            <v>205</v>
          </cell>
          <cell r="Y319">
            <v>505</v>
          </cell>
          <cell r="Z319">
            <v>823</v>
          </cell>
          <cell r="AA319">
            <v>1180</v>
          </cell>
          <cell r="AB319">
            <v>1444</v>
          </cell>
          <cell r="AC319">
            <v>1612</v>
          </cell>
          <cell r="AD319">
            <v>1787</v>
          </cell>
          <cell r="AE319">
            <v>1953</v>
          </cell>
          <cell r="AF319">
            <v>2268</v>
          </cell>
          <cell r="AG319">
            <v>2534</v>
          </cell>
          <cell r="AH319">
            <v>2770</v>
          </cell>
          <cell r="AI319">
            <v>2952</v>
          </cell>
          <cell r="AJ319">
            <v>146</v>
          </cell>
          <cell r="AK319">
            <v>360</v>
          </cell>
          <cell r="AL319">
            <v>679</v>
          </cell>
          <cell r="AM319">
            <v>978</v>
          </cell>
          <cell r="AN319">
            <v>1246</v>
          </cell>
          <cell r="AO319">
            <v>1384</v>
          </cell>
          <cell r="AP319">
            <v>1495</v>
          </cell>
          <cell r="AQ319">
            <v>1495</v>
          </cell>
          <cell r="AR319">
            <v>1495</v>
          </cell>
          <cell r="AS319">
            <v>1495</v>
          </cell>
          <cell r="AT319">
            <v>1495</v>
          </cell>
          <cell r="AU319">
            <v>1495</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G320">
            <v>310</v>
          </cell>
          <cell r="H320" t="str">
            <v>YTD Target (Budget) Var</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-56</v>
          </cell>
          <cell r="Y320">
            <v>-138</v>
          </cell>
          <cell r="Z320">
            <v>-130</v>
          </cell>
          <cell r="AA320">
            <v>-182</v>
          </cell>
          <cell r="AB320">
            <v>-173</v>
          </cell>
          <cell r="AC320">
            <v>-200</v>
          </cell>
          <cell r="AD320">
            <v>-262</v>
          </cell>
          <cell r="AE320">
            <v>-283</v>
          </cell>
          <cell r="AF320">
            <v>-393</v>
          </cell>
          <cell r="AG320">
            <v>-455</v>
          </cell>
          <cell r="AH320">
            <v>-410</v>
          </cell>
          <cell r="AI320">
            <v>-369</v>
          </cell>
          <cell r="AJ320">
            <v>138</v>
          </cell>
          <cell r="AK320">
            <v>135</v>
          </cell>
          <cell r="AL320">
            <v>82</v>
          </cell>
          <cell r="AM320">
            <v>72</v>
          </cell>
          <cell r="AN320">
            <v>-1</v>
          </cell>
          <cell r="AO320">
            <v>58</v>
          </cell>
          <cell r="AP320">
            <v>132</v>
          </cell>
          <cell r="AQ320">
            <v>132</v>
          </cell>
          <cell r="AR320">
            <v>132</v>
          </cell>
          <cell r="AS320">
            <v>132</v>
          </cell>
          <cell r="AT320">
            <v>132</v>
          </cell>
          <cell r="AU320">
            <v>132</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G321">
            <v>311</v>
          </cell>
          <cell r="H321" t="str">
            <v>YTD %Var</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-0.27317073170731709</v>
          </cell>
          <cell r="Y321">
            <v>-0.27326732673267329</v>
          </cell>
          <cell r="Z321">
            <v>-0.15795868772782504</v>
          </cell>
          <cell r="AA321">
            <v>-0.15423728813559323</v>
          </cell>
          <cell r="AB321">
            <v>-0.11980609418282548</v>
          </cell>
          <cell r="AC321">
            <v>-0.12406947890818859</v>
          </cell>
          <cell r="AD321">
            <v>-0.14661443760492446</v>
          </cell>
          <cell r="AE321">
            <v>-0.144905273937532</v>
          </cell>
          <cell r="AF321">
            <v>-0.17328042328042328</v>
          </cell>
          <cell r="AG321">
            <v>-0.17955801104972377</v>
          </cell>
          <cell r="AH321">
            <v>-0.14801444043321299</v>
          </cell>
          <cell r="AI321">
            <v>-0.125</v>
          </cell>
          <cell r="AJ321">
            <v>0.9452054794520548</v>
          </cell>
          <cell r="AK321">
            <v>0.375</v>
          </cell>
          <cell r="AL321">
            <v>0.12076583210603829</v>
          </cell>
          <cell r="AM321">
            <v>7.3619631901840496E-2</v>
          </cell>
          <cell r="AN321">
            <v>-8.0256821829855537E-4</v>
          </cell>
          <cell r="AO321">
            <v>4.1907514450867052E-2</v>
          </cell>
          <cell r="AP321">
            <v>8.8294314381270902E-2</v>
          </cell>
          <cell r="AQ321">
            <v>8.8294314381270902E-2</v>
          </cell>
          <cell r="AR321">
            <v>8.8294314381270902E-2</v>
          </cell>
          <cell r="AS321">
            <v>8.8294314381270902E-2</v>
          </cell>
          <cell r="AT321">
            <v>8.8294314381270902E-2</v>
          </cell>
          <cell r="AU321">
            <v>8.8294314381270902E-2</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G322">
            <v>312</v>
          </cell>
          <cell r="H322" t="str">
            <v>4 Month Actual</v>
          </cell>
          <cell r="I322">
            <v>0</v>
          </cell>
          <cell r="J322">
            <v>0</v>
          </cell>
          <cell r="K322">
            <v>0</v>
          </cell>
          <cell r="L322">
            <v>211</v>
          </cell>
          <cell r="M322">
            <v>521</v>
          </cell>
          <cell r="N322">
            <v>849</v>
          </cell>
          <cell r="O322">
            <v>1216</v>
          </cell>
          <cell r="P322">
            <v>1271</v>
          </cell>
          <cell r="Q322">
            <v>1129</v>
          </cell>
          <cell r="R322">
            <v>979</v>
          </cell>
          <cell r="S322">
            <v>782</v>
          </cell>
          <cell r="T322">
            <v>841</v>
          </cell>
          <cell r="U322">
            <v>949</v>
          </cell>
          <cell r="V322">
            <v>1017</v>
          </cell>
          <cell r="W322">
            <v>1039</v>
          </cell>
          <cell r="X322">
            <v>863</v>
          </cell>
          <cell r="Y322">
            <v>805</v>
          </cell>
          <cell r="Z322">
            <v>885</v>
          </cell>
          <cell r="AA322">
            <v>998</v>
          </cell>
          <cell r="AB322">
            <v>1122</v>
          </cell>
          <cell r="AC322">
            <v>1045</v>
          </cell>
          <cell r="AD322">
            <v>832</v>
          </cell>
          <cell r="AE322">
            <v>672</v>
          </cell>
          <cell r="AF322">
            <v>604</v>
          </cell>
          <cell r="AG322">
            <v>667</v>
          </cell>
          <cell r="AH322">
            <v>835</v>
          </cell>
          <cell r="AI322">
            <v>913</v>
          </cell>
          <cell r="AJ322">
            <v>992</v>
          </cell>
          <cell r="AK322">
            <v>999</v>
          </cell>
          <cell r="AL322">
            <v>984</v>
          </cell>
          <cell r="AM322">
            <v>1050</v>
          </cell>
          <cell r="AN322">
            <v>961</v>
          </cell>
          <cell r="AO322">
            <v>947</v>
          </cell>
          <cell r="AP322">
            <v>866</v>
          </cell>
          <cell r="AQ322">
            <v>577</v>
          </cell>
          <cell r="AR322">
            <v>382</v>
          </cell>
          <cell r="AS322">
            <v>185</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G323">
            <v>313</v>
          </cell>
          <cell r="H323" t="str">
            <v>4 Month Target (Budget)</v>
          </cell>
          <cell r="I323">
            <v>0</v>
          </cell>
          <cell r="J323">
            <v>0</v>
          </cell>
          <cell r="K323">
            <v>0</v>
          </cell>
          <cell r="L323">
            <v>211</v>
          </cell>
          <cell r="M323">
            <v>521</v>
          </cell>
          <cell r="N323">
            <v>849</v>
          </cell>
          <cell r="O323">
            <v>1216</v>
          </cell>
          <cell r="P323">
            <v>1271</v>
          </cell>
          <cell r="Q323">
            <v>1129</v>
          </cell>
          <cell r="R323">
            <v>979</v>
          </cell>
          <cell r="S323">
            <v>782</v>
          </cell>
          <cell r="T323">
            <v>841</v>
          </cell>
          <cell r="U323">
            <v>949</v>
          </cell>
          <cell r="V323">
            <v>1017</v>
          </cell>
          <cell r="W323">
            <v>1039</v>
          </cell>
          <cell r="X323">
            <v>919</v>
          </cell>
          <cell r="Y323">
            <v>943</v>
          </cell>
          <cell r="Z323">
            <v>1015</v>
          </cell>
          <cell r="AA323">
            <v>1180</v>
          </cell>
          <cell r="AB323">
            <v>1239</v>
          </cell>
          <cell r="AC323">
            <v>1107</v>
          </cell>
          <cell r="AD323">
            <v>964</v>
          </cell>
          <cell r="AE323">
            <v>773</v>
          </cell>
          <cell r="AF323">
            <v>824</v>
          </cell>
          <cell r="AG323">
            <v>922</v>
          </cell>
          <cell r="AH323">
            <v>983</v>
          </cell>
          <cell r="AI323">
            <v>999</v>
          </cell>
          <cell r="AJ323">
            <v>830</v>
          </cell>
          <cell r="AK323">
            <v>778</v>
          </cell>
          <cell r="AL323">
            <v>861</v>
          </cell>
          <cell r="AM323">
            <v>978</v>
          </cell>
          <cell r="AN323">
            <v>1100</v>
          </cell>
          <cell r="AO323">
            <v>1024</v>
          </cell>
          <cell r="AP323">
            <v>816</v>
          </cell>
          <cell r="AQ323">
            <v>517</v>
          </cell>
          <cell r="AR323">
            <v>249</v>
          </cell>
          <cell r="AS323">
            <v>111</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G324">
            <v>314</v>
          </cell>
          <cell r="H324" t="str">
            <v>4 Month Target (Budget) Var</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-56</v>
          </cell>
          <cell r="Y324">
            <v>-138</v>
          </cell>
          <cell r="Z324">
            <v>-130</v>
          </cell>
          <cell r="AA324">
            <v>-182</v>
          </cell>
          <cell r="AB324">
            <v>-117</v>
          </cell>
          <cell r="AC324">
            <v>-62</v>
          </cell>
          <cell r="AD324">
            <v>-132</v>
          </cell>
          <cell r="AE324">
            <v>-101</v>
          </cell>
          <cell r="AF324">
            <v>-220</v>
          </cell>
          <cell r="AG324">
            <v>-255</v>
          </cell>
          <cell r="AH324">
            <v>-148</v>
          </cell>
          <cell r="AI324">
            <v>-86</v>
          </cell>
          <cell r="AJ324">
            <v>162</v>
          </cell>
          <cell r="AK324">
            <v>221</v>
          </cell>
          <cell r="AL324">
            <v>123</v>
          </cell>
          <cell r="AM324">
            <v>72</v>
          </cell>
          <cell r="AN324">
            <v>-139</v>
          </cell>
          <cell r="AO324">
            <v>-77</v>
          </cell>
          <cell r="AP324">
            <v>50</v>
          </cell>
          <cell r="AQ324">
            <v>60</v>
          </cell>
          <cell r="AR324">
            <v>133</v>
          </cell>
          <cell r="AS324">
            <v>74</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G325">
            <v>315</v>
          </cell>
          <cell r="H325" t="str">
            <v>4 Month Target (Budget) % Var</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-6.0935799782372145E-2</v>
          </cell>
          <cell r="Y325">
            <v>-0.14634146341463414</v>
          </cell>
          <cell r="Z325">
            <v>-0.12807881773399016</v>
          </cell>
          <cell r="AA325">
            <v>-0.15423728813559323</v>
          </cell>
          <cell r="AB325">
            <v>-9.4430992736077482E-2</v>
          </cell>
          <cell r="AC325">
            <v>-5.6007226738934053E-2</v>
          </cell>
          <cell r="AD325">
            <v>-0.13692946058091288</v>
          </cell>
          <cell r="AE325">
            <v>-0.13065976714100905</v>
          </cell>
          <cell r="AF325">
            <v>-0.26699029126213591</v>
          </cell>
          <cell r="AG325">
            <v>-0.27657266811279829</v>
          </cell>
          <cell r="AH325">
            <v>-0.15055951169888099</v>
          </cell>
          <cell r="AI325">
            <v>-8.6086086086086089E-2</v>
          </cell>
          <cell r="AJ325">
            <v>0.19518072289156627</v>
          </cell>
          <cell r="AK325">
            <v>0.28406169665809766</v>
          </cell>
          <cell r="AL325">
            <v>0.14285714285714285</v>
          </cell>
          <cell r="AM325">
            <v>7.3619631901840496E-2</v>
          </cell>
          <cell r="AN325">
            <v>-0.12636363636363637</v>
          </cell>
          <cell r="AO325">
            <v>-7.51953125E-2</v>
          </cell>
          <cell r="AP325">
            <v>6.1274509803921566E-2</v>
          </cell>
          <cell r="AQ325">
            <v>0.11605415860735009</v>
          </cell>
          <cell r="AR325">
            <v>0.53413654618473894</v>
          </cell>
          <cell r="AS325">
            <v>0.66666666666666663</v>
          </cell>
          <cell r="AT325" t="e">
            <v>#DIV/0!</v>
          </cell>
          <cell r="AU325" t="e">
            <v>#DIV/0!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G326">
            <v>316</v>
          </cell>
          <cell r="H326" t="str">
            <v>Actual</v>
          </cell>
          <cell r="I326">
            <v>0</v>
          </cell>
          <cell r="J326">
            <v>0</v>
          </cell>
          <cell r="K326">
            <v>0</v>
          </cell>
          <cell r="L326">
            <v>1</v>
          </cell>
          <cell r="M326">
            <v>1</v>
          </cell>
          <cell r="N326">
            <v>4</v>
          </cell>
          <cell r="O326">
            <v>4</v>
          </cell>
          <cell r="P326">
            <v>4</v>
          </cell>
          <cell r="Q326">
            <v>2</v>
          </cell>
          <cell r="R326">
            <v>1</v>
          </cell>
          <cell r="S326">
            <v>1</v>
          </cell>
          <cell r="T326">
            <v>1</v>
          </cell>
          <cell r="U326">
            <v>2</v>
          </cell>
          <cell r="V326">
            <v>3</v>
          </cell>
          <cell r="W326">
            <v>1</v>
          </cell>
          <cell r="X326">
            <v>1</v>
          </cell>
          <cell r="Y326">
            <v>3</v>
          </cell>
          <cell r="Z326">
            <v>2</v>
          </cell>
          <cell r="AA326">
            <v>5</v>
          </cell>
          <cell r="AB326">
            <v>0</v>
          </cell>
          <cell r="AC326">
            <v>3</v>
          </cell>
          <cell r="AD326">
            <v>3</v>
          </cell>
          <cell r="AE326">
            <v>2</v>
          </cell>
          <cell r="AF326">
            <v>2</v>
          </cell>
          <cell r="AG326">
            <v>2</v>
          </cell>
          <cell r="AH326">
            <v>3</v>
          </cell>
          <cell r="AI326">
            <v>2</v>
          </cell>
          <cell r="AJ326">
            <v>1</v>
          </cell>
          <cell r="AK326">
            <v>2</v>
          </cell>
          <cell r="AL326">
            <v>9</v>
          </cell>
          <cell r="AM326">
            <v>5</v>
          </cell>
          <cell r="AN326">
            <v>0</v>
          </cell>
          <cell r="AO326">
            <v>5</v>
          </cell>
          <cell r="AP326">
            <v>3</v>
          </cell>
          <cell r="AQ326">
            <v>3</v>
          </cell>
          <cell r="AR326">
            <v>3</v>
          </cell>
          <cell r="AS326">
            <v>2</v>
          </cell>
          <cell r="AT326">
            <v>1</v>
          </cell>
          <cell r="AU326" t="e">
            <v>#DIV/0!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G327">
            <v>317</v>
          </cell>
          <cell r="H327" t="str">
            <v>Target (Budget)</v>
          </cell>
          <cell r="I327">
            <v>0</v>
          </cell>
          <cell r="J327">
            <v>0</v>
          </cell>
          <cell r="K327">
            <v>0</v>
          </cell>
          <cell r="L327">
            <v>1</v>
          </cell>
          <cell r="M327">
            <v>1</v>
          </cell>
          <cell r="N327">
            <v>4</v>
          </cell>
          <cell r="O327">
            <v>4</v>
          </cell>
          <cell r="P327">
            <v>4</v>
          </cell>
          <cell r="Q327">
            <v>2</v>
          </cell>
          <cell r="R327">
            <v>1</v>
          </cell>
          <cell r="S327">
            <v>1</v>
          </cell>
          <cell r="T327">
            <v>1</v>
          </cell>
          <cell r="U327">
            <v>2</v>
          </cell>
          <cell r="V327">
            <v>3</v>
          </cell>
          <cell r="W327">
            <v>1</v>
          </cell>
          <cell r="X327">
            <v>1</v>
          </cell>
          <cell r="Y327">
            <v>2</v>
          </cell>
          <cell r="Z327">
            <v>3</v>
          </cell>
          <cell r="AA327">
            <v>3</v>
          </cell>
          <cell r="AB327">
            <v>3</v>
          </cell>
          <cell r="AC327">
            <v>2</v>
          </cell>
          <cell r="AD327">
            <v>1</v>
          </cell>
          <cell r="AE327">
            <v>2</v>
          </cell>
          <cell r="AF327">
            <v>2</v>
          </cell>
          <cell r="AG327">
            <v>2</v>
          </cell>
          <cell r="AH327">
            <v>2</v>
          </cell>
          <cell r="AI327">
            <v>2</v>
          </cell>
          <cell r="AJ327">
            <v>1</v>
          </cell>
          <cell r="AK327">
            <v>3</v>
          </cell>
          <cell r="AL327">
            <v>2</v>
          </cell>
          <cell r="AM327">
            <v>5</v>
          </cell>
          <cell r="AN327">
            <v>0</v>
          </cell>
          <cell r="AO327">
            <v>3</v>
          </cell>
          <cell r="AP327">
            <v>3</v>
          </cell>
          <cell r="AQ327">
            <v>2</v>
          </cell>
          <cell r="AR327">
            <v>2</v>
          </cell>
          <cell r="AS327">
            <v>2</v>
          </cell>
          <cell r="AT327">
            <v>3</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G328">
            <v>318</v>
          </cell>
          <cell r="H328" t="str">
            <v>Target (Budget) Variance</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1</v>
          </cell>
          <cell r="Z328">
            <v>-1</v>
          </cell>
          <cell r="AA328">
            <v>2</v>
          </cell>
          <cell r="AB328">
            <v>-3</v>
          </cell>
          <cell r="AC328">
            <v>1</v>
          </cell>
          <cell r="AD328">
            <v>2</v>
          </cell>
          <cell r="AE328">
            <v>0</v>
          </cell>
          <cell r="AF328">
            <v>0</v>
          </cell>
          <cell r="AG328">
            <v>0</v>
          </cell>
          <cell r="AH328">
            <v>1</v>
          </cell>
          <cell r="AI328">
            <v>0</v>
          </cell>
          <cell r="AJ328">
            <v>0</v>
          </cell>
          <cell r="AK328">
            <v>-1</v>
          </cell>
          <cell r="AL328">
            <v>7</v>
          </cell>
          <cell r="AM328">
            <v>0</v>
          </cell>
          <cell r="AN328">
            <v>0</v>
          </cell>
          <cell r="AO328">
            <v>2</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G329">
            <v>319</v>
          </cell>
          <cell r="H329" t="str">
            <v>Target (Budget) %Var</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0.5</v>
          </cell>
          <cell r="Z329">
            <v>-0.33333333333333331</v>
          </cell>
          <cell r="AA329">
            <v>0.66666666666666663</v>
          </cell>
          <cell r="AB329">
            <v>-1</v>
          </cell>
          <cell r="AC329">
            <v>0.5</v>
          </cell>
          <cell r="AD329">
            <v>2</v>
          </cell>
          <cell r="AE329">
            <v>0</v>
          </cell>
          <cell r="AF329">
            <v>0</v>
          </cell>
          <cell r="AG329">
            <v>0</v>
          </cell>
          <cell r="AH329">
            <v>0.5</v>
          </cell>
          <cell r="AI329">
            <v>0</v>
          </cell>
          <cell r="AJ329">
            <v>0</v>
          </cell>
          <cell r="AK329">
            <v>-0.33333333333333331</v>
          </cell>
          <cell r="AL329">
            <v>3.5</v>
          </cell>
          <cell r="AM329">
            <v>0</v>
          </cell>
          <cell r="AN329" t="e">
            <v>#DIV/0!</v>
          </cell>
          <cell r="AO329">
            <v>0.66666666666666663</v>
          </cell>
          <cell r="AP329">
            <v>0</v>
          </cell>
          <cell r="AQ329" t="e">
            <v>#DIV/0!</v>
          </cell>
          <cell r="AR329" t="e">
            <v>#DIV/0!</v>
          </cell>
          <cell r="AS329" t="e">
            <v>#DIV/0!</v>
          </cell>
          <cell r="AT329" t="e">
            <v>#DIV/0!</v>
          </cell>
          <cell r="AU329" t="e">
            <v>#DIV/0!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G330">
            <v>320</v>
          </cell>
          <cell r="H330" t="str">
            <v>YTD Actual</v>
          </cell>
          <cell r="I330">
            <v>0</v>
          </cell>
          <cell r="J330">
            <v>0</v>
          </cell>
          <cell r="K330">
            <v>0</v>
          </cell>
          <cell r="L330">
            <v>1</v>
          </cell>
          <cell r="M330">
            <v>2</v>
          </cell>
          <cell r="N330">
            <v>6</v>
          </cell>
          <cell r="O330">
            <v>10</v>
          </cell>
          <cell r="P330">
            <v>14</v>
          </cell>
          <cell r="Q330">
            <v>16</v>
          </cell>
          <cell r="R330">
            <v>17</v>
          </cell>
          <cell r="S330">
            <v>18</v>
          </cell>
          <cell r="T330">
            <v>19</v>
          </cell>
          <cell r="U330">
            <v>21</v>
          </cell>
          <cell r="V330">
            <v>24</v>
          </cell>
          <cell r="W330">
            <v>25</v>
          </cell>
          <cell r="X330">
            <v>1</v>
          </cell>
          <cell r="Y330">
            <v>4</v>
          </cell>
          <cell r="Z330">
            <v>6</v>
          </cell>
          <cell r="AA330">
            <v>11</v>
          </cell>
          <cell r="AB330">
            <v>11</v>
          </cell>
          <cell r="AC330">
            <v>14</v>
          </cell>
          <cell r="AD330">
            <v>17</v>
          </cell>
          <cell r="AE330">
            <v>19</v>
          </cell>
          <cell r="AF330">
            <v>21</v>
          </cell>
          <cell r="AG330">
            <v>23</v>
          </cell>
          <cell r="AH330">
            <v>26</v>
          </cell>
          <cell r="AI330">
            <v>28</v>
          </cell>
          <cell r="AJ330">
            <v>1</v>
          </cell>
          <cell r="AK330">
            <v>3</v>
          </cell>
          <cell r="AL330">
            <v>12</v>
          </cell>
          <cell r="AM330">
            <v>17</v>
          </cell>
          <cell r="AN330">
            <v>17</v>
          </cell>
          <cell r="AO330">
            <v>22</v>
          </cell>
          <cell r="AP330">
            <v>25</v>
          </cell>
          <cell r="AQ330">
            <v>25</v>
          </cell>
          <cell r="AR330">
            <v>25</v>
          </cell>
          <cell r="AS330">
            <v>25</v>
          </cell>
          <cell r="AT330">
            <v>25</v>
          </cell>
          <cell r="AU330">
            <v>25</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G331">
            <v>321</v>
          </cell>
          <cell r="H331" t="str">
            <v>YTD Target (Budget)</v>
          </cell>
          <cell r="I331">
            <v>0</v>
          </cell>
          <cell r="J331">
            <v>0</v>
          </cell>
          <cell r="K331">
            <v>0</v>
          </cell>
          <cell r="L331">
            <v>1</v>
          </cell>
          <cell r="M331">
            <v>2</v>
          </cell>
          <cell r="N331">
            <v>6</v>
          </cell>
          <cell r="O331">
            <v>10</v>
          </cell>
          <cell r="P331">
            <v>14</v>
          </cell>
          <cell r="Q331">
            <v>16</v>
          </cell>
          <cell r="R331">
            <v>17</v>
          </cell>
          <cell r="S331">
            <v>18</v>
          </cell>
          <cell r="T331">
            <v>19</v>
          </cell>
          <cell r="U331">
            <v>21</v>
          </cell>
          <cell r="V331">
            <v>24</v>
          </cell>
          <cell r="W331">
            <v>25</v>
          </cell>
          <cell r="X331">
            <v>1</v>
          </cell>
          <cell r="Y331">
            <v>3</v>
          </cell>
          <cell r="Z331">
            <v>6</v>
          </cell>
          <cell r="AA331">
            <v>9</v>
          </cell>
          <cell r="AB331">
            <v>12</v>
          </cell>
          <cell r="AC331">
            <v>14</v>
          </cell>
          <cell r="AD331">
            <v>15</v>
          </cell>
          <cell r="AE331">
            <v>17</v>
          </cell>
          <cell r="AF331">
            <v>19</v>
          </cell>
          <cell r="AG331">
            <v>21</v>
          </cell>
          <cell r="AH331">
            <v>23</v>
          </cell>
          <cell r="AI331">
            <v>25</v>
          </cell>
          <cell r="AJ331">
            <v>1</v>
          </cell>
          <cell r="AK331">
            <v>4</v>
          </cell>
          <cell r="AL331">
            <v>6</v>
          </cell>
          <cell r="AM331">
            <v>11</v>
          </cell>
          <cell r="AN331">
            <v>11</v>
          </cell>
          <cell r="AO331">
            <v>14</v>
          </cell>
          <cell r="AP331">
            <v>17</v>
          </cell>
          <cell r="AQ331">
            <v>17</v>
          </cell>
          <cell r="AR331">
            <v>17</v>
          </cell>
          <cell r="AS331">
            <v>17</v>
          </cell>
          <cell r="AT331">
            <v>17</v>
          </cell>
          <cell r="AU331">
            <v>17</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G332">
            <v>322</v>
          </cell>
          <cell r="H332" t="str">
            <v>YTD Target (Budget) Var</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1</v>
          </cell>
          <cell r="Z332">
            <v>0</v>
          </cell>
          <cell r="AA332">
            <v>2</v>
          </cell>
          <cell r="AB332">
            <v>-1</v>
          </cell>
          <cell r="AC332">
            <v>0</v>
          </cell>
          <cell r="AD332">
            <v>2</v>
          </cell>
          <cell r="AE332">
            <v>2</v>
          </cell>
          <cell r="AF332">
            <v>2</v>
          </cell>
          <cell r="AG332">
            <v>2</v>
          </cell>
          <cell r="AH332">
            <v>3</v>
          </cell>
          <cell r="AI332">
            <v>3</v>
          </cell>
          <cell r="AJ332">
            <v>0</v>
          </cell>
          <cell r="AK332">
            <v>-1</v>
          </cell>
          <cell r="AL332">
            <v>6</v>
          </cell>
          <cell r="AM332">
            <v>6</v>
          </cell>
          <cell r="AN332">
            <v>6</v>
          </cell>
          <cell r="AO332">
            <v>8</v>
          </cell>
          <cell r="AP332">
            <v>8</v>
          </cell>
          <cell r="AQ332">
            <v>8</v>
          </cell>
          <cell r="AR332">
            <v>8</v>
          </cell>
          <cell r="AS332">
            <v>8</v>
          </cell>
          <cell r="AT332">
            <v>8</v>
          </cell>
          <cell r="AU332">
            <v>8</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G333">
            <v>323</v>
          </cell>
          <cell r="H333" t="str">
            <v>YTD %Var</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0.33333333333333331</v>
          </cell>
          <cell r="Z333">
            <v>0</v>
          </cell>
          <cell r="AA333">
            <v>0.22222222222222221</v>
          </cell>
          <cell r="AB333">
            <v>-8.3333333333333329E-2</v>
          </cell>
          <cell r="AC333">
            <v>0</v>
          </cell>
          <cell r="AD333">
            <v>0.13333333333333333</v>
          </cell>
          <cell r="AE333">
            <v>0.11764705882352941</v>
          </cell>
          <cell r="AF333">
            <v>0.10526315789473684</v>
          </cell>
          <cell r="AG333">
            <v>9.5238095238095233E-2</v>
          </cell>
          <cell r="AH333">
            <v>0.13043478260869565</v>
          </cell>
          <cell r="AI333">
            <v>0.12</v>
          </cell>
          <cell r="AJ333">
            <v>0</v>
          </cell>
          <cell r="AK333">
            <v>-0.25</v>
          </cell>
          <cell r="AL333">
            <v>1</v>
          </cell>
          <cell r="AM333">
            <v>0.54545454545454541</v>
          </cell>
          <cell r="AN333">
            <v>0.54545454545454541</v>
          </cell>
          <cell r="AO333">
            <v>0.5714285714285714</v>
          </cell>
          <cell r="AP333">
            <v>0.47058823529411764</v>
          </cell>
          <cell r="AQ333">
            <v>0.47058823529411764</v>
          </cell>
          <cell r="AR333">
            <v>0.47058823529411764</v>
          </cell>
          <cell r="AS333">
            <v>0.47058823529411764</v>
          </cell>
          <cell r="AT333">
            <v>0.47058823529411764</v>
          </cell>
          <cell r="AU333">
            <v>0.47058823529411764</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G334">
            <v>324</v>
          </cell>
          <cell r="H334" t="str">
            <v>4 Month Actual</v>
          </cell>
          <cell r="I334">
            <v>0</v>
          </cell>
          <cell r="J334">
            <v>0</v>
          </cell>
          <cell r="K334">
            <v>0</v>
          </cell>
          <cell r="L334">
            <v>1</v>
          </cell>
          <cell r="M334">
            <v>2</v>
          </cell>
          <cell r="N334">
            <v>6</v>
          </cell>
          <cell r="O334">
            <v>10</v>
          </cell>
          <cell r="P334">
            <v>13</v>
          </cell>
          <cell r="Q334">
            <v>14</v>
          </cell>
          <cell r="R334">
            <v>11</v>
          </cell>
          <cell r="S334">
            <v>8</v>
          </cell>
          <cell r="T334">
            <v>5</v>
          </cell>
          <cell r="U334">
            <v>5</v>
          </cell>
          <cell r="V334">
            <v>7</v>
          </cell>
          <cell r="W334">
            <v>7</v>
          </cell>
          <cell r="X334">
            <v>7</v>
          </cell>
          <cell r="Y334">
            <v>8</v>
          </cell>
          <cell r="Z334">
            <v>7</v>
          </cell>
          <cell r="AA334">
            <v>11</v>
          </cell>
          <cell r="AB334">
            <v>10</v>
          </cell>
          <cell r="AC334">
            <v>10</v>
          </cell>
          <cell r="AD334">
            <v>11</v>
          </cell>
          <cell r="AE334">
            <v>8</v>
          </cell>
          <cell r="AF334">
            <v>10</v>
          </cell>
          <cell r="AG334">
            <v>9</v>
          </cell>
          <cell r="AH334">
            <v>9</v>
          </cell>
          <cell r="AI334">
            <v>9</v>
          </cell>
          <cell r="AJ334">
            <v>8</v>
          </cell>
          <cell r="AK334">
            <v>8</v>
          </cell>
          <cell r="AL334">
            <v>14</v>
          </cell>
          <cell r="AM334">
            <v>17</v>
          </cell>
          <cell r="AN334">
            <v>16</v>
          </cell>
          <cell r="AO334">
            <v>19</v>
          </cell>
          <cell r="AP334">
            <v>13</v>
          </cell>
          <cell r="AQ334">
            <v>8</v>
          </cell>
          <cell r="AR334">
            <v>8</v>
          </cell>
          <cell r="AS334">
            <v>3</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G335">
            <v>325</v>
          </cell>
          <cell r="H335" t="str">
            <v>4 Month Target (Budget)</v>
          </cell>
          <cell r="I335">
            <v>0</v>
          </cell>
          <cell r="J335">
            <v>0</v>
          </cell>
          <cell r="K335">
            <v>0</v>
          </cell>
          <cell r="L335">
            <v>1</v>
          </cell>
          <cell r="M335">
            <v>2</v>
          </cell>
          <cell r="N335">
            <v>6</v>
          </cell>
          <cell r="O335">
            <v>10</v>
          </cell>
          <cell r="P335">
            <v>13</v>
          </cell>
          <cell r="Q335">
            <v>14</v>
          </cell>
          <cell r="R335">
            <v>11</v>
          </cell>
          <cell r="S335">
            <v>8</v>
          </cell>
          <cell r="T335">
            <v>5</v>
          </cell>
          <cell r="U335">
            <v>5</v>
          </cell>
          <cell r="V335">
            <v>7</v>
          </cell>
          <cell r="W335">
            <v>7</v>
          </cell>
          <cell r="X335">
            <v>7</v>
          </cell>
          <cell r="Y335">
            <v>7</v>
          </cell>
          <cell r="Z335">
            <v>7</v>
          </cell>
          <cell r="AA335">
            <v>9</v>
          </cell>
          <cell r="AB335">
            <v>11</v>
          </cell>
          <cell r="AC335">
            <v>11</v>
          </cell>
          <cell r="AD335">
            <v>9</v>
          </cell>
          <cell r="AE335">
            <v>8</v>
          </cell>
          <cell r="AF335">
            <v>7</v>
          </cell>
          <cell r="AG335">
            <v>7</v>
          </cell>
          <cell r="AH335">
            <v>8</v>
          </cell>
          <cell r="AI335">
            <v>8</v>
          </cell>
          <cell r="AJ335">
            <v>7</v>
          </cell>
          <cell r="AK335">
            <v>8</v>
          </cell>
          <cell r="AL335">
            <v>8</v>
          </cell>
          <cell r="AM335">
            <v>11</v>
          </cell>
          <cell r="AN335">
            <v>10</v>
          </cell>
          <cell r="AO335">
            <v>10</v>
          </cell>
          <cell r="AP335">
            <v>11</v>
          </cell>
          <cell r="AQ335">
            <v>6</v>
          </cell>
          <cell r="AR335">
            <v>6</v>
          </cell>
          <cell r="AS335">
            <v>3</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G336">
            <v>326</v>
          </cell>
          <cell r="H336" t="str">
            <v>4 Month Target (Budget) Var</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1</v>
          </cell>
          <cell r="Z336">
            <v>0</v>
          </cell>
          <cell r="AA336">
            <v>2</v>
          </cell>
          <cell r="AB336">
            <v>-1</v>
          </cell>
          <cell r="AC336">
            <v>-1</v>
          </cell>
          <cell r="AD336">
            <v>2</v>
          </cell>
          <cell r="AE336">
            <v>0</v>
          </cell>
          <cell r="AF336">
            <v>3</v>
          </cell>
          <cell r="AG336">
            <v>2</v>
          </cell>
          <cell r="AH336">
            <v>1</v>
          </cell>
          <cell r="AI336">
            <v>1</v>
          </cell>
          <cell r="AJ336">
            <v>1</v>
          </cell>
          <cell r="AK336">
            <v>0</v>
          </cell>
          <cell r="AL336">
            <v>6</v>
          </cell>
          <cell r="AM336">
            <v>6</v>
          </cell>
          <cell r="AN336">
            <v>6</v>
          </cell>
          <cell r="AO336">
            <v>9</v>
          </cell>
          <cell r="AP336">
            <v>2</v>
          </cell>
          <cell r="AQ336">
            <v>2</v>
          </cell>
          <cell r="AR336">
            <v>2</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G337">
            <v>327</v>
          </cell>
          <cell r="H337" t="str">
            <v>4 Month Target (Budget) % Var</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0.14285714285714285</v>
          </cell>
          <cell r="Z337">
            <v>0</v>
          </cell>
          <cell r="AA337">
            <v>0.22222222222222221</v>
          </cell>
          <cell r="AB337">
            <v>-9.0909090909090912E-2</v>
          </cell>
          <cell r="AC337">
            <v>-9.0909090909090912E-2</v>
          </cell>
          <cell r="AD337">
            <v>0.22222222222222221</v>
          </cell>
          <cell r="AE337">
            <v>0</v>
          </cell>
          <cell r="AF337">
            <v>0.42857142857142855</v>
          </cell>
          <cell r="AG337">
            <v>0.2857142857142857</v>
          </cell>
          <cell r="AH337">
            <v>0.125</v>
          </cell>
          <cell r="AI337">
            <v>0.125</v>
          </cell>
          <cell r="AJ337">
            <v>0.14285714285714285</v>
          </cell>
          <cell r="AK337">
            <v>0</v>
          </cell>
          <cell r="AL337">
            <v>0.75</v>
          </cell>
          <cell r="AM337">
            <v>0.54545454545454541</v>
          </cell>
          <cell r="AN337">
            <v>0.6</v>
          </cell>
          <cell r="AO337">
            <v>0.9</v>
          </cell>
          <cell r="AP337">
            <v>0.18181818181818182</v>
          </cell>
          <cell r="AQ337">
            <v>0.33333333333333331</v>
          </cell>
          <cell r="AR337">
            <v>0.33333333333333331</v>
          </cell>
          <cell r="AS337">
            <v>0</v>
          </cell>
          <cell r="AT337" t="e">
            <v>#DIV/0!</v>
          </cell>
          <cell r="AU337" t="e">
            <v>#DIV/0!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G338">
            <v>328</v>
          </cell>
          <cell r="H338" t="str">
            <v>Actual</v>
          </cell>
          <cell r="I338">
            <v>0</v>
          </cell>
          <cell r="J338">
            <v>0</v>
          </cell>
          <cell r="K338">
            <v>0</v>
          </cell>
          <cell r="L338">
            <v>24</v>
          </cell>
          <cell r="M338">
            <v>25</v>
          </cell>
          <cell r="N338">
            <v>32</v>
          </cell>
          <cell r="O338">
            <v>30</v>
          </cell>
          <cell r="P338">
            <v>23</v>
          </cell>
          <cell r="Q338">
            <v>16</v>
          </cell>
          <cell r="R338">
            <v>31</v>
          </cell>
          <cell r="S338">
            <v>35</v>
          </cell>
          <cell r="T338">
            <v>24</v>
          </cell>
          <cell r="U338">
            <v>29</v>
          </cell>
          <cell r="V338">
            <v>18</v>
          </cell>
          <cell r="W338">
            <v>16</v>
          </cell>
          <cell r="X338">
            <v>18</v>
          </cell>
          <cell r="Y338">
            <v>25</v>
          </cell>
          <cell r="Z338">
            <v>32</v>
          </cell>
          <cell r="AA338">
            <v>34</v>
          </cell>
          <cell r="AB338">
            <v>28</v>
          </cell>
          <cell r="AC338">
            <v>20</v>
          </cell>
          <cell r="AD338">
            <v>21</v>
          </cell>
          <cell r="AE338">
            <v>27</v>
          </cell>
          <cell r="AF338">
            <v>29</v>
          </cell>
          <cell r="AG338">
            <v>24</v>
          </cell>
          <cell r="AH338">
            <v>29</v>
          </cell>
          <cell r="AI338">
            <v>32</v>
          </cell>
          <cell r="AJ338">
            <v>23</v>
          </cell>
          <cell r="AK338">
            <v>25</v>
          </cell>
          <cell r="AL338">
            <v>30</v>
          </cell>
          <cell r="AM338">
            <v>31</v>
          </cell>
          <cell r="AN338">
            <v>25</v>
          </cell>
          <cell r="AO338">
            <v>24</v>
          </cell>
          <cell r="AP338">
            <v>30</v>
          </cell>
          <cell r="AQ338">
            <v>20</v>
          </cell>
          <cell r="AR338">
            <v>25</v>
          </cell>
          <cell r="AS338">
            <v>25</v>
          </cell>
          <cell r="AT338">
            <v>26</v>
          </cell>
          <cell r="AU338" t="e">
            <v>#DIV/0!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G339">
            <v>329</v>
          </cell>
          <cell r="H339" t="str">
            <v>Target (Budget)</v>
          </cell>
          <cell r="I339">
            <v>0</v>
          </cell>
          <cell r="J339">
            <v>0</v>
          </cell>
          <cell r="K339">
            <v>0</v>
          </cell>
          <cell r="L339">
            <v>24</v>
          </cell>
          <cell r="M339">
            <v>25</v>
          </cell>
          <cell r="N339">
            <v>32</v>
          </cell>
          <cell r="O339">
            <v>30</v>
          </cell>
          <cell r="P339">
            <v>23</v>
          </cell>
          <cell r="Q339">
            <v>16</v>
          </cell>
          <cell r="R339">
            <v>31</v>
          </cell>
          <cell r="S339">
            <v>35</v>
          </cell>
          <cell r="T339">
            <v>24</v>
          </cell>
          <cell r="U339">
            <v>29</v>
          </cell>
          <cell r="V339">
            <v>18</v>
          </cell>
          <cell r="W339">
            <v>16</v>
          </cell>
          <cell r="X339">
            <v>25</v>
          </cell>
          <cell r="Y339">
            <v>25</v>
          </cell>
          <cell r="Z339">
            <v>30</v>
          </cell>
          <cell r="AA339">
            <v>30</v>
          </cell>
          <cell r="AB339">
            <v>22</v>
          </cell>
          <cell r="AC339">
            <v>20</v>
          </cell>
          <cell r="AD339">
            <v>30</v>
          </cell>
          <cell r="AE339">
            <v>33</v>
          </cell>
          <cell r="AF339">
            <v>25</v>
          </cell>
          <cell r="AG339">
            <v>25</v>
          </cell>
          <cell r="AH339">
            <v>18</v>
          </cell>
          <cell r="AI339">
            <v>17</v>
          </cell>
          <cell r="AJ339">
            <v>18</v>
          </cell>
          <cell r="AK339">
            <v>25</v>
          </cell>
          <cell r="AL339">
            <v>33</v>
          </cell>
          <cell r="AM339">
            <v>35</v>
          </cell>
          <cell r="AN339">
            <v>29</v>
          </cell>
          <cell r="AO339">
            <v>20</v>
          </cell>
          <cell r="AP339">
            <v>21</v>
          </cell>
          <cell r="AQ339">
            <v>28</v>
          </cell>
          <cell r="AR339">
            <v>30</v>
          </cell>
          <cell r="AS339">
            <v>24</v>
          </cell>
          <cell r="AT339">
            <v>30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G340">
            <v>330</v>
          </cell>
          <cell r="H340" t="str">
            <v>Target (Budget) Variance</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-7</v>
          </cell>
          <cell r="Y340">
            <v>0</v>
          </cell>
          <cell r="Z340">
            <v>2</v>
          </cell>
          <cell r="AA340">
            <v>4</v>
          </cell>
          <cell r="AB340">
            <v>6</v>
          </cell>
          <cell r="AC340">
            <v>0</v>
          </cell>
          <cell r="AD340">
            <v>-9</v>
          </cell>
          <cell r="AE340">
            <v>-6</v>
          </cell>
          <cell r="AF340">
            <v>4</v>
          </cell>
          <cell r="AG340">
            <v>-1</v>
          </cell>
          <cell r="AH340">
            <v>11</v>
          </cell>
          <cell r="AI340">
            <v>15</v>
          </cell>
          <cell r="AJ340">
            <v>5</v>
          </cell>
          <cell r="AK340">
            <v>0</v>
          </cell>
          <cell r="AL340">
            <v>-3</v>
          </cell>
          <cell r="AM340">
            <v>-4</v>
          </cell>
          <cell r="AN340">
            <v>-4</v>
          </cell>
          <cell r="AO340">
            <v>4</v>
          </cell>
          <cell r="AP340">
            <v>9</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G341">
            <v>331</v>
          </cell>
          <cell r="H341" t="str">
            <v>Target (Budget) %Var</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-0.28000000000000003</v>
          </cell>
          <cell r="Y341">
            <v>0</v>
          </cell>
          <cell r="Z341">
            <v>6.6666666666666666E-2</v>
          </cell>
          <cell r="AA341">
            <v>0.13333333333333333</v>
          </cell>
          <cell r="AB341">
            <v>0.27272727272727271</v>
          </cell>
          <cell r="AC341">
            <v>0</v>
          </cell>
          <cell r="AD341">
            <v>-0.3</v>
          </cell>
          <cell r="AE341">
            <v>-0.18181818181818182</v>
          </cell>
          <cell r="AF341">
            <v>0.16</v>
          </cell>
          <cell r="AG341">
            <v>-0.04</v>
          </cell>
          <cell r="AH341">
            <v>0.61111111111111116</v>
          </cell>
          <cell r="AI341">
            <v>0.88235294117647056</v>
          </cell>
          <cell r="AJ341">
            <v>0.27777777777777779</v>
          </cell>
          <cell r="AK341">
            <v>0</v>
          </cell>
          <cell r="AL341">
            <v>-9.0909090909090912E-2</v>
          </cell>
          <cell r="AM341">
            <v>-0.11428571428571428</v>
          </cell>
          <cell r="AN341">
            <v>-0.13793103448275862</v>
          </cell>
          <cell r="AO341">
            <v>0.2</v>
          </cell>
          <cell r="AP341">
            <v>0.42857142857142855</v>
          </cell>
          <cell r="AQ341" t="e">
            <v>#DIV/0!</v>
          </cell>
          <cell r="AR341" t="e">
            <v>#DIV/0!</v>
          </cell>
          <cell r="AS341" t="e">
            <v>#DIV/0!</v>
          </cell>
          <cell r="AT341" t="e">
            <v>#DIV/0!</v>
          </cell>
          <cell r="AU341" t="e">
            <v>#DIV/0!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G342">
            <v>332</v>
          </cell>
          <cell r="H342" t="str">
            <v>YTD Actual</v>
          </cell>
          <cell r="I342">
            <v>0</v>
          </cell>
          <cell r="J342">
            <v>0</v>
          </cell>
          <cell r="K342">
            <v>0</v>
          </cell>
          <cell r="L342">
            <v>24</v>
          </cell>
          <cell r="M342">
            <v>49</v>
          </cell>
          <cell r="N342">
            <v>81</v>
          </cell>
          <cell r="O342">
            <v>111</v>
          </cell>
          <cell r="P342">
            <v>134</v>
          </cell>
          <cell r="Q342">
            <v>150</v>
          </cell>
          <cell r="R342">
            <v>181</v>
          </cell>
          <cell r="S342">
            <v>216</v>
          </cell>
          <cell r="T342">
            <v>240</v>
          </cell>
          <cell r="U342">
            <v>269</v>
          </cell>
          <cell r="V342">
            <v>287</v>
          </cell>
          <cell r="W342">
            <v>303</v>
          </cell>
          <cell r="X342">
            <v>18</v>
          </cell>
          <cell r="Y342">
            <v>43</v>
          </cell>
          <cell r="Z342">
            <v>75</v>
          </cell>
          <cell r="AA342">
            <v>109</v>
          </cell>
          <cell r="AB342">
            <v>137</v>
          </cell>
          <cell r="AC342">
            <v>157</v>
          </cell>
          <cell r="AD342">
            <v>178</v>
          </cell>
          <cell r="AE342">
            <v>205</v>
          </cell>
          <cell r="AF342">
            <v>234</v>
          </cell>
          <cell r="AG342">
            <v>258</v>
          </cell>
          <cell r="AH342">
            <v>287</v>
          </cell>
          <cell r="AI342">
            <v>319</v>
          </cell>
          <cell r="AJ342">
            <v>23</v>
          </cell>
          <cell r="AK342">
            <v>48</v>
          </cell>
          <cell r="AL342">
            <v>78</v>
          </cell>
          <cell r="AM342">
            <v>109</v>
          </cell>
          <cell r="AN342">
            <v>134</v>
          </cell>
          <cell r="AO342">
            <v>158</v>
          </cell>
          <cell r="AP342">
            <v>188</v>
          </cell>
          <cell r="AQ342">
            <v>188</v>
          </cell>
          <cell r="AR342">
            <v>188</v>
          </cell>
          <cell r="AS342">
            <v>188</v>
          </cell>
          <cell r="AT342">
            <v>188</v>
          </cell>
          <cell r="AU342">
            <v>188</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G343">
            <v>333</v>
          </cell>
          <cell r="H343" t="str">
            <v>YTD Target (Budget)</v>
          </cell>
          <cell r="I343">
            <v>0</v>
          </cell>
          <cell r="J343">
            <v>0</v>
          </cell>
          <cell r="K343">
            <v>0</v>
          </cell>
          <cell r="L343">
            <v>24</v>
          </cell>
          <cell r="M343">
            <v>49</v>
          </cell>
          <cell r="N343">
            <v>81</v>
          </cell>
          <cell r="O343">
            <v>111</v>
          </cell>
          <cell r="P343">
            <v>134</v>
          </cell>
          <cell r="Q343">
            <v>150</v>
          </cell>
          <cell r="R343">
            <v>181</v>
          </cell>
          <cell r="S343">
            <v>216</v>
          </cell>
          <cell r="T343">
            <v>240</v>
          </cell>
          <cell r="U343">
            <v>269</v>
          </cell>
          <cell r="V343">
            <v>287</v>
          </cell>
          <cell r="W343">
            <v>303</v>
          </cell>
          <cell r="X343">
            <v>25</v>
          </cell>
          <cell r="Y343">
            <v>50</v>
          </cell>
          <cell r="Z343">
            <v>80</v>
          </cell>
          <cell r="AA343">
            <v>110</v>
          </cell>
          <cell r="AB343">
            <v>132</v>
          </cell>
          <cell r="AC343">
            <v>152</v>
          </cell>
          <cell r="AD343">
            <v>182</v>
          </cell>
          <cell r="AE343">
            <v>215</v>
          </cell>
          <cell r="AF343">
            <v>240</v>
          </cell>
          <cell r="AG343">
            <v>265</v>
          </cell>
          <cell r="AH343">
            <v>283</v>
          </cell>
          <cell r="AI343">
            <v>300</v>
          </cell>
          <cell r="AJ343">
            <v>18</v>
          </cell>
          <cell r="AK343">
            <v>43</v>
          </cell>
          <cell r="AL343">
            <v>76</v>
          </cell>
          <cell r="AM343">
            <v>111</v>
          </cell>
          <cell r="AN343">
            <v>140</v>
          </cell>
          <cell r="AO343">
            <v>160</v>
          </cell>
          <cell r="AP343">
            <v>181</v>
          </cell>
          <cell r="AQ343">
            <v>181</v>
          </cell>
          <cell r="AR343">
            <v>181</v>
          </cell>
          <cell r="AS343">
            <v>181</v>
          </cell>
          <cell r="AT343">
            <v>181</v>
          </cell>
          <cell r="AU343">
            <v>181</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G344">
            <v>334</v>
          </cell>
          <cell r="H344" t="str">
            <v>YTD Target (Budget) Var</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-7</v>
          </cell>
          <cell r="Y344">
            <v>-7</v>
          </cell>
          <cell r="Z344">
            <v>-5</v>
          </cell>
          <cell r="AA344">
            <v>-1</v>
          </cell>
          <cell r="AB344">
            <v>5</v>
          </cell>
          <cell r="AC344">
            <v>5</v>
          </cell>
          <cell r="AD344">
            <v>-4</v>
          </cell>
          <cell r="AE344">
            <v>-10</v>
          </cell>
          <cell r="AF344">
            <v>-6</v>
          </cell>
          <cell r="AG344">
            <v>-7</v>
          </cell>
          <cell r="AH344">
            <v>4</v>
          </cell>
          <cell r="AI344">
            <v>19</v>
          </cell>
          <cell r="AJ344">
            <v>5</v>
          </cell>
          <cell r="AK344">
            <v>5</v>
          </cell>
          <cell r="AL344">
            <v>2</v>
          </cell>
          <cell r="AM344">
            <v>-2</v>
          </cell>
          <cell r="AN344">
            <v>-6</v>
          </cell>
          <cell r="AO344">
            <v>-2</v>
          </cell>
          <cell r="AP344">
            <v>7</v>
          </cell>
          <cell r="AQ344">
            <v>7</v>
          </cell>
          <cell r="AR344">
            <v>7</v>
          </cell>
          <cell r="AS344">
            <v>7</v>
          </cell>
          <cell r="AT344">
            <v>7</v>
          </cell>
          <cell r="AU344">
            <v>7</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G345">
            <v>335</v>
          </cell>
          <cell r="H345" t="str">
            <v>YTD %Var</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-0.28000000000000003</v>
          </cell>
          <cell r="Y345">
            <v>-0.14000000000000001</v>
          </cell>
          <cell r="Z345">
            <v>-6.25E-2</v>
          </cell>
          <cell r="AA345">
            <v>-9.0909090909090905E-3</v>
          </cell>
          <cell r="AB345">
            <v>3.787878787878788E-2</v>
          </cell>
          <cell r="AC345">
            <v>3.2894736842105261E-2</v>
          </cell>
          <cell r="AD345">
            <v>-2.197802197802198E-2</v>
          </cell>
          <cell r="AE345">
            <v>-4.6511627906976744E-2</v>
          </cell>
          <cell r="AF345">
            <v>-2.5000000000000001E-2</v>
          </cell>
          <cell r="AG345">
            <v>-2.6415094339622643E-2</v>
          </cell>
          <cell r="AH345">
            <v>1.4134275618374558E-2</v>
          </cell>
          <cell r="AI345">
            <v>6.3333333333333339E-2</v>
          </cell>
          <cell r="AJ345">
            <v>0.27777777777777779</v>
          </cell>
          <cell r="AK345">
            <v>0.11627906976744186</v>
          </cell>
          <cell r="AL345">
            <v>2.6315789473684209E-2</v>
          </cell>
          <cell r="AM345">
            <v>-1.8018018018018018E-2</v>
          </cell>
          <cell r="AN345">
            <v>-4.2857142857142858E-2</v>
          </cell>
          <cell r="AO345">
            <v>-1.2500000000000001E-2</v>
          </cell>
          <cell r="AP345">
            <v>3.8674033149171269E-2</v>
          </cell>
          <cell r="AQ345">
            <v>3.8674033149171269E-2</v>
          </cell>
          <cell r="AR345">
            <v>3.8674033149171269E-2</v>
          </cell>
          <cell r="AS345">
            <v>3.8674033149171269E-2</v>
          </cell>
          <cell r="AT345">
            <v>3.8674033149171269E-2</v>
          </cell>
          <cell r="AU345">
            <v>3.8674033149171269E-2</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G346">
            <v>336</v>
          </cell>
          <cell r="H346" t="str">
            <v>4 Month Actual</v>
          </cell>
          <cell r="I346">
            <v>0</v>
          </cell>
          <cell r="J346">
            <v>0</v>
          </cell>
          <cell r="K346">
            <v>0</v>
          </cell>
          <cell r="L346">
            <v>24</v>
          </cell>
          <cell r="M346">
            <v>49</v>
          </cell>
          <cell r="N346">
            <v>81</v>
          </cell>
          <cell r="O346">
            <v>111</v>
          </cell>
          <cell r="P346">
            <v>110</v>
          </cell>
          <cell r="Q346">
            <v>101</v>
          </cell>
          <cell r="R346">
            <v>100</v>
          </cell>
          <cell r="S346">
            <v>105</v>
          </cell>
          <cell r="T346">
            <v>106</v>
          </cell>
          <cell r="U346">
            <v>119</v>
          </cell>
          <cell r="V346">
            <v>106</v>
          </cell>
          <cell r="W346">
            <v>87</v>
          </cell>
          <cell r="X346">
            <v>81</v>
          </cell>
          <cell r="Y346">
            <v>77</v>
          </cell>
          <cell r="Z346">
            <v>91</v>
          </cell>
          <cell r="AA346">
            <v>109</v>
          </cell>
          <cell r="AB346">
            <v>119</v>
          </cell>
          <cell r="AC346">
            <v>114</v>
          </cell>
          <cell r="AD346">
            <v>103</v>
          </cell>
          <cell r="AE346">
            <v>96</v>
          </cell>
          <cell r="AF346">
            <v>97</v>
          </cell>
          <cell r="AG346">
            <v>101</v>
          </cell>
          <cell r="AH346">
            <v>109</v>
          </cell>
          <cell r="AI346">
            <v>114</v>
          </cell>
          <cell r="AJ346">
            <v>108</v>
          </cell>
          <cell r="AK346">
            <v>109</v>
          </cell>
          <cell r="AL346">
            <v>110</v>
          </cell>
          <cell r="AM346">
            <v>109</v>
          </cell>
          <cell r="AN346">
            <v>111</v>
          </cell>
          <cell r="AO346">
            <v>110</v>
          </cell>
          <cell r="AP346">
            <v>110</v>
          </cell>
          <cell r="AQ346">
            <v>79</v>
          </cell>
          <cell r="AR346">
            <v>54</v>
          </cell>
          <cell r="AS346">
            <v>30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G347">
            <v>337</v>
          </cell>
          <cell r="H347" t="str">
            <v>4 Month Target (Budget)</v>
          </cell>
          <cell r="I347">
            <v>0</v>
          </cell>
          <cell r="J347">
            <v>0</v>
          </cell>
          <cell r="K347">
            <v>0</v>
          </cell>
          <cell r="L347">
            <v>24</v>
          </cell>
          <cell r="M347">
            <v>49</v>
          </cell>
          <cell r="N347">
            <v>81</v>
          </cell>
          <cell r="O347">
            <v>111</v>
          </cell>
          <cell r="P347">
            <v>110</v>
          </cell>
          <cell r="Q347">
            <v>101</v>
          </cell>
          <cell r="R347">
            <v>100</v>
          </cell>
          <cell r="S347">
            <v>105</v>
          </cell>
          <cell r="T347">
            <v>106</v>
          </cell>
          <cell r="U347">
            <v>119</v>
          </cell>
          <cell r="V347">
            <v>106</v>
          </cell>
          <cell r="W347">
            <v>87</v>
          </cell>
          <cell r="X347">
            <v>88</v>
          </cell>
          <cell r="Y347">
            <v>84</v>
          </cell>
          <cell r="Z347">
            <v>96</v>
          </cell>
          <cell r="AA347">
            <v>110</v>
          </cell>
          <cell r="AB347">
            <v>107</v>
          </cell>
          <cell r="AC347">
            <v>102</v>
          </cell>
          <cell r="AD347">
            <v>102</v>
          </cell>
          <cell r="AE347">
            <v>105</v>
          </cell>
          <cell r="AF347">
            <v>108</v>
          </cell>
          <cell r="AG347">
            <v>113</v>
          </cell>
          <cell r="AH347">
            <v>101</v>
          </cell>
          <cell r="AI347">
            <v>85</v>
          </cell>
          <cell r="AJ347">
            <v>78</v>
          </cell>
          <cell r="AK347">
            <v>78</v>
          </cell>
          <cell r="AL347">
            <v>93</v>
          </cell>
          <cell r="AM347">
            <v>111</v>
          </cell>
          <cell r="AN347">
            <v>122</v>
          </cell>
          <cell r="AO347">
            <v>117</v>
          </cell>
          <cell r="AP347">
            <v>105</v>
          </cell>
          <cell r="AQ347">
            <v>70</v>
          </cell>
          <cell r="AR347">
            <v>41</v>
          </cell>
          <cell r="AS347">
            <v>21</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G348">
            <v>338</v>
          </cell>
          <cell r="H348" t="str">
            <v>4 Month Target (Budget) Var</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-7</v>
          </cell>
          <cell r="Y348">
            <v>-7</v>
          </cell>
          <cell r="Z348">
            <v>-5</v>
          </cell>
          <cell r="AA348">
            <v>-1</v>
          </cell>
          <cell r="AB348">
            <v>12</v>
          </cell>
          <cell r="AC348">
            <v>12</v>
          </cell>
          <cell r="AD348">
            <v>1</v>
          </cell>
          <cell r="AE348">
            <v>-9</v>
          </cell>
          <cell r="AF348">
            <v>-11</v>
          </cell>
          <cell r="AG348">
            <v>-12</v>
          </cell>
          <cell r="AH348">
            <v>8</v>
          </cell>
          <cell r="AI348">
            <v>29</v>
          </cell>
          <cell r="AJ348">
            <v>30</v>
          </cell>
          <cell r="AK348">
            <v>31</v>
          </cell>
          <cell r="AL348">
            <v>17</v>
          </cell>
          <cell r="AM348">
            <v>-2</v>
          </cell>
          <cell r="AN348">
            <v>-11</v>
          </cell>
          <cell r="AO348">
            <v>-7</v>
          </cell>
          <cell r="AP348">
            <v>5</v>
          </cell>
          <cell r="AQ348">
            <v>9</v>
          </cell>
          <cell r="AR348">
            <v>13</v>
          </cell>
          <cell r="AS348">
            <v>9</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G349">
            <v>339</v>
          </cell>
          <cell r="H349" t="str">
            <v>4 Month Target (Budget) % Var</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-7.9545454545454544E-2</v>
          </cell>
          <cell r="Y349">
            <v>-8.3333333333333329E-2</v>
          </cell>
          <cell r="Z349">
            <v>-5.2083333333333336E-2</v>
          </cell>
          <cell r="AA349">
            <v>-9.0909090909090905E-3</v>
          </cell>
          <cell r="AB349">
            <v>0.11214953271028037</v>
          </cell>
          <cell r="AC349">
            <v>0.11764705882352941</v>
          </cell>
          <cell r="AD349">
            <v>9.8039215686274508E-3</v>
          </cell>
          <cell r="AE349">
            <v>-8.5714285714285715E-2</v>
          </cell>
          <cell r="AF349">
            <v>-0.10185185185185185</v>
          </cell>
          <cell r="AG349">
            <v>-0.10619469026548672</v>
          </cell>
          <cell r="AH349">
            <v>7.9207920792079209E-2</v>
          </cell>
          <cell r="AI349">
            <v>0.3411764705882353</v>
          </cell>
          <cell r="AJ349">
            <v>0.38461538461538464</v>
          </cell>
          <cell r="AK349">
            <v>0.39743589743589741</v>
          </cell>
          <cell r="AL349">
            <v>0.18279569892473119</v>
          </cell>
          <cell r="AM349">
            <v>-1.8018018018018018E-2</v>
          </cell>
          <cell r="AN349">
            <v>-9.0163934426229511E-2</v>
          </cell>
          <cell r="AO349">
            <v>-5.9829059829059832E-2</v>
          </cell>
          <cell r="AP349">
            <v>4.7619047619047616E-2</v>
          </cell>
          <cell r="AQ349">
            <v>0.12857142857142856</v>
          </cell>
          <cell r="AR349">
            <v>0.31707317073170732</v>
          </cell>
          <cell r="AS349">
            <v>0.42857142857142855</v>
          </cell>
          <cell r="AT349" t="e">
            <v>#DIV/0!</v>
          </cell>
          <cell r="AU349" t="e">
            <v>#DIV/0!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G350">
            <v>340</v>
          </cell>
          <cell r="H350" t="str">
            <v>Actual</v>
          </cell>
          <cell r="I350">
            <v>0</v>
          </cell>
          <cell r="J350">
            <v>0</v>
          </cell>
          <cell r="K350">
            <v>0</v>
          </cell>
          <cell r="L350">
            <v>247</v>
          </cell>
          <cell r="M350">
            <v>283</v>
          </cell>
          <cell r="N350">
            <v>310</v>
          </cell>
          <cell r="O350">
            <v>252</v>
          </cell>
          <cell r="P350">
            <v>272</v>
          </cell>
          <cell r="Q350">
            <v>211</v>
          </cell>
          <cell r="R350">
            <v>198</v>
          </cell>
          <cell r="S350">
            <v>166</v>
          </cell>
          <cell r="T350">
            <v>235</v>
          </cell>
          <cell r="U350">
            <v>166</v>
          </cell>
          <cell r="V350">
            <v>225</v>
          </cell>
          <cell r="W350">
            <v>248</v>
          </cell>
          <cell r="X350">
            <v>265</v>
          </cell>
          <cell r="Y350">
            <v>277</v>
          </cell>
          <cell r="Z350">
            <v>264</v>
          </cell>
          <cell r="AA350">
            <v>262</v>
          </cell>
          <cell r="AB350">
            <v>150</v>
          </cell>
          <cell r="AC350">
            <v>102</v>
          </cell>
          <cell r="AD350">
            <v>128</v>
          </cell>
          <cell r="AE350">
            <v>110</v>
          </cell>
          <cell r="AF350">
            <v>109</v>
          </cell>
          <cell r="AG350">
            <v>197</v>
          </cell>
          <cell r="AH350">
            <v>170</v>
          </cell>
          <cell r="AI350">
            <v>203</v>
          </cell>
          <cell r="AJ350">
            <v>206</v>
          </cell>
          <cell r="AK350">
            <v>270</v>
          </cell>
          <cell r="AL350">
            <v>277</v>
          </cell>
          <cell r="AM350">
            <v>237</v>
          </cell>
          <cell r="AN350">
            <v>173</v>
          </cell>
          <cell r="AO350">
            <v>155</v>
          </cell>
          <cell r="AP350">
            <v>114</v>
          </cell>
          <cell r="AQ350">
            <v>138</v>
          </cell>
          <cell r="AR350">
            <v>197</v>
          </cell>
          <cell r="AS350">
            <v>216</v>
          </cell>
          <cell r="AT350">
            <v>167</v>
          </cell>
          <cell r="AU350" t="e">
            <v>#DIV/0!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G351">
            <v>341</v>
          </cell>
          <cell r="H351" t="str">
            <v>Target (Budget)</v>
          </cell>
          <cell r="I351">
            <v>0</v>
          </cell>
          <cell r="J351">
            <v>0</v>
          </cell>
          <cell r="K351">
            <v>0</v>
          </cell>
          <cell r="L351">
            <v>247</v>
          </cell>
          <cell r="M351">
            <v>283</v>
          </cell>
          <cell r="N351">
            <v>310</v>
          </cell>
          <cell r="O351">
            <v>252</v>
          </cell>
          <cell r="P351">
            <v>272</v>
          </cell>
          <cell r="Q351">
            <v>211</v>
          </cell>
          <cell r="R351">
            <v>198</v>
          </cell>
          <cell r="S351">
            <v>166</v>
          </cell>
          <cell r="T351">
            <v>235</v>
          </cell>
          <cell r="U351">
            <v>166</v>
          </cell>
          <cell r="V351">
            <v>225</v>
          </cell>
          <cell r="W351">
            <v>248</v>
          </cell>
          <cell r="X351">
            <v>245</v>
          </cell>
          <cell r="Y351">
            <v>245</v>
          </cell>
          <cell r="Z351">
            <v>245</v>
          </cell>
          <cell r="AA351">
            <v>245</v>
          </cell>
          <cell r="AB351">
            <v>245</v>
          </cell>
          <cell r="AC351">
            <v>245</v>
          </cell>
          <cell r="AD351">
            <v>245</v>
          </cell>
          <cell r="AE351">
            <v>245</v>
          </cell>
          <cell r="AF351">
            <v>245</v>
          </cell>
          <cell r="AG351">
            <v>245</v>
          </cell>
          <cell r="AH351">
            <v>245</v>
          </cell>
          <cell r="AI351">
            <v>245</v>
          </cell>
          <cell r="AJ351">
            <v>265</v>
          </cell>
          <cell r="AK351">
            <v>277</v>
          </cell>
          <cell r="AL351">
            <v>264</v>
          </cell>
          <cell r="AM351">
            <v>262</v>
          </cell>
          <cell r="AN351">
            <v>150</v>
          </cell>
          <cell r="AO351">
            <v>102</v>
          </cell>
          <cell r="AP351">
            <v>128</v>
          </cell>
          <cell r="AQ351">
            <v>110</v>
          </cell>
          <cell r="AR351">
            <v>109</v>
          </cell>
          <cell r="AS351">
            <v>197</v>
          </cell>
          <cell r="AT351">
            <v>170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G352">
            <v>342</v>
          </cell>
          <cell r="H352" t="str">
            <v>Target (Budget) Variance</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20</v>
          </cell>
          <cell r="Y352">
            <v>32</v>
          </cell>
          <cell r="Z352">
            <v>19</v>
          </cell>
          <cell r="AA352">
            <v>17</v>
          </cell>
          <cell r="AB352">
            <v>-95</v>
          </cell>
          <cell r="AC352">
            <v>-143</v>
          </cell>
          <cell r="AD352">
            <v>-117</v>
          </cell>
          <cell r="AE352">
            <v>-135</v>
          </cell>
          <cell r="AF352">
            <v>-136</v>
          </cell>
          <cell r="AG352">
            <v>-48</v>
          </cell>
          <cell r="AH352">
            <v>-75</v>
          </cell>
          <cell r="AI352">
            <v>-42</v>
          </cell>
          <cell r="AJ352">
            <v>-59</v>
          </cell>
          <cell r="AK352">
            <v>-7</v>
          </cell>
          <cell r="AL352">
            <v>13</v>
          </cell>
          <cell r="AM352">
            <v>-25</v>
          </cell>
          <cell r="AN352">
            <v>23</v>
          </cell>
          <cell r="AO352">
            <v>53</v>
          </cell>
          <cell r="AP352">
            <v>-14</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G353">
            <v>343</v>
          </cell>
          <cell r="H353" t="str">
            <v>Target (Budget) %Var</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8.1632653061224483E-2</v>
          </cell>
          <cell r="Y353">
            <v>0.1306122448979592</v>
          </cell>
          <cell r="Z353">
            <v>7.7551020408163265E-2</v>
          </cell>
          <cell r="AA353">
            <v>6.9387755102040816E-2</v>
          </cell>
          <cell r="AB353">
            <v>-0.38775510204081631</v>
          </cell>
          <cell r="AC353">
            <v>-0.58367346938775511</v>
          </cell>
          <cell r="AD353">
            <v>-0.47755102040816327</v>
          </cell>
          <cell r="AE353">
            <v>-0.55102040816326525</v>
          </cell>
          <cell r="AF353">
            <v>-0.55510204081632653</v>
          </cell>
          <cell r="AG353">
            <v>-0.19591836734693877</v>
          </cell>
          <cell r="AH353">
            <v>-0.30612244897959184</v>
          </cell>
          <cell r="AI353">
            <v>-0.17142857142857143</v>
          </cell>
          <cell r="AJ353">
            <v>-0.22264150943396227</v>
          </cell>
          <cell r="AK353">
            <v>-2.5270758122743681E-2</v>
          </cell>
          <cell r="AL353">
            <v>4.924242424242424E-2</v>
          </cell>
          <cell r="AM353">
            <v>-9.5419847328244281E-2</v>
          </cell>
          <cell r="AN353">
            <v>0.15333333333333332</v>
          </cell>
          <cell r="AO353">
            <v>0.51960784313725494</v>
          </cell>
          <cell r="AP353">
            <v>-0.109375</v>
          </cell>
          <cell r="AQ353" t="e">
            <v>#DIV/0!</v>
          </cell>
          <cell r="AR353" t="e">
            <v>#DIV/0!</v>
          </cell>
          <cell r="AS353" t="e">
            <v>#DIV/0!</v>
          </cell>
          <cell r="AT353" t="e">
            <v>#DIV/0!</v>
          </cell>
          <cell r="AU353" t="e">
            <v>#DIV/0!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G354">
            <v>344</v>
          </cell>
          <cell r="H354" t="str">
            <v>YTD Actual</v>
          </cell>
          <cell r="I354">
            <v>0</v>
          </cell>
          <cell r="J354">
            <v>0</v>
          </cell>
          <cell r="K354">
            <v>0</v>
          </cell>
          <cell r="L354">
            <v>247</v>
          </cell>
          <cell r="M354">
            <v>530</v>
          </cell>
          <cell r="N354">
            <v>840</v>
          </cell>
          <cell r="O354">
            <v>1092</v>
          </cell>
          <cell r="P354">
            <v>1364</v>
          </cell>
          <cell r="Q354">
            <v>1575</v>
          </cell>
          <cell r="R354">
            <v>1773</v>
          </cell>
          <cell r="S354">
            <v>1939</v>
          </cell>
          <cell r="T354">
            <v>2174</v>
          </cell>
          <cell r="U354">
            <v>2340</v>
          </cell>
          <cell r="V354">
            <v>2565</v>
          </cell>
          <cell r="W354">
            <v>2813</v>
          </cell>
          <cell r="X354">
            <v>265</v>
          </cell>
          <cell r="Y354">
            <v>542</v>
          </cell>
          <cell r="Z354">
            <v>806</v>
          </cell>
          <cell r="AA354">
            <v>1068</v>
          </cell>
          <cell r="AB354">
            <v>1218</v>
          </cell>
          <cell r="AC354">
            <v>1320</v>
          </cell>
          <cell r="AD354">
            <v>1448</v>
          </cell>
          <cell r="AE354">
            <v>1558</v>
          </cell>
          <cell r="AF354">
            <v>1667</v>
          </cell>
          <cell r="AG354">
            <v>1864</v>
          </cell>
          <cell r="AH354">
            <v>2034</v>
          </cell>
          <cell r="AI354">
            <v>2237</v>
          </cell>
          <cell r="AJ354">
            <v>206</v>
          </cell>
          <cell r="AK354">
            <v>476</v>
          </cell>
          <cell r="AL354">
            <v>753</v>
          </cell>
          <cell r="AM354">
            <v>990</v>
          </cell>
          <cell r="AN354">
            <v>1163</v>
          </cell>
          <cell r="AO354">
            <v>1318</v>
          </cell>
          <cell r="AP354">
            <v>1432</v>
          </cell>
          <cell r="AQ354">
            <v>1432</v>
          </cell>
          <cell r="AR354">
            <v>1432</v>
          </cell>
          <cell r="AS354">
            <v>1432</v>
          </cell>
          <cell r="AT354">
            <v>1432</v>
          </cell>
          <cell r="AU354">
            <v>1432</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G355">
            <v>345</v>
          </cell>
          <cell r="H355" t="str">
            <v>YTD Target (Budget)</v>
          </cell>
          <cell r="I355">
            <v>0</v>
          </cell>
          <cell r="J355">
            <v>0</v>
          </cell>
          <cell r="K355">
            <v>0</v>
          </cell>
          <cell r="L355">
            <v>247</v>
          </cell>
          <cell r="M355">
            <v>530</v>
          </cell>
          <cell r="N355">
            <v>840</v>
          </cell>
          <cell r="O355">
            <v>1092</v>
          </cell>
          <cell r="P355">
            <v>1364</v>
          </cell>
          <cell r="Q355">
            <v>1575</v>
          </cell>
          <cell r="R355">
            <v>1773</v>
          </cell>
          <cell r="S355">
            <v>1939</v>
          </cell>
          <cell r="T355">
            <v>2174</v>
          </cell>
          <cell r="U355">
            <v>2340</v>
          </cell>
          <cell r="V355">
            <v>2565</v>
          </cell>
          <cell r="W355">
            <v>2813</v>
          </cell>
          <cell r="X355">
            <v>245</v>
          </cell>
          <cell r="Y355">
            <v>490</v>
          </cell>
          <cell r="Z355">
            <v>735</v>
          </cell>
          <cell r="AA355">
            <v>980</v>
          </cell>
          <cell r="AB355">
            <v>1225</v>
          </cell>
          <cell r="AC355">
            <v>1470</v>
          </cell>
          <cell r="AD355">
            <v>1715</v>
          </cell>
          <cell r="AE355">
            <v>1960</v>
          </cell>
          <cell r="AF355">
            <v>2205</v>
          </cell>
          <cell r="AG355">
            <v>2450</v>
          </cell>
          <cell r="AH355">
            <v>2695</v>
          </cell>
          <cell r="AI355">
            <v>2940</v>
          </cell>
          <cell r="AJ355">
            <v>265</v>
          </cell>
          <cell r="AK355">
            <v>542</v>
          </cell>
          <cell r="AL355">
            <v>806</v>
          </cell>
          <cell r="AM355">
            <v>1068</v>
          </cell>
          <cell r="AN355">
            <v>1218</v>
          </cell>
          <cell r="AO355">
            <v>1320</v>
          </cell>
          <cell r="AP355">
            <v>1448</v>
          </cell>
          <cell r="AQ355">
            <v>1448</v>
          </cell>
          <cell r="AR355">
            <v>1448</v>
          </cell>
          <cell r="AS355">
            <v>1448</v>
          </cell>
          <cell r="AT355">
            <v>1448</v>
          </cell>
          <cell r="AU355">
            <v>1448</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G356">
            <v>346</v>
          </cell>
          <cell r="H356" t="str">
            <v>YTD Target (Budget) Var</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20</v>
          </cell>
          <cell r="Y356">
            <v>52</v>
          </cell>
          <cell r="Z356">
            <v>71</v>
          </cell>
          <cell r="AA356">
            <v>88</v>
          </cell>
          <cell r="AB356">
            <v>-7</v>
          </cell>
          <cell r="AC356">
            <v>-150</v>
          </cell>
          <cell r="AD356">
            <v>-267</v>
          </cell>
          <cell r="AE356">
            <v>-402</v>
          </cell>
          <cell r="AF356">
            <v>-538</v>
          </cell>
          <cell r="AG356">
            <v>-586</v>
          </cell>
          <cell r="AH356">
            <v>-661</v>
          </cell>
          <cell r="AI356">
            <v>-703</v>
          </cell>
          <cell r="AJ356">
            <v>-59</v>
          </cell>
          <cell r="AK356">
            <v>-66</v>
          </cell>
          <cell r="AL356">
            <v>-53</v>
          </cell>
          <cell r="AM356">
            <v>-78</v>
          </cell>
          <cell r="AN356">
            <v>-55</v>
          </cell>
          <cell r="AO356">
            <v>-2</v>
          </cell>
          <cell r="AP356">
            <v>-16</v>
          </cell>
          <cell r="AQ356">
            <v>-16</v>
          </cell>
          <cell r="AR356">
            <v>-16</v>
          </cell>
          <cell r="AS356">
            <v>-16</v>
          </cell>
          <cell r="AT356">
            <v>-16</v>
          </cell>
          <cell r="AU356">
            <v>-16</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G357">
            <v>347</v>
          </cell>
          <cell r="H357" t="str">
            <v>YTD %Var</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8.1632653061224483E-2</v>
          </cell>
          <cell r="Y357">
            <v>0.10612244897959183</v>
          </cell>
          <cell r="Z357">
            <v>9.6598639455782315E-2</v>
          </cell>
          <cell r="AA357">
            <v>8.9795918367346933E-2</v>
          </cell>
          <cell r="AB357">
            <v>-5.7142857142857143E-3</v>
          </cell>
          <cell r="AC357">
            <v>-0.10204081632653061</v>
          </cell>
          <cell r="AD357">
            <v>-0.15568513119533528</v>
          </cell>
          <cell r="AE357">
            <v>-0.20510204081632652</v>
          </cell>
          <cell r="AF357">
            <v>-0.24399092970521541</v>
          </cell>
          <cell r="AG357">
            <v>-0.23918367346938776</v>
          </cell>
          <cell r="AH357">
            <v>-0.24526901669758813</v>
          </cell>
          <cell r="AI357">
            <v>-0.2391156462585034</v>
          </cell>
          <cell r="AJ357">
            <v>-0.22264150943396227</v>
          </cell>
          <cell r="AK357">
            <v>-0.12177121771217712</v>
          </cell>
          <cell r="AL357">
            <v>-6.5756823821339946E-2</v>
          </cell>
          <cell r="AM357">
            <v>-7.3033707865168537E-2</v>
          </cell>
          <cell r="AN357">
            <v>-4.5155993431855501E-2</v>
          </cell>
          <cell r="AO357">
            <v>-1.5151515151515152E-3</v>
          </cell>
          <cell r="AP357">
            <v>-1.1049723756906077E-2</v>
          </cell>
          <cell r="AQ357">
            <v>-1.1049723756906077E-2</v>
          </cell>
          <cell r="AR357">
            <v>-1.1049723756906077E-2</v>
          </cell>
          <cell r="AS357">
            <v>-1.1049723756906077E-2</v>
          </cell>
          <cell r="AT357">
            <v>-1.1049723756906077E-2</v>
          </cell>
          <cell r="AU357">
            <v>-1.1049723756906077E-2</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G358">
            <v>348</v>
          </cell>
          <cell r="H358" t="str">
            <v>4 Month Actual</v>
          </cell>
          <cell r="I358">
            <v>0</v>
          </cell>
          <cell r="J358">
            <v>0</v>
          </cell>
          <cell r="K358">
            <v>0</v>
          </cell>
          <cell r="L358">
            <v>247</v>
          </cell>
          <cell r="M358">
            <v>530</v>
          </cell>
          <cell r="N358">
            <v>840</v>
          </cell>
          <cell r="O358">
            <v>1092</v>
          </cell>
          <cell r="P358">
            <v>1117</v>
          </cell>
          <cell r="Q358">
            <v>1045</v>
          </cell>
          <cell r="R358">
            <v>933</v>
          </cell>
          <cell r="S358">
            <v>847</v>
          </cell>
          <cell r="T358">
            <v>810</v>
          </cell>
          <cell r="U358">
            <v>765</v>
          </cell>
          <cell r="V358">
            <v>792</v>
          </cell>
          <cell r="W358">
            <v>874</v>
          </cell>
          <cell r="X358">
            <v>904</v>
          </cell>
          <cell r="Y358">
            <v>1015</v>
          </cell>
          <cell r="Z358">
            <v>1054</v>
          </cell>
          <cell r="AA358">
            <v>1068</v>
          </cell>
          <cell r="AB358">
            <v>953</v>
          </cell>
          <cell r="AC358">
            <v>778</v>
          </cell>
          <cell r="AD358">
            <v>642</v>
          </cell>
          <cell r="AE358">
            <v>490</v>
          </cell>
          <cell r="AF358">
            <v>449</v>
          </cell>
          <cell r="AG358">
            <v>544</v>
          </cell>
          <cell r="AH358">
            <v>586</v>
          </cell>
          <cell r="AI358">
            <v>679</v>
          </cell>
          <cell r="AJ358">
            <v>776</v>
          </cell>
          <cell r="AK358">
            <v>849</v>
          </cell>
          <cell r="AL358">
            <v>956</v>
          </cell>
          <cell r="AM358">
            <v>990</v>
          </cell>
          <cell r="AN358">
            <v>957</v>
          </cell>
          <cell r="AO358">
            <v>842</v>
          </cell>
          <cell r="AP358">
            <v>679</v>
          </cell>
          <cell r="AQ358">
            <v>442</v>
          </cell>
          <cell r="AR358">
            <v>269</v>
          </cell>
          <cell r="AS358">
            <v>114</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G359">
            <v>349</v>
          </cell>
          <cell r="H359" t="str">
            <v>4 Month Target (Budget)</v>
          </cell>
          <cell r="I359">
            <v>0</v>
          </cell>
          <cell r="J359">
            <v>0</v>
          </cell>
          <cell r="K359">
            <v>0</v>
          </cell>
          <cell r="L359">
            <v>247</v>
          </cell>
          <cell r="M359">
            <v>530</v>
          </cell>
          <cell r="N359">
            <v>840</v>
          </cell>
          <cell r="O359">
            <v>1092</v>
          </cell>
          <cell r="P359">
            <v>1117</v>
          </cell>
          <cell r="Q359">
            <v>1045</v>
          </cell>
          <cell r="R359">
            <v>933</v>
          </cell>
          <cell r="S359">
            <v>847</v>
          </cell>
          <cell r="T359">
            <v>810</v>
          </cell>
          <cell r="U359">
            <v>765</v>
          </cell>
          <cell r="V359">
            <v>792</v>
          </cell>
          <cell r="W359">
            <v>874</v>
          </cell>
          <cell r="X359">
            <v>884</v>
          </cell>
          <cell r="Y359">
            <v>963</v>
          </cell>
          <cell r="Z359">
            <v>983</v>
          </cell>
          <cell r="AA359">
            <v>980</v>
          </cell>
          <cell r="AB359">
            <v>980</v>
          </cell>
          <cell r="AC359">
            <v>980</v>
          </cell>
          <cell r="AD359">
            <v>980</v>
          </cell>
          <cell r="AE359">
            <v>980</v>
          </cell>
          <cell r="AF359">
            <v>980</v>
          </cell>
          <cell r="AG359">
            <v>980</v>
          </cell>
          <cell r="AH359">
            <v>980</v>
          </cell>
          <cell r="AI359">
            <v>980</v>
          </cell>
          <cell r="AJ359">
            <v>1000</v>
          </cell>
          <cell r="AK359">
            <v>1032</v>
          </cell>
          <cell r="AL359">
            <v>1051</v>
          </cell>
          <cell r="AM359">
            <v>1068</v>
          </cell>
          <cell r="AN359">
            <v>953</v>
          </cell>
          <cell r="AO359">
            <v>778</v>
          </cell>
          <cell r="AP359">
            <v>642</v>
          </cell>
          <cell r="AQ359">
            <v>380</v>
          </cell>
          <cell r="AR359">
            <v>230</v>
          </cell>
          <cell r="AS359">
            <v>128</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G360">
            <v>350</v>
          </cell>
          <cell r="H360" t="str">
            <v>4 Month Target (Budget) Var</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20</v>
          </cell>
          <cell r="Y360">
            <v>52</v>
          </cell>
          <cell r="Z360">
            <v>71</v>
          </cell>
          <cell r="AA360">
            <v>88</v>
          </cell>
          <cell r="AB360">
            <v>-27</v>
          </cell>
          <cell r="AC360">
            <v>-202</v>
          </cell>
          <cell r="AD360">
            <v>-338</v>
          </cell>
          <cell r="AE360">
            <v>-490</v>
          </cell>
          <cell r="AF360">
            <v>-531</v>
          </cell>
          <cell r="AG360">
            <v>-436</v>
          </cell>
          <cell r="AH360">
            <v>-394</v>
          </cell>
          <cell r="AI360">
            <v>-301</v>
          </cell>
          <cell r="AJ360">
            <v>-224</v>
          </cell>
          <cell r="AK360">
            <v>-183</v>
          </cell>
          <cell r="AL360">
            <v>-95</v>
          </cell>
          <cell r="AM360">
            <v>-78</v>
          </cell>
          <cell r="AN360">
            <v>4</v>
          </cell>
          <cell r="AO360">
            <v>64</v>
          </cell>
          <cell r="AP360">
            <v>37</v>
          </cell>
          <cell r="AQ360">
            <v>62</v>
          </cell>
          <cell r="AR360">
            <v>39</v>
          </cell>
          <cell r="AS360">
            <v>-14</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G361">
            <v>351</v>
          </cell>
          <cell r="H361" t="str">
            <v>4 Month Target (Budget) % Var</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2.2624434389140271E-2</v>
          </cell>
          <cell r="Y361">
            <v>5.3997923156801658E-2</v>
          </cell>
          <cell r="Z361">
            <v>7.2227873855544258E-2</v>
          </cell>
          <cell r="AA361">
            <v>8.9795918367346933E-2</v>
          </cell>
          <cell r="AB361">
            <v>-2.7551020408163266E-2</v>
          </cell>
          <cell r="AC361">
            <v>-0.20612244897959184</v>
          </cell>
          <cell r="AD361">
            <v>-0.3448979591836735</v>
          </cell>
          <cell r="AE361">
            <v>-0.5</v>
          </cell>
          <cell r="AF361">
            <v>-0.5418367346938775</v>
          </cell>
          <cell r="AG361">
            <v>-0.44489795918367347</v>
          </cell>
          <cell r="AH361">
            <v>-0.4020408163265306</v>
          </cell>
          <cell r="AI361">
            <v>-0.30714285714285716</v>
          </cell>
          <cell r="AJ361">
            <v>-0.224</v>
          </cell>
          <cell r="AK361">
            <v>-0.17732558139534885</v>
          </cell>
          <cell r="AL361">
            <v>-9.0390104662226453E-2</v>
          </cell>
          <cell r="AM361">
            <v>-7.3033707865168537E-2</v>
          </cell>
          <cell r="AN361">
            <v>4.1972717733473244E-3</v>
          </cell>
          <cell r="AO361">
            <v>8.2262210796915161E-2</v>
          </cell>
          <cell r="AP361">
            <v>5.763239875389408E-2</v>
          </cell>
          <cell r="AQ361">
            <v>0.16315789473684211</v>
          </cell>
          <cell r="AR361">
            <v>0.16956521739130434</v>
          </cell>
          <cell r="AS361">
            <v>-0.109375</v>
          </cell>
          <cell r="AT361" t="e">
            <v>#DIV/0!</v>
          </cell>
          <cell r="AU361" t="e">
            <v>#DIV/0!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G362">
            <v>352</v>
          </cell>
          <cell r="H362" t="str">
            <v>Actual</v>
          </cell>
          <cell r="I362">
            <v>0</v>
          </cell>
          <cell r="J362">
            <v>0</v>
          </cell>
          <cell r="K362">
            <v>0</v>
          </cell>
          <cell r="L362">
            <v>2071687</v>
          </cell>
          <cell r="M362">
            <v>2457486</v>
          </cell>
          <cell r="N362">
            <v>5898379</v>
          </cell>
          <cell r="O362">
            <v>3027949</v>
          </cell>
          <cell r="P362">
            <v>2787882</v>
          </cell>
          <cell r="Q362">
            <v>4902427</v>
          </cell>
          <cell r="R362">
            <v>2234957</v>
          </cell>
          <cell r="S362">
            <v>2112203</v>
          </cell>
          <cell r="T362">
            <v>4431386</v>
          </cell>
          <cell r="U362">
            <v>2396437</v>
          </cell>
          <cell r="V362">
            <v>2243524</v>
          </cell>
          <cell r="W362">
            <v>4411133</v>
          </cell>
          <cell r="X362">
            <v>2392477</v>
          </cell>
          <cell r="Y362">
            <v>2414478</v>
          </cell>
          <cell r="Z362">
            <v>6647592</v>
          </cell>
          <cell r="AA362">
            <v>3320574</v>
          </cell>
          <cell r="AB362">
            <v>2476507</v>
          </cell>
          <cell r="AC362">
            <v>5113280</v>
          </cell>
          <cell r="AD362">
            <v>2308142</v>
          </cell>
          <cell r="AE362">
            <v>2120227</v>
          </cell>
          <cell r="AF362">
            <v>4396602</v>
          </cell>
          <cell r="AG362">
            <v>2327214</v>
          </cell>
          <cell r="AH362">
            <v>2250848</v>
          </cell>
          <cell r="AI362">
            <v>4933495</v>
          </cell>
          <cell r="AJ362">
            <v>2246029</v>
          </cell>
          <cell r="AK362">
            <v>2530079</v>
          </cell>
          <cell r="AL362">
            <v>4333250</v>
          </cell>
          <cell r="AM362">
            <v>3968630</v>
          </cell>
          <cell r="AN362">
            <v>2616062</v>
          </cell>
          <cell r="AO362">
            <v>4174901</v>
          </cell>
          <cell r="AP362">
            <v>2460333</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G363">
            <v>353</v>
          </cell>
          <cell r="H363" t="str">
            <v>Target (Budget)</v>
          </cell>
          <cell r="I363">
            <v>0</v>
          </cell>
          <cell r="J363">
            <v>0</v>
          </cell>
          <cell r="K363">
            <v>0</v>
          </cell>
          <cell r="L363">
            <v>2040780</v>
          </cell>
          <cell r="M363">
            <v>2624509</v>
          </cell>
          <cell r="N363">
            <v>5012218</v>
          </cell>
          <cell r="O363">
            <v>3085957</v>
          </cell>
          <cell r="P363">
            <v>2483068</v>
          </cell>
          <cell r="Q363">
            <v>4511118</v>
          </cell>
          <cell r="R363">
            <v>2687231</v>
          </cell>
          <cell r="S363">
            <v>2243757</v>
          </cell>
          <cell r="T363">
            <v>4137880</v>
          </cell>
          <cell r="U363">
            <v>2387540</v>
          </cell>
          <cell r="V363">
            <v>2145334</v>
          </cell>
          <cell r="W363">
            <v>4851560</v>
          </cell>
          <cell r="X363">
            <v>2518910</v>
          </cell>
          <cell r="Y363">
            <v>2313491</v>
          </cell>
          <cell r="Z363">
            <v>6361237</v>
          </cell>
          <cell r="AA363">
            <v>2783039</v>
          </cell>
          <cell r="AB363">
            <v>2623103</v>
          </cell>
          <cell r="AC363">
            <v>4734179</v>
          </cell>
          <cell r="AD363">
            <v>2297405</v>
          </cell>
          <cell r="AE363">
            <v>2144197</v>
          </cell>
          <cell r="AF363">
            <v>4625970</v>
          </cell>
          <cell r="AG363">
            <v>2312733</v>
          </cell>
          <cell r="AH363">
            <v>2133090</v>
          </cell>
          <cell r="AI363">
            <v>4410911</v>
          </cell>
          <cell r="AJ363">
            <v>2094906</v>
          </cell>
          <cell r="AK363">
            <v>2478791</v>
          </cell>
          <cell r="AL363">
            <v>4541929</v>
          </cell>
          <cell r="AM363">
            <v>4063572</v>
          </cell>
          <cell r="AN363">
            <v>2543109</v>
          </cell>
          <cell r="AO363">
            <v>4543334</v>
          </cell>
          <cell r="AP363">
            <v>2306172</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G364">
            <v>354</v>
          </cell>
          <cell r="H364" t="str">
            <v>Target (Budget) Variance</v>
          </cell>
          <cell r="I364">
            <v>0</v>
          </cell>
          <cell r="J364">
            <v>0</v>
          </cell>
          <cell r="K364">
            <v>0</v>
          </cell>
          <cell r="L364">
            <v>30907</v>
          </cell>
          <cell r="M364">
            <v>-167023</v>
          </cell>
          <cell r="N364">
            <v>886161</v>
          </cell>
          <cell r="O364">
            <v>-58008</v>
          </cell>
          <cell r="P364">
            <v>304814</v>
          </cell>
          <cell r="Q364">
            <v>391309</v>
          </cell>
          <cell r="R364">
            <v>-452274</v>
          </cell>
          <cell r="S364">
            <v>-131554</v>
          </cell>
          <cell r="T364">
            <v>293506</v>
          </cell>
          <cell r="U364">
            <v>8897</v>
          </cell>
          <cell r="V364">
            <v>98190</v>
          </cell>
          <cell r="W364">
            <v>-440427</v>
          </cell>
          <cell r="X364">
            <v>-126433</v>
          </cell>
          <cell r="Y364">
            <v>100987</v>
          </cell>
          <cell r="Z364">
            <v>286355</v>
          </cell>
          <cell r="AA364">
            <v>537535</v>
          </cell>
          <cell r="AB364">
            <v>-146596</v>
          </cell>
          <cell r="AC364">
            <v>379101</v>
          </cell>
          <cell r="AD364">
            <v>10737</v>
          </cell>
          <cell r="AE364">
            <v>-23970</v>
          </cell>
          <cell r="AF364">
            <v>-229368</v>
          </cell>
          <cell r="AG364">
            <v>14481</v>
          </cell>
          <cell r="AH364">
            <v>117758</v>
          </cell>
          <cell r="AI364">
            <v>522584</v>
          </cell>
          <cell r="AJ364">
            <v>151123</v>
          </cell>
          <cell r="AK364">
            <v>51288</v>
          </cell>
          <cell r="AL364">
            <v>-208679</v>
          </cell>
          <cell r="AM364">
            <v>-94942</v>
          </cell>
          <cell r="AN364">
            <v>72953</v>
          </cell>
          <cell r="AO364">
            <v>-368433</v>
          </cell>
          <cell r="AP364">
            <v>154161</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G365">
            <v>355</v>
          </cell>
          <cell r="H365" t="str">
            <v>Target (Budget) %Var</v>
          </cell>
          <cell r="I365">
            <v>0</v>
          </cell>
          <cell r="J365">
            <v>0</v>
          </cell>
          <cell r="K365">
            <v>0</v>
          </cell>
          <cell r="L365">
            <v>1.5144699575652447E-2</v>
          </cell>
          <cell r="M365">
            <v>-6.3639713180636839E-2</v>
          </cell>
          <cell r="N365">
            <v>0.17680017110189541</v>
          </cell>
          <cell r="O365">
            <v>-1.8797410333326096E-2</v>
          </cell>
          <cell r="P365">
            <v>0.12275700866830871</v>
          </cell>
          <cell r="Q365">
            <v>8.6743241919187211E-2</v>
          </cell>
          <cell r="R365">
            <v>-0.16830484614087884</v>
          </cell>
          <cell r="S365">
            <v>-5.863112627615201E-2</v>
          </cell>
          <cell r="T365">
            <v>7.0931491488395018E-2</v>
          </cell>
          <cell r="U365">
            <v>3.7264297142665672E-3</v>
          </cell>
          <cell r="V365">
            <v>4.5769097026383772E-2</v>
          </cell>
          <cell r="W365">
            <v>-9.0780491223441534E-2</v>
          </cell>
          <cell r="X365">
            <v>-5.0193536092992604E-2</v>
          </cell>
          <cell r="Y365">
            <v>4.3651347681923122E-2</v>
          </cell>
          <cell r="Z365">
            <v>4.5015615673492437E-2</v>
          </cell>
          <cell r="AA365">
            <v>0.19314677228741675</v>
          </cell>
          <cell r="AB365">
            <v>-5.5886482536141355E-2</v>
          </cell>
          <cell r="AC365">
            <v>8.0077453767590956E-2</v>
          </cell>
          <cell r="AD365">
            <v>4.6735338349137394E-3</v>
          </cell>
          <cell r="AE365">
            <v>-1.1179010137594633E-2</v>
          </cell>
          <cell r="AF365">
            <v>-4.9582682118561081E-2</v>
          </cell>
          <cell r="AG365">
            <v>6.2614231733624246E-3</v>
          </cell>
          <cell r="AH365">
            <v>5.520535936130215E-2</v>
          </cell>
          <cell r="AI365">
            <v>0.11847529909354326</v>
          </cell>
          <cell r="AJ365">
            <v>7.2138320287401914E-2</v>
          </cell>
          <cell r="AK365">
            <v>2.0690731893088204E-2</v>
          </cell>
          <cell r="AL365">
            <v>-4.5945015873211578E-2</v>
          </cell>
          <cell r="AM365">
            <v>-2.3364173195405423E-2</v>
          </cell>
          <cell r="AN365">
            <v>2.8686540765653381E-2</v>
          </cell>
          <cell r="AO365">
            <v>-8.1093091549069476E-2</v>
          </cell>
          <cell r="AP365">
            <v>6.6847138895104088E-2</v>
          </cell>
          <cell r="AQ365" t="e">
            <v>#DIV/0!</v>
          </cell>
          <cell r="AR365" t="e">
            <v>#DIV/0!</v>
          </cell>
          <cell r="AS365" t="e">
            <v>#DIV/0!</v>
          </cell>
          <cell r="AT365" t="e">
            <v>#DIV/0!</v>
          </cell>
          <cell r="AU365" t="e">
            <v>#DIV/0!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G366">
            <v>356</v>
          </cell>
          <cell r="H366" t="str">
            <v>YTD Actual</v>
          </cell>
          <cell r="I366">
            <v>0</v>
          </cell>
          <cell r="J366">
            <v>0</v>
          </cell>
          <cell r="K366">
            <v>0</v>
          </cell>
          <cell r="L366">
            <v>2071687</v>
          </cell>
          <cell r="M366">
            <v>4529173</v>
          </cell>
          <cell r="N366">
            <v>10427552</v>
          </cell>
          <cell r="O366">
            <v>13455501</v>
          </cell>
          <cell r="P366">
            <v>16243838</v>
          </cell>
          <cell r="Q366">
            <v>21145810</v>
          </cell>
          <cell r="R366">
            <v>23380767</v>
          </cell>
          <cell r="S366">
            <v>25492970</v>
          </cell>
          <cell r="T366">
            <v>29924356</v>
          </cell>
          <cell r="U366">
            <v>32320793</v>
          </cell>
          <cell r="V366">
            <v>34564317</v>
          </cell>
          <cell r="W366">
            <v>38975449</v>
          </cell>
          <cell r="X366">
            <v>2392477</v>
          </cell>
          <cell r="Y366">
            <v>4719854</v>
          </cell>
          <cell r="Z366">
            <v>11367446</v>
          </cell>
          <cell r="AA366">
            <v>14688020</v>
          </cell>
          <cell r="AB366">
            <v>17164527</v>
          </cell>
          <cell r="AC366">
            <v>22277807</v>
          </cell>
          <cell r="AD366">
            <v>24585949</v>
          </cell>
          <cell r="AE366">
            <v>26706176</v>
          </cell>
          <cell r="AF366">
            <v>31102779</v>
          </cell>
          <cell r="AG366">
            <v>33429993</v>
          </cell>
          <cell r="AH366">
            <v>35680840</v>
          </cell>
          <cell r="AI366">
            <v>40614336</v>
          </cell>
          <cell r="AJ366">
            <v>2246029</v>
          </cell>
          <cell r="AK366">
            <v>4762651</v>
          </cell>
          <cell r="AL366">
            <v>9095902</v>
          </cell>
          <cell r="AM366">
            <v>13064531</v>
          </cell>
          <cell r="AN366">
            <v>15680593</v>
          </cell>
          <cell r="AO366">
            <v>19855495</v>
          </cell>
          <cell r="AP366">
            <v>22315828</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G367">
            <v>357</v>
          </cell>
          <cell r="H367" t="str">
            <v>YTD Target (Budget)</v>
          </cell>
          <cell r="I367">
            <v>0</v>
          </cell>
          <cell r="J367">
            <v>0</v>
          </cell>
          <cell r="K367">
            <v>0</v>
          </cell>
          <cell r="L367">
            <v>2040780</v>
          </cell>
          <cell r="M367">
            <v>4732595</v>
          </cell>
          <cell r="N367">
            <v>9735067</v>
          </cell>
          <cell r="O367">
            <v>12873591</v>
          </cell>
          <cell r="P367">
            <v>15725245</v>
          </cell>
          <cell r="Q367">
            <v>20236363</v>
          </cell>
          <cell r="R367">
            <v>22917846</v>
          </cell>
          <cell r="S367">
            <v>25161603</v>
          </cell>
          <cell r="T367">
            <v>29299483</v>
          </cell>
          <cell r="U367">
            <v>31687023</v>
          </cell>
          <cell r="V367">
            <v>33832357</v>
          </cell>
          <cell r="W367">
            <v>38683917</v>
          </cell>
          <cell r="X367">
            <v>2518910</v>
          </cell>
          <cell r="Y367">
            <v>4339224</v>
          </cell>
          <cell r="Z367">
            <v>10700461</v>
          </cell>
          <cell r="AA367">
            <v>13483500</v>
          </cell>
          <cell r="AB367">
            <v>16106603</v>
          </cell>
          <cell r="AC367">
            <v>20840782</v>
          </cell>
          <cell r="AD367">
            <v>23147668</v>
          </cell>
          <cell r="AE367">
            <v>25291865</v>
          </cell>
          <cell r="AF367">
            <v>29917835</v>
          </cell>
          <cell r="AG367">
            <v>32230568</v>
          </cell>
          <cell r="AH367">
            <v>34363658</v>
          </cell>
          <cell r="AI367">
            <v>38774569</v>
          </cell>
          <cell r="AJ367">
            <v>2094906</v>
          </cell>
          <cell r="AK367">
            <v>4808422</v>
          </cell>
          <cell r="AL367">
            <v>9351755</v>
          </cell>
          <cell r="AM367">
            <v>13415327</v>
          </cell>
          <cell r="AN367">
            <v>15958436</v>
          </cell>
          <cell r="AO367">
            <v>20501770</v>
          </cell>
          <cell r="AP367">
            <v>22807942</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G368">
            <v>358</v>
          </cell>
          <cell r="H368" t="str">
            <v>YTD Target (Budget) Var</v>
          </cell>
          <cell r="I368">
            <v>0</v>
          </cell>
          <cell r="J368">
            <v>0</v>
          </cell>
          <cell r="K368">
            <v>0</v>
          </cell>
          <cell r="L368">
            <v>30907</v>
          </cell>
          <cell r="M368">
            <v>-203422</v>
          </cell>
          <cell r="N368">
            <v>692485</v>
          </cell>
          <cell r="O368">
            <v>581910</v>
          </cell>
          <cell r="P368">
            <v>518593</v>
          </cell>
          <cell r="Q368">
            <v>909447</v>
          </cell>
          <cell r="R368">
            <v>462921</v>
          </cell>
          <cell r="S368">
            <v>331367</v>
          </cell>
          <cell r="T368">
            <v>624873</v>
          </cell>
          <cell r="U368">
            <v>633770</v>
          </cell>
          <cell r="V368">
            <v>731960</v>
          </cell>
          <cell r="W368">
            <v>291532</v>
          </cell>
          <cell r="X368">
            <v>-126433</v>
          </cell>
          <cell r="Y368">
            <v>380630</v>
          </cell>
          <cell r="Z368">
            <v>666985</v>
          </cell>
          <cell r="AA368">
            <v>1204520</v>
          </cell>
          <cell r="AB368">
            <v>1057924</v>
          </cell>
          <cell r="AC368">
            <v>1437025</v>
          </cell>
          <cell r="AD368">
            <v>1438281</v>
          </cell>
          <cell r="AE368">
            <v>1414311</v>
          </cell>
          <cell r="AF368">
            <v>1184944</v>
          </cell>
          <cell r="AG368">
            <v>1199425</v>
          </cell>
          <cell r="AH368">
            <v>1317182</v>
          </cell>
          <cell r="AI368">
            <v>1839767</v>
          </cell>
          <cell r="AJ368">
            <v>151123</v>
          </cell>
          <cell r="AK368">
            <v>-45771</v>
          </cell>
          <cell r="AL368">
            <v>-255853</v>
          </cell>
          <cell r="AM368">
            <v>-350796</v>
          </cell>
          <cell r="AN368">
            <v>-277843</v>
          </cell>
          <cell r="AO368">
            <v>-646275</v>
          </cell>
          <cell r="AP368">
            <v>-492114</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G369">
            <v>359</v>
          </cell>
          <cell r="H369" t="str">
            <v>YTD %Var</v>
          </cell>
          <cell r="I369">
            <v>0</v>
          </cell>
          <cell r="J369">
            <v>0</v>
          </cell>
          <cell r="K369">
            <v>0</v>
          </cell>
          <cell r="L369">
            <v>1.5144699575652447E-2</v>
          </cell>
          <cell r="M369">
            <v>-4.2983183644491024E-2</v>
          </cell>
          <cell r="N369">
            <v>7.1133049212707009E-2</v>
          </cell>
          <cell r="O369">
            <v>4.5201839952815029E-2</v>
          </cell>
          <cell r="P369">
            <v>3.2978373309922995E-2</v>
          </cell>
          <cell r="Q369">
            <v>4.4941227828340501E-2</v>
          </cell>
          <cell r="R369">
            <v>2.0199149605944641E-2</v>
          </cell>
          <cell r="S369">
            <v>1.3169550445573757E-2</v>
          </cell>
          <cell r="T369">
            <v>2.1327099867257043E-2</v>
          </cell>
          <cell r="U369">
            <v>2.0000932242830134E-2</v>
          </cell>
          <cell r="V369">
            <v>2.1634910035975324E-2</v>
          </cell>
          <cell r="W369">
            <v>7.5362585438284342E-3</v>
          </cell>
          <cell r="X369">
            <v>-5.0193536092992604E-2</v>
          </cell>
          <cell r="Y369">
            <v>8.7718449197368015E-2</v>
          </cell>
          <cell r="Z369">
            <v>6.2332361194531713E-2</v>
          </cell>
          <cell r="AA369">
            <v>8.933288834501428E-2</v>
          </cell>
          <cell r="AB369">
            <v>6.5682627180914555E-2</v>
          </cell>
          <cell r="AC369">
            <v>6.8952546982162188E-2</v>
          </cell>
          <cell r="AD369">
            <v>6.2135028029605403E-2</v>
          </cell>
          <cell r="AE369">
            <v>5.5919601025863457E-2</v>
          </cell>
          <cell r="AF369">
            <v>3.960660923492626E-2</v>
          </cell>
          <cell r="AG369">
            <v>3.7213895827091843E-2</v>
          </cell>
          <cell r="AH369">
            <v>3.8330668987568206E-2</v>
          </cell>
          <cell r="AI369">
            <v>4.7447774338897228E-2</v>
          </cell>
          <cell r="AJ369">
            <v>7.2138320287401914E-2</v>
          </cell>
          <cell r="AK369">
            <v>-9.5189232559039112E-3</v>
          </cell>
          <cell r="AL369">
            <v>-2.7358821953740235E-2</v>
          </cell>
          <cell r="AM369">
            <v>-2.6148896705984134E-2</v>
          </cell>
          <cell r="AN369">
            <v>-1.7410415406622554E-2</v>
          </cell>
          <cell r="AO369">
            <v>-3.1522888023814533E-2</v>
          </cell>
          <cell r="AP369">
            <v>-2.1576431578088019E-2</v>
          </cell>
          <cell r="AQ369" t="e">
            <v>#DIV/0!</v>
          </cell>
          <cell r="AR369" t="e">
            <v>#DIV/0!</v>
          </cell>
          <cell r="AS369" t="e">
            <v>#DIV/0!</v>
          </cell>
          <cell r="AT369" t="e">
            <v>#DIV/0!</v>
          </cell>
          <cell r="AU369" t="e">
            <v>#DIV/0!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G370">
            <v>360</v>
          </cell>
          <cell r="H370" t="str">
            <v>4 Month Actual</v>
          </cell>
          <cell r="I370">
            <v>0</v>
          </cell>
          <cell r="J370">
            <v>0</v>
          </cell>
          <cell r="K370">
            <v>0</v>
          </cell>
          <cell r="L370">
            <v>2071687</v>
          </cell>
          <cell r="M370">
            <v>4529173</v>
          </cell>
          <cell r="N370">
            <v>10427552</v>
          </cell>
          <cell r="O370">
            <v>13455501</v>
          </cell>
          <cell r="P370">
            <v>14171696</v>
          </cell>
          <cell r="Q370">
            <v>16616637</v>
          </cell>
          <cell r="R370">
            <v>12953215</v>
          </cell>
          <cell r="S370">
            <v>12037469</v>
          </cell>
          <cell r="T370">
            <v>13680973</v>
          </cell>
          <cell r="U370">
            <v>11174983</v>
          </cell>
          <cell r="V370">
            <v>11183550</v>
          </cell>
          <cell r="W370">
            <v>13482480</v>
          </cell>
          <cell r="X370">
            <v>11443571</v>
          </cell>
          <cell r="Y370">
            <v>11461612</v>
          </cell>
          <cell r="Z370">
            <v>15865680</v>
          </cell>
          <cell r="AA370">
            <v>14775121</v>
          </cell>
          <cell r="AB370">
            <v>14859151</v>
          </cell>
          <cell r="AC370">
            <v>17557953</v>
          </cell>
          <cell r="AD370">
            <v>13218503</v>
          </cell>
          <cell r="AE370">
            <v>12018156</v>
          </cell>
          <cell r="AF370">
            <v>13938251</v>
          </cell>
          <cell r="AG370">
            <v>11152185</v>
          </cell>
          <cell r="AH370">
            <v>11094891</v>
          </cell>
          <cell r="AI370">
            <v>13908159</v>
          </cell>
          <cell r="AJ370">
            <v>11757586</v>
          </cell>
          <cell r="AK370">
            <v>11960451</v>
          </cell>
          <cell r="AL370">
            <v>14042853</v>
          </cell>
          <cell r="AM370">
            <v>13077988</v>
          </cell>
          <cell r="AN370">
            <v>13448021</v>
          </cell>
          <cell r="AO370">
            <v>15092843</v>
          </cell>
          <cell r="AP370">
            <v>13219926</v>
          </cell>
          <cell r="AQ370">
            <v>9251296</v>
          </cell>
          <cell r="AR370">
            <v>6635234</v>
          </cell>
          <cell r="AS370">
            <v>2460333</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G371">
            <v>361</v>
          </cell>
          <cell r="H371" t="str">
            <v>4 Month Target (Budget)</v>
          </cell>
          <cell r="I371">
            <v>0</v>
          </cell>
          <cell r="J371">
            <v>0</v>
          </cell>
          <cell r="K371">
            <v>0</v>
          </cell>
          <cell r="L371">
            <v>2040780</v>
          </cell>
          <cell r="M371">
            <v>4665289</v>
          </cell>
          <cell r="N371">
            <v>9677507</v>
          </cell>
          <cell r="O371">
            <v>12763464</v>
          </cell>
          <cell r="P371">
            <v>13205752</v>
          </cell>
          <cell r="Q371">
            <v>15092361</v>
          </cell>
          <cell r="R371">
            <v>12767374</v>
          </cell>
          <cell r="S371">
            <v>11925174</v>
          </cell>
          <cell r="T371">
            <v>13579986</v>
          </cell>
          <cell r="U371">
            <v>11456408</v>
          </cell>
          <cell r="V371">
            <v>10914511</v>
          </cell>
          <cell r="W371">
            <v>13522314</v>
          </cell>
          <cell r="X371">
            <v>11903344</v>
          </cell>
          <cell r="Y371">
            <v>11829295</v>
          </cell>
          <cell r="Z371">
            <v>16045198</v>
          </cell>
          <cell r="AA371">
            <v>13976677</v>
          </cell>
          <cell r="AB371">
            <v>14080870</v>
          </cell>
          <cell r="AC371">
            <v>16501558</v>
          </cell>
          <cell r="AD371">
            <v>12437726</v>
          </cell>
          <cell r="AE371">
            <v>11798884</v>
          </cell>
          <cell r="AF371">
            <v>13801751</v>
          </cell>
          <cell r="AG371">
            <v>11380305</v>
          </cell>
          <cell r="AH371">
            <v>11215990</v>
          </cell>
          <cell r="AI371">
            <v>13482704</v>
          </cell>
          <cell r="AJ371">
            <v>10951640</v>
          </cell>
          <cell r="AK371">
            <v>11117698</v>
          </cell>
          <cell r="AL371">
            <v>13526537</v>
          </cell>
          <cell r="AM371">
            <v>13179198</v>
          </cell>
          <cell r="AN371">
            <v>13627401</v>
          </cell>
          <cell r="AO371">
            <v>15691944</v>
          </cell>
          <cell r="AP371">
            <v>13456187</v>
          </cell>
          <cell r="AQ371">
            <v>9392615</v>
          </cell>
          <cell r="AR371">
            <v>6849506</v>
          </cell>
          <cell r="AS371">
            <v>2306172</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G372">
            <v>362</v>
          </cell>
          <cell r="H372" t="str">
            <v>4 Month Target (Budget) Var</v>
          </cell>
          <cell r="I372">
            <v>0</v>
          </cell>
          <cell r="J372">
            <v>0</v>
          </cell>
          <cell r="K372">
            <v>0</v>
          </cell>
          <cell r="L372">
            <v>30907</v>
          </cell>
          <cell r="M372">
            <v>-136116</v>
          </cell>
          <cell r="N372">
            <v>750045</v>
          </cell>
          <cell r="O372">
            <v>692037</v>
          </cell>
          <cell r="P372">
            <v>965944</v>
          </cell>
          <cell r="Q372">
            <v>1524276</v>
          </cell>
          <cell r="R372">
            <v>185841</v>
          </cell>
          <cell r="S372">
            <v>112295</v>
          </cell>
          <cell r="T372">
            <v>100987</v>
          </cell>
          <cell r="U372">
            <v>-281425</v>
          </cell>
          <cell r="V372">
            <v>269039</v>
          </cell>
          <cell r="W372">
            <v>-39834</v>
          </cell>
          <cell r="X372">
            <v>-459773</v>
          </cell>
          <cell r="Y372">
            <v>-367683</v>
          </cell>
          <cell r="Z372">
            <v>-179518</v>
          </cell>
          <cell r="AA372">
            <v>798444</v>
          </cell>
          <cell r="AB372">
            <v>778281</v>
          </cell>
          <cell r="AC372">
            <v>1056395</v>
          </cell>
          <cell r="AD372">
            <v>780777</v>
          </cell>
          <cell r="AE372">
            <v>219272</v>
          </cell>
          <cell r="AF372">
            <v>136500</v>
          </cell>
          <cell r="AG372">
            <v>-228120</v>
          </cell>
          <cell r="AH372">
            <v>-121099</v>
          </cell>
          <cell r="AI372">
            <v>425455</v>
          </cell>
          <cell r="AJ372">
            <v>805946</v>
          </cell>
          <cell r="AK372">
            <v>842753</v>
          </cell>
          <cell r="AL372">
            <v>516316</v>
          </cell>
          <cell r="AM372">
            <v>-101210</v>
          </cell>
          <cell r="AN372">
            <v>-179380</v>
          </cell>
          <cell r="AO372">
            <v>-599101</v>
          </cell>
          <cell r="AP372">
            <v>-236261</v>
          </cell>
          <cell r="AQ372">
            <v>-141319</v>
          </cell>
          <cell r="AR372">
            <v>-214272</v>
          </cell>
          <cell r="AS372">
            <v>154161</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G373">
            <v>363</v>
          </cell>
          <cell r="H373" t="str">
            <v>4 Month Target (Budget) % Var</v>
          </cell>
          <cell r="I373">
            <v>0</v>
          </cell>
          <cell r="J373">
            <v>0</v>
          </cell>
          <cell r="K373">
            <v>0</v>
          </cell>
          <cell r="L373">
            <v>1.5144699575652447E-2</v>
          </cell>
          <cell r="M373">
            <v>-2.9176327554413028E-2</v>
          </cell>
          <cell r="N373">
            <v>7.7503948072576961E-2</v>
          </cell>
          <cell r="O373">
            <v>5.4220155280729432E-2</v>
          </cell>
          <cell r="P373">
            <v>7.3145701963810927E-2</v>
          </cell>
          <cell r="Q373">
            <v>0.10099652400310329</v>
          </cell>
          <cell r="R373">
            <v>1.4555929825506795E-2</v>
          </cell>
          <cell r="S373">
            <v>9.4166340885256678E-3</v>
          </cell>
          <cell r="T373">
            <v>7.4364583291912081E-3</v>
          </cell>
          <cell r="U373">
            <v>-2.4564854882961569E-2</v>
          </cell>
          <cell r="V373">
            <v>2.4649661354503194E-2</v>
          </cell>
          <cell r="W373">
            <v>-2.9457975905603138E-3</v>
          </cell>
          <cell r="X373">
            <v>-3.8625532455417569E-2</v>
          </cell>
          <cell r="Y373">
            <v>-3.1082410236620187E-2</v>
          </cell>
          <cell r="Z373">
            <v>-1.1188269537091408E-2</v>
          </cell>
          <cell r="AA373">
            <v>5.7126883593289018E-2</v>
          </cell>
          <cell r="AB373">
            <v>5.5272223946389677E-2</v>
          </cell>
          <cell r="AC373">
            <v>6.4017894552744661E-2</v>
          </cell>
          <cell r="AD373">
            <v>6.2774899527453812E-2</v>
          </cell>
          <cell r="AE373">
            <v>1.8584130499121783E-2</v>
          </cell>
          <cell r="AF373">
            <v>9.8900494582172937E-3</v>
          </cell>
          <cell r="AG373">
            <v>-2.0045156961961914E-2</v>
          </cell>
          <cell r="AH373">
            <v>-1.079699607435456E-2</v>
          </cell>
          <cell r="AI373">
            <v>3.1555613770056806E-2</v>
          </cell>
          <cell r="AJ373">
            <v>7.3591352528023193E-2</v>
          </cell>
          <cell r="AK373">
            <v>7.580283256479893E-2</v>
          </cell>
          <cell r="AL373">
            <v>3.8170597544663502E-2</v>
          </cell>
          <cell r="AM373">
            <v>-7.6795264780148229E-3</v>
          </cell>
          <cell r="AN373">
            <v>-1.3163184968285589E-2</v>
          </cell>
          <cell r="AO373">
            <v>-3.8178889753876254E-2</v>
          </cell>
          <cell r="AP373">
            <v>-1.7557797019319067E-2</v>
          </cell>
          <cell r="AQ373">
            <v>-1.504575669289117E-2</v>
          </cell>
          <cell r="AR373">
            <v>-3.1282839959553291E-2</v>
          </cell>
          <cell r="AS373">
            <v>6.6847138895104088E-2</v>
          </cell>
          <cell r="AT373" t="e">
            <v>#DIV/0!</v>
          </cell>
          <cell r="AU373" t="e">
            <v>#DIV/0!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G374">
            <v>364</v>
          </cell>
          <cell r="H374" t="str">
            <v>Actual</v>
          </cell>
          <cell r="I374">
            <v>0</v>
          </cell>
          <cell r="J374">
            <v>0</v>
          </cell>
          <cell r="K374">
            <v>0</v>
          </cell>
          <cell r="L374">
            <v>1622133</v>
          </cell>
          <cell r="M374">
            <v>1993530</v>
          </cell>
          <cell r="N374">
            <v>2812908</v>
          </cell>
          <cell r="O374">
            <v>1489466</v>
          </cell>
          <cell r="P374">
            <v>2780675</v>
          </cell>
          <cell r="Q374">
            <v>2665880</v>
          </cell>
          <cell r="R374">
            <v>1933829</v>
          </cell>
          <cell r="S374">
            <v>2119270</v>
          </cell>
          <cell r="T374">
            <v>2376926</v>
          </cell>
          <cell r="U374">
            <v>2108074</v>
          </cell>
          <cell r="V374">
            <v>2221231</v>
          </cell>
          <cell r="W374">
            <v>2778405</v>
          </cell>
          <cell r="X374">
            <v>2012393</v>
          </cell>
          <cell r="Y374">
            <v>2062851</v>
          </cell>
          <cell r="Z374">
            <v>3190338</v>
          </cell>
          <cell r="AA374">
            <v>3091492</v>
          </cell>
          <cell r="AB374">
            <v>2247395</v>
          </cell>
          <cell r="AC374">
            <v>3021478</v>
          </cell>
          <cell r="AD374">
            <v>2359353</v>
          </cell>
          <cell r="AE374">
            <v>2177726</v>
          </cell>
          <cell r="AF374">
            <v>2650956</v>
          </cell>
          <cell r="AG374">
            <v>2200358</v>
          </cell>
          <cell r="AH374">
            <v>2306706</v>
          </cell>
          <cell r="AI374">
            <v>3467942</v>
          </cell>
          <cell r="AJ374">
            <v>2314026</v>
          </cell>
          <cell r="AK374">
            <v>2016676</v>
          </cell>
          <cell r="AL374">
            <v>2661690</v>
          </cell>
          <cell r="AM374">
            <v>3285744</v>
          </cell>
          <cell r="AN374">
            <v>2278851</v>
          </cell>
          <cell r="AO374">
            <v>2987515</v>
          </cell>
          <cell r="AP374">
            <v>2252901</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G375">
            <v>365</v>
          </cell>
          <cell r="H375" t="str">
            <v>Target (Budget)</v>
          </cell>
          <cell r="I375">
            <v>0</v>
          </cell>
          <cell r="J375">
            <v>0</v>
          </cell>
          <cell r="K375">
            <v>0</v>
          </cell>
          <cell r="L375">
            <v>1839154</v>
          </cell>
          <cell r="M375">
            <v>2325427</v>
          </cell>
          <cell r="N375">
            <v>3122186</v>
          </cell>
          <cell r="O375">
            <v>2702606</v>
          </cell>
          <cell r="P375">
            <v>2377781</v>
          </cell>
          <cell r="Q375">
            <v>2687267</v>
          </cell>
          <cell r="R375">
            <v>2277584</v>
          </cell>
          <cell r="S375">
            <v>2140836</v>
          </cell>
          <cell r="T375">
            <v>2666096</v>
          </cell>
          <cell r="U375">
            <v>2105160</v>
          </cell>
          <cell r="V375">
            <v>2129018</v>
          </cell>
          <cell r="W375">
            <v>2677001</v>
          </cell>
          <cell r="X375">
            <v>1832372</v>
          </cell>
          <cell r="Y375">
            <v>2241944</v>
          </cell>
          <cell r="Z375">
            <v>3844428</v>
          </cell>
          <cell r="AA375">
            <v>2642464</v>
          </cell>
          <cell r="AB375">
            <v>2479412</v>
          </cell>
          <cell r="AC375">
            <v>3210038</v>
          </cell>
          <cell r="AD375">
            <v>2397861</v>
          </cell>
          <cell r="AE375">
            <v>2244454</v>
          </cell>
          <cell r="AF375">
            <v>3174684</v>
          </cell>
          <cell r="AG375">
            <v>2393828</v>
          </cell>
          <cell r="AH375">
            <v>2400987</v>
          </cell>
          <cell r="AI375">
            <v>3145359</v>
          </cell>
          <cell r="AJ375">
            <v>2251686</v>
          </cell>
          <cell r="AK375">
            <v>2139756</v>
          </cell>
          <cell r="AL375">
            <v>2835475</v>
          </cell>
          <cell r="AM375">
            <v>3665042</v>
          </cell>
          <cell r="AN375">
            <v>2211821</v>
          </cell>
          <cell r="AO375">
            <v>2967500</v>
          </cell>
          <cell r="AP375">
            <v>2209331</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G376">
            <v>366</v>
          </cell>
          <cell r="H376" t="str">
            <v>Target (Budget) Variance</v>
          </cell>
          <cell r="I376">
            <v>0</v>
          </cell>
          <cell r="J376">
            <v>0</v>
          </cell>
          <cell r="K376">
            <v>0</v>
          </cell>
          <cell r="L376">
            <v>-217021</v>
          </cell>
          <cell r="M376">
            <v>-331897</v>
          </cell>
          <cell r="N376">
            <v>-309278</v>
          </cell>
          <cell r="O376">
            <v>-1213140</v>
          </cell>
          <cell r="P376">
            <v>402894</v>
          </cell>
          <cell r="Q376">
            <v>-21387</v>
          </cell>
          <cell r="R376">
            <v>-343755</v>
          </cell>
          <cell r="S376">
            <v>-21566</v>
          </cell>
          <cell r="T376">
            <v>-289170</v>
          </cell>
          <cell r="U376">
            <v>2914</v>
          </cell>
          <cell r="V376">
            <v>92213</v>
          </cell>
          <cell r="W376">
            <v>101404</v>
          </cell>
          <cell r="X376">
            <v>180021</v>
          </cell>
          <cell r="Y376">
            <v>-179093</v>
          </cell>
          <cell r="Z376">
            <v>-654090</v>
          </cell>
          <cell r="AA376">
            <v>449028</v>
          </cell>
          <cell r="AB376">
            <v>-232017</v>
          </cell>
          <cell r="AC376">
            <v>-188560</v>
          </cell>
          <cell r="AD376">
            <v>-38508</v>
          </cell>
          <cell r="AE376">
            <v>-66728</v>
          </cell>
          <cell r="AF376">
            <v>-523728</v>
          </cell>
          <cell r="AG376">
            <v>-193470</v>
          </cell>
          <cell r="AH376">
            <v>-94281</v>
          </cell>
          <cell r="AI376">
            <v>322583</v>
          </cell>
          <cell r="AJ376">
            <v>62340</v>
          </cell>
          <cell r="AK376">
            <v>-123080</v>
          </cell>
          <cell r="AL376">
            <v>-173785</v>
          </cell>
          <cell r="AM376">
            <v>-379298</v>
          </cell>
          <cell r="AN376">
            <v>67030</v>
          </cell>
          <cell r="AO376">
            <v>20015</v>
          </cell>
          <cell r="AP376">
            <v>43570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G377">
            <v>367</v>
          </cell>
          <cell r="H377" t="str">
            <v>Target (Budget) %Var</v>
          </cell>
          <cell r="I377">
            <v>0</v>
          </cell>
          <cell r="J377">
            <v>0</v>
          </cell>
          <cell r="K377">
            <v>0</v>
          </cell>
          <cell r="L377">
            <v>-0.11800045020699734</v>
          </cell>
          <cell r="M377">
            <v>-0.14272518552506702</v>
          </cell>
          <cell r="N377">
            <v>-9.9058159891819389E-2</v>
          </cell>
          <cell r="O377">
            <v>-0.4488778608498612</v>
          </cell>
          <cell r="P377">
            <v>0.16944117225261704</v>
          </cell>
          <cell r="Q377">
            <v>-7.9586434842537045E-3</v>
          </cell>
          <cell r="R377">
            <v>-0.1509296693338204</v>
          </cell>
          <cell r="S377">
            <v>-1.0073634785663171E-2</v>
          </cell>
          <cell r="T377">
            <v>-0.10846196085962397</v>
          </cell>
          <cell r="U377">
            <v>1.3842178266735071E-3</v>
          </cell>
          <cell r="V377">
            <v>4.3312456728876882E-2</v>
          </cell>
          <cell r="W377">
            <v>3.7879701950055307E-2</v>
          </cell>
          <cell r="X377">
            <v>9.8244788721940743E-2</v>
          </cell>
          <cell r="Y377">
            <v>-7.9882905192993223E-2</v>
          </cell>
          <cell r="Z377">
            <v>-0.17013974510642416</v>
          </cell>
          <cell r="AA377">
            <v>0.1699277643896</v>
          </cell>
          <cell r="AB377">
            <v>-9.3577428841999641E-2</v>
          </cell>
          <cell r="AC377">
            <v>-5.8740737648588587E-2</v>
          </cell>
          <cell r="AD377">
            <v>-1.6059312862588781E-2</v>
          </cell>
          <cell r="AE377">
            <v>-2.9730170455709942E-2</v>
          </cell>
          <cell r="AF377">
            <v>-0.16497011986074833</v>
          </cell>
          <cell r="AG377">
            <v>-8.082034298203547E-2</v>
          </cell>
          <cell r="AH377">
            <v>-3.9267601199006907E-2</v>
          </cell>
          <cell r="AI377">
            <v>0.10255840430297464</v>
          </cell>
          <cell r="AJ377">
            <v>2.7685920683434548E-2</v>
          </cell>
          <cell r="AK377">
            <v>-5.7520577112530585E-2</v>
          </cell>
          <cell r="AL377">
            <v>-6.1289554660153941E-2</v>
          </cell>
          <cell r="AM377">
            <v>-0.10349076490801469</v>
          </cell>
          <cell r="AN377">
            <v>3.0305345685749434E-2</v>
          </cell>
          <cell r="AO377">
            <v>6.7447346251053074E-3</v>
          </cell>
          <cell r="AP377">
            <v>1.9720901938188529E-2</v>
          </cell>
          <cell r="AQ377" t="e">
            <v>#DIV/0!</v>
          </cell>
          <cell r="AR377" t="e">
            <v>#DIV/0!</v>
          </cell>
          <cell r="AS377" t="e">
            <v>#DIV/0!</v>
          </cell>
          <cell r="AT377" t="e">
            <v>#DIV/0!</v>
          </cell>
          <cell r="AU377" t="e">
            <v>#DIV/0!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G378">
            <v>368</v>
          </cell>
          <cell r="H378" t="str">
            <v>YTD Actual</v>
          </cell>
          <cell r="I378">
            <v>0</v>
          </cell>
          <cell r="J378">
            <v>0</v>
          </cell>
          <cell r="K378">
            <v>0</v>
          </cell>
          <cell r="L378">
            <v>1622133</v>
          </cell>
          <cell r="M378">
            <v>315663</v>
          </cell>
          <cell r="N378">
            <v>6428571</v>
          </cell>
          <cell r="O378">
            <v>8918037</v>
          </cell>
          <cell r="P378">
            <v>11689712</v>
          </cell>
          <cell r="Q378">
            <v>14364592</v>
          </cell>
          <cell r="R378">
            <v>16298422</v>
          </cell>
          <cell r="S378">
            <v>18417692</v>
          </cell>
          <cell r="T378">
            <v>20794618</v>
          </cell>
          <cell r="U378">
            <v>22902692</v>
          </cell>
          <cell r="V378">
            <v>25123923</v>
          </cell>
          <cell r="W378">
            <v>27902328</v>
          </cell>
          <cell r="X378">
            <v>2012393</v>
          </cell>
          <cell r="Y378">
            <v>4004943</v>
          </cell>
          <cell r="Z378">
            <v>7195281</v>
          </cell>
          <cell r="AA378">
            <v>10286773</v>
          </cell>
          <cell r="AB378">
            <v>12534168</v>
          </cell>
          <cell r="AC378">
            <v>15555646</v>
          </cell>
          <cell r="AD378">
            <v>17914999</v>
          </cell>
          <cell r="AE378">
            <v>19867134</v>
          </cell>
          <cell r="AF378">
            <v>22518090</v>
          </cell>
          <cell r="AG378">
            <v>24718448</v>
          </cell>
          <cell r="AH378">
            <v>27025153</v>
          </cell>
          <cell r="AI378">
            <v>30493096</v>
          </cell>
          <cell r="AJ378">
            <v>2314026</v>
          </cell>
          <cell r="AK378">
            <v>4240161</v>
          </cell>
          <cell r="AL378">
            <v>6901852</v>
          </cell>
          <cell r="AM378">
            <v>10187595</v>
          </cell>
          <cell r="AN378">
            <v>12466446</v>
          </cell>
          <cell r="AO378">
            <v>15453961</v>
          </cell>
          <cell r="AP378">
            <v>17706862</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G379">
            <v>369</v>
          </cell>
          <cell r="H379" t="str">
            <v>YTD Target (Budget)</v>
          </cell>
          <cell r="I379">
            <v>0</v>
          </cell>
          <cell r="J379">
            <v>0</v>
          </cell>
          <cell r="K379">
            <v>0</v>
          </cell>
          <cell r="L379">
            <v>1839154</v>
          </cell>
          <cell r="M379">
            <v>4179341</v>
          </cell>
          <cell r="N379">
            <v>7262295</v>
          </cell>
          <cell r="O379">
            <v>9944868</v>
          </cell>
          <cell r="P379">
            <v>12289649</v>
          </cell>
          <cell r="Q379">
            <v>14990851</v>
          </cell>
          <cell r="R379">
            <v>17268435</v>
          </cell>
          <cell r="S379">
            <v>19409271</v>
          </cell>
          <cell r="T379">
            <v>22075367</v>
          </cell>
          <cell r="U379">
            <v>24180527</v>
          </cell>
          <cell r="V379">
            <v>26309545</v>
          </cell>
          <cell r="W379">
            <v>28986546</v>
          </cell>
          <cell r="X379">
            <v>1832372</v>
          </cell>
          <cell r="Y379">
            <v>4053534</v>
          </cell>
          <cell r="Z379">
            <v>7897962</v>
          </cell>
          <cell r="AA379">
            <v>10168208</v>
          </cell>
          <cell r="AB379">
            <v>12647620</v>
          </cell>
          <cell r="AC379">
            <v>15857658</v>
          </cell>
          <cell r="AD379">
            <v>18255519</v>
          </cell>
          <cell r="AE379">
            <v>20499973</v>
          </cell>
          <cell r="AF379">
            <v>23674657</v>
          </cell>
          <cell r="AG379">
            <v>26068485</v>
          </cell>
          <cell r="AH379">
            <v>28469472</v>
          </cell>
          <cell r="AI379">
            <v>31614831</v>
          </cell>
          <cell r="AJ379">
            <v>2251686</v>
          </cell>
          <cell r="AK379">
            <v>4159915</v>
          </cell>
          <cell r="AL379">
            <v>6997456</v>
          </cell>
          <cell r="AM379">
            <v>10662498</v>
          </cell>
          <cell r="AN379">
            <v>12874319</v>
          </cell>
          <cell r="AO379">
            <v>15841819</v>
          </cell>
          <cell r="AP379">
            <v>18051150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G380">
            <v>370</v>
          </cell>
          <cell r="H380" t="str">
            <v>YTD Target (Budget) Var</v>
          </cell>
          <cell r="I380">
            <v>0</v>
          </cell>
          <cell r="J380">
            <v>0</v>
          </cell>
          <cell r="K380">
            <v>0</v>
          </cell>
          <cell r="L380">
            <v>-217021</v>
          </cell>
          <cell r="M380">
            <v>-3863678</v>
          </cell>
          <cell r="N380">
            <v>-833724</v>
          </cell>
          <cell r="O380">
            <v>-1026831</v>
          </cell>
          <cell r="P380">
            <v>-599937</v>
          </cell>
          <cell r="Q380">
            <v>-626259</v>
          </cell>
          <cell r="R380">
            <v>-970013</v>
          </cell>
          <cell r="S380">
            <v>-991579</v>
          </cell>
          <cell r="T380">
            <v>-1280749</v>
          </cell>
          <cell r="U380">
            <v>-1277835</v>
          </cell>
          <cell r="V380">
            <v>-1185622</v>
          </cell>
          <cell r="W380">
            <v>-1084218</v>
          </cell>
          <cell r="X380">
            <v>180021</v>
          </cell>
          <cell r="Y380">
            <v>-48591</v>
          </cell>
          <cell r="Z380">
            <v>-702681</v>
          </cell>
          <cell r="AA380">
            <v>118565</v>
          </cell>
          <cell r="AB380">
            <v>-113452</v>
          </cell>
          <cell r="AC380">
            <v>-302012</v>
          </cell>
          <cell r="AD380">
            <v>-340520</v>
          </cell>
          <cell r="AE380">
            <v>-632839</v>
          </cell>
          <cell r="AF380">
            <v>-1156567</v>
          </cell>
          <cell r="AG380">
            <v>-1350037</v>
          </cell>
          <cell r="AH380">
            <v>-1444319</v>
          </cell>
          <cell r="AI380">
            <v>-1121735</v>
          </cell>
          <cell r="AJ380">
            <v>62340</v>
          </cell>
          <cell r="AK380">
            <v>80246</v>
          </cell>
          <cell r="AL380">
            <v>-95604</v>
          </cell>
          <cell r="AM380">
            <v>-474903</v>
          </cell>
          <cell r="AN380">
            <v>-407873</v>
          </cell>
          <cell r="AO380">
            <v>-387858</v>
          </cell>
          <cell r="AP380">
            <v>-344288</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G381">
            <v>371</v>
          </cell>
          <cell r="H381" t="str">
            <v>YTD %Var</v>
          </cell>
          <cell r="I381">
            <v>0</v>
          </cell>
          <cell r="J381">
            <v>0</v>
          </cell>
          <cell r="K381">
            <v>0</v>
          </cell>
          <cell r="L381">
            <v>-0.11800045020699734</v>
          </cell>
          <cell r="M381">
            <v>-0.92447062826412107</v>
          </cell>
          <cell r="N381">
            <v>-0.11480172590069668</v>
          </cell>
          <cell r="O381">
            <v>-0.10325235086076558</v>
          </cell>
          <cell r="P381">
            <v>-4.8816447076722856E-2</v>
          </cell>
          <cell r="Q381">
            <v>-4.1776080624108668E-2</v>
          </cell>
          <cell r="R381">
            <v>-5.6172606261076931E-2</v>
          </cell>
          <cell r="S381">
            <v>-5.1087905362339474E-2</v>
          </cell>
          <cell r="T381">
            <v>-5.8017110202516681E-2</v>
          </cell>
          <cell r="U381">
            <v>-5.2845622429982607E-2</v>
          </cell>
          <cell r="V381">
            <v>-4.5064329314703083E-2</v>
          </cell>
          <cell r="W381">
            <v>-3.7404180546381761E-2</v>
          </cell>
          <cell r="X381">
            <v>9.8244788721940743E-2</v>
          </cell>
          <cell r="Y381">
            <v>-1.1987317733118804E-2</v>
          </cell>
          <cell r="Z381">
            <v>-8.8969914010728332E-2</v>
          </cell>
          <cell r="AA381">
            <v>1.166036335999421E-2</v>
          </cell>
          <cell r="AB381">
            <v>-8.9702252281456899E-3</v>
          </cell>
          <cell r="AC381">
            <v>-1.9045183090718693E-2</v>
          </cell>
          <cell r="AD381">
            <v>-1.8652989268615153E-2</v>
          </cell>
          <cell r="AE381">
            <v>-3.0870235780310541E-2</v>
          </cell>
          <cell r="AF381">
            <v>-4.885253459004707E-2</v>
          </cell>
          <cell r="AG381">
            <v>-5.1788088183874127E-2</v>
          </cell>
          <cell r="AH381">
            <v>-5.0732201847649303E-2</v>
          </cell>
          <cell r="AI381">
            <v>-3.5481290410820161E-2</v>
          </cell>
          <cell r="AJ381">
            <v>2.7685920683434548E-2</v>
          </cell>
          <cell r="AK381">
            <v>1.9290297998877382E-2</v>
          </cell>
          <cell r="AL381">
            <v>-1.3662679693877317E-2</v>
          </cell>
          <cell r="AM381">
            <v>-4.4539562867913315E-2</v>
          </cell>
          <cell r="AN381">
            <v>-3.1681132027255192E-2</v>
          </cell>
          <cell r="AO381">
            <v>-2.4483173302257778E-2</v>
          </cell>
          <cell r="AP381">
            <v>-1.9072912252127979E-2</v>
          </cell>
          <cell r="AQ381" t="e">
            <v>#DIV/0!</v>
          </cell>
          <cell r="AR381" t="e">
            <v>#DIV/0!</v>
          </cell>
          <cell r="AS381" t="e">
            <v>#DIV/0!</v>
          </cell>
          <cell r="AT381" t="e">
            <v>#DIV/0!</v>
          </cell>
          <cell r="AU381" t="e">
            <v>#DIV/0!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G382">
            <v>372</v>
          </cell>
          <cell r="H382" t="str">
            <v>4 Month Actual</v>
          </cell>
          <cell r="I382">
            <v>0</v>
          </cell>
          <cell r="J382">
            <v>0</v>
          </cell>
          <cell r="K382">
            <v>0</v>
          </cell>
          <cell r="L382">
            <v>1622133</v>
          </cell>
          <cell r="M382">
            <v>3615663</v>
          </cell>
          <cell r="N382">
            <v>6428571</v>
          </cell>
          <cell r="O382">
            <v>7918037</v>
          </cell>
          <cell r="P382">
            <v>9076579</v>
          </cell>
          <cell r="Q382">
            <v>9748929</v>
          </cell>
          <cell r="R382">
            <v>8869850</v>
          </cell>
          <cell r="S382">
            <v>9499654</v>
          </cell>
          <cell r="T382">
            <v>9095905</v>
          </cell>
          <cell r="U382">
            <v>8538099</v>
          </cell>
          <cell r="V382">
            <v>8825501</v>
          </cell>
          <cell r="W382">
            <v>9484636</v>
          </cell>
          <cell r="X382">
            <v>9120103</v>
          </cell>
          <cell r="Y382">
            <v>9074880</v>
          </cell>
          <cell r="Z382">
            <v>10043987</v>
          </cell>
          <cell r="AA382">
            <v>10357074</v>
          </cell>
          <cell r="AB382">
            <v>10592076</v>
          </cell>
          <cell r="AC382">
            <v>11550703</v>
          </cell>
          <cell r="AD382">
            <v>10719718</v>
          </cell>
          <cell r="AE382">
            <v>9805952</v>
          </cell>
          <cell r="AF382">
            <v>10209513</v>
          </cell>
          <cell r="AG382">
            <v>9388393</v>
          </cell>
          <cell r="AH382">
            <v>9335746</v>
          </cell>
          <cell r="AI382">
            <v>10625962</v>
          </cell>
          <cell r="AJ382">
            <v>10289032</v>
          </cell>
          <cell r="AK382">
            <v>10105350</v>
          </cell>
          <cell r="AL382">
            <v>10460334</v>
          </cell>
          <cell r="AM382">
            <v>10278136</v>
          </cell>
          <cell r="AN382">
            <v>10242961</v>
          </cell>
          <cell r="AO382">
            <v>11213800</v>
          </cell>
          <cell r="AP382">
            <v>10805011</v>
          </cell>
          <cell r="AQ382">
            <v>7519267</v>
          </cell>
          <cell r="AR382">
            <v>5240416</v>
          </cell>
          <cell r="AS382">
            <v>2252901</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G383">
            <v>373</v>
          </cell>
          <cell r="H383" t="str">
            <v>4 Month Target (Budget)</v>
          </cell>
          <cell r="I383">
            <v>0</v>
          </cell>
          <cell r="J383">
            <v>0</v>
          </cell>
          <cell r="K383">
            <v>0</v>
          </cell>
          <cell r="L383">
            <v>1839154</v>
          </cell>
          <cell r="M383">
            <v>4164581</v>
          </cell>
          <cell r="N383">
            <v>7286767</v>
          </cell>
          <cell r="O383">
            <v>9989373</v>
          </cell>
          <cell r="P383">
            <v>10528000</v>
          </cell>
          <cell r="Q383">
            <v>10889840</v>
          </cell>
          <cell r="R383">
            <v>10045238</v>
          </cell>
          <cell r="S383">
            <v>9483468</v>
          </cell>
          <cell r="T383">
            <v>9771783</v>
          </cell>
          <cell r="U383">
            <v>9189676</v>
          </cell>
          <cell r="V383">
            <v>9041110</v>
          </cell>
          <cell r="W383">
            <v>9577275</v>
          </cell>
          <cell r="X383">
            <v>8743551</v>
          </cell>
          <cell r="Y383">
            <v>8880335</v>
          </cell>
          <cell r="Z383">
            <v>10595745</v>
          </cell>
          <cell r="AA383">
            <v>10561208</v>
          </cell>
          <cell r="AB383">
            <v>11208248</v>
          </cell>
          <cell r="AC383">
            <v>12176342</v>
          </cell>
          <cell r="AD383">
            <v>10729775</v>
          </cell>
          <cell r="AE383">
            <v>10331765</v>
          </cell>
          <cell r="AF383">
            <v>11027037</v>
          </cell>
          <cell r="AG383">
            <v>10210827</v>
          </cell>
          <cell r="AH383">
            <v>10213953</v>
          </cell>
          <cell r="AI383">
            <v>11114858</v>
          </cell>
          <cell r="AJ383">
            <v>10191860</v>
          </cell>
          <cell r="AK383">
            <v>9937788</v>
          </cell>
          <cell r="AL383">
            <v>10372276</v>
          </cell>
          <cell r="AM383">
            <v>10891959</v>
          </cell>
          <cell r="AN383">
            <v>10852094</v>
          </cell>
          <cell r="AO383">
            <v>11679838</v>
          </cell>
          <cell r="AP383">
            <v>11053694</v>
          </cell>
          <cell r="AQ383">
            <v>7388652</v>
          </cell>
          <cell r="AR383">
            <v>5176831</v>
          </cell>
          <cell r="AS383">
            <v>2209331</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G384">
            <v>374</v>
          </cell>
          <cell r="H384" t="str">
            <v>4 Month Target (Budget) Var</v>
          </cell>
          <cell r="I384">
            <v>0</v>
          </cell>
          <cell r="J384">
            <v>0</v>
          </cell>
          <cell r="K384">
            <v>0</v>
          </cell>
          <cell r="L384">
            <v>-217021</v>
          </cell>
          <cell r="M384">
            <v>-548918</v>
          </cell>
          <cell r="N384">
            <v>-858196</v>
          </cell>
          <cell r="O384">
            <v>-2071336</v>
          </cell>
          <cell r="P384">
            <v>-1451421</v>
          </cell>
          <cell r="Q384">
            <v>-1140911</v>
          </cell>
          <cell r="R384">
            <v>-1175388</v>
          </cell>
          <cell r="S384">
            <v>16186</v>
          </cell>
          <cell r="T384">
            <v>-675878</v>
          </cell>
          <cell r="U384">
            <v>-651577</v>
          </cell>
          <cell r="V384">
            <v>-215609</v>
          </cell>
          <cell r="W384">
            <v>-92639</v>
          </cell>
          <cell r="X384">
            <v>376552</v>
          </cell>
          <cell r="Y384">
            <v>194545</v>
          </cell>
          <cell r="Z384">
            <v>-551758</v>
          </cell>
          <cell r="AA384">
            <v>-204134</v>
          </cell>
          <cell r="AB384">
            <v>-616172</v>
          </cell>
          <cell r="AC384">
            <v>-625639</v>
          </cell>
          <cell r="AD384">
            <v>-10057</v>
          </cell>
          <cell r="AE384">
            <v>-525813</v>
          </cell>
          <cell r="AF384">
            <v>-817524</v>
          </cell>
          <cell r="AG384">
            <v>-822434</v>
          </cell>
          <cell r="AH384">
            <v>-878207</v>
          </cell>
          <cell r="AI384">
            <v>-488896</v>
          </cell>
          <cell r="AJ384">
            <v>97172</v>
          </cell>
          <cell r="AK384">
            <v>167562</v>
          </cell>
          <cell r="AL384">
            <v>88058</v>
          </cell>
          <cell r="AM384">
            <v>-613823</v>
          </cell>
          <cell r="AN384">
            <v>-609133</v>
          </cell>
          <cell r="AO384">
            <v>-466038</v>
          </cell>
          <cell r="AP384">
            <v>-248683</v>
          </cell>
          <cell r="AQ384">
            <v>130615</v>
          </cell>
          <cell r="AR384">
            <v>63585</v>
          </cell>
          <cell r="AS384">
            <v>43570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G385">
            <v>375</v>
          </cell>
          <cell r="H385" t="str">
            <v>4 Month Target (Budget) % Var</v>
          </cell>
          <cell r="I385">
            <v>0</v>
          </cell>
          <cell r="J385">
            <v>0</v>
          </cell>
          <cell r="K385">
            <v>0</v>
          </cell>
          <cell r="L385">
            <v>-0.11800045020699734</v>
          </cell>
          <cell r="M385">
            <v>-0.13180629696000631</v>
          </cell>
          <cell r="N385">
            <v>-0.11777459056945282</v>
          </cell>
          <cell r="O385">
            <v>-0.20735395504802953</v>
          </cell>
          <cell r="P385">
            <v>-0.13786293693009119</v>
          </cell>
          <cell r="Q385">
            <v>-0.10476838961821294</v>
          </cell>
          <cell r="R385">
            <v>-0.11700947254808697</v>
          </cell>
          <cell r="S385">
            <v>1.7067595946967924E-3</v>
          </cell>
          <cell r="T385">
            <v>-6.916629237468741E-2</v>
          </cell>
          <cell r="U385">
            <v>-7.0903152624749777E-2</v>
          </cell>
          <cell r="V385">
            <v>-2.3847624904464165E-2</v>
          </cell>
          <cell r="W385">
            <v>-9.6727931483642261E-3</v>
          </cell>
          <cell r="X385">
            <v>4.3066255346369001E-2</v>
          </cell>
          <cell r="Y385">
            <v>2.190739425933819E-2</v>
          </cell>
          <cell r="Z385">
            <v>-5.2073544616258696E-2</v>
          </cell>
          <cell r="AA385">
            <v>-1.9328660130545672E-2</v>
          </cell>
          <cell r="AB385">
            <v>-5.497487207634949E-2</v>
          </cell>
          <cell r="AC385">
            <v>-5.1381523285071985E-2</v>
          </cell>
          <cell r="AD385">
            <v>-9.3729831240636449E-4</v>
          </cell>
          <cell r="AE385">
            <v>-5.0892853254018072E-2</v>
          </cell>
          <cell r="AF385">
            <v>-7.4138138830947969E-2</v>
          </cell>
          <cell r="AG385">
            <v>-8.0545287859641532E-2</v>
          </cell>
          <cell r="AH385">
            <v>-8.5981108391628591E-2</v>
          </cell>
          <cell r="AI385">
            <v>-4.3985807106127671E-2</v>
          </cell>
          <cell r="AJ385">
            <v>9.534275392322893E-3</v>
          </cell>
          <cell r="AK385">
            <v>1.6861096252002959E-2</v>
          </cell>
          <cell r="AL385">
            <v>8.4897470911880872E-3</v>
          </cell>
          <cell r="AM385">
            <v>-5.6355610593099001E-2</v>
          </cell>
          <cell r="AN385">
            <v>-5.6130457402967578E-2</v>
          </cell>
          <cell r="AO385">
            <v>-3.9901067120965208E-2</v>
          </cell>
          <cell r="AP385">
            <v>-2.2497727908878246E-2</v>
          </cell>
          <cell r="AQ385">
            <v>1.7677784797551704E-2</v>
          </cell>
          <cell r="AR385">
            <v>1.2282610732318672E-2</v>
          </cell>
          <cell r="AS385">
            <v>1.9720901938188529E-2</v>
          </cell>
          <cell r="AT385" t="e">
            <v>#DIV/0!</v>
          </cell>
          <cell r="AU385" t="e">
            <v>#DIV/0!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G386">
            <v>376</v>
          </cell>
          <cell r="H386" t="str">
            <v>Actual</v>
          </cell>
          <cell r="I386">
            <v>0</v>
          </cell>
          <cell r="J386">
            <v>0</v>
          </cell>
          <cell r="K386">
            <v>0</v>
          </cell>
          <cell r="L386">
            <v>507989</v>
          </cell>
          <cell r="M386">
            <v>615617</v>
          </cell>
          <cell r="N386">
            <v>1000658</v>
          </cell>
          <cell r="O386">
            <v>987054</v>
          </cell>
          <cell r="P386">
            <v>1165789</v>
          </cell>
          <cell r="Q386">
            <v>869611</v>
          </cell>
          <cell r="R386">
            <v>625670</v>
          </cell>
          <cell r="S386">
            <v>666377</v>
          </cell>
          <cell r="T386">
            <v>788998</v>
          </cell>
          <cell r="U386">
            <v>719730</v>
          </cell>
          <cell r="V386">
            <v>857055</v>
          </cell>
          <cell r="W386">
            <v>776344</v>
          </cell>
          <cell r="X386">
            <v>579654</v>
          </cell>
          <cell r="Y386">
            <v>656031</v>
          </cell>
          <cell r="Z386">
            <v>1076673</v>
          </cell>
          <cell r="AA386">
            <v>1459428</v>
          </cell>
          <cell r="AB386">
            <v>999223</v>
          </cell>
          <cell r="AC386">
            <v>1278734</v>
          </cell>
          <cell r="AD386">
            <v>784687</v>
          </cell>
          <cell r="AE386">
            <v>781143</v>
          </cell>
          <cell r="AF386">
            <v>750730</v>
          </cell>
          <cell r="AG386">
            <v>873941</v>
          </cell>
          <cell r="AH386">
            <v>978425</v>
          </cell>
          <cell r="AI386">
            <v>1019362</v>
          </cell>
          <cell r="AJ386">
            <v>785047</v>
          </cell>
          <cell r="AK386">
            <v>736233</v>
          </cell>
          <cell r="AL386">
            <v>857436</v>
          </cell>
          <cell r="AM386">
            <v>1844415</v>
          </cell>
          <cell r="AN386">
            <v>906454</v>
          </cell>
          <cell r="AO386">
            <v>1029192</v>
          </cell>
          <cell r="AP386">
            <v>743341</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G387">
            <v>377</v>
          </cell>
          <cell r="H387" t="str">
            <v>Target (Budget)</v>
          </cell>
          <cell r="I387">
            <v>0</v>
          </cell>
          <cell r="J387">
            <v>0</v>
          </cell>
          <cell r="K387">
            <v>0</v>
          </cell>
          <cell r="L387">
            <v>577570</v>
          </cell>
          <cell r="M387">
            <v>631860</v>
          </cell>
          <cell r="N387">
            <v>963376</v>
          </cell>
          <cell r="O387">
            <v>1047081</v>
          </cell>
          <cell r="P387">
            <v>936963</v>
          </cell>
          <cell r="Q387">
            <v>836062</v>
          </cell>
          <cell r="R387">
            <v>639683</v>
          </cell>
          <cell r="S387">
            <v>685876</v>
          </cell>
          <cell r="T387">
            <v>733693</v>
          </cell>
          <cell r="U387">
            <v>675285</v>
          </cell>
          <cell r="V387">
            <v>752823</v>
          </cell>
          <cell r="W387">
            <v>749018</v>
          </cell>
          <cell r="X387">
            <v>557661</v>
          </cell>
          <cell r="Y387">
            <v>696385</v>
          </cell>
          <cell r="Z387">
            <v>1109727</v>
          </cell>
          <cell r="AA387">
            <v>1099607</v>
          </cell>
          <cell r="AB387">
            <v>1115012</v>
          </cell>
          <cell r="AC387">
            <v>981137</v>
          </cell>
          <cell r="AD387">
            <v>711339</v>
          </cell>
          <cell r="AE387">
            <v>754737</v>
          </cell>
          <cell r="AF387">
            <v>805523</v>
          </cell>
          <cell r="AG387">
            <v>757212</v>
          </cell>
          <cell r="AH387">
            <v>830522</v>
          </cell>
          <cell r="AI387">
            <v>734725</v>
          </cell>
          <cell r="AJ387">
            <v>783845</v>
          </cell>
          <cell r="AK387">
            <v>666968</v>
          </cell>
          <cell r="AL387">
            <v>873172</v>
          </cell>
          <cell r="AM387">
            <v>2007672</v>
          </cell>
          <cell r="AN387">
            <v>928151</v>
          </cell>
          <cell r="AO387">
            <v>1027539</v>
          </cell>
          <cell r="AP387">
            <v>774755</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G388">
            <v>378</v>
          </cell>
          <cell r="H388" t="str">
            <v>Target (Budget) Variance</v>
          </cell>
          <cell r="I388">
            <v>0</v>
          </cell>
          <cell r="J388">
            <v>0</v>
          </cell>
          <cell r="K388">
            <v>0</v>
          </cell>
          <cell r="L388">
            <v>-69581</v>
          </cell>
          <cell r="M388">
            <v>-16243</v>
          </cell>
          <cell r="N388">
            <v>37282</v>
          </cell>
          <cell r="O388">
            <v>-60027</v>
          </cell>
          <cell r="P388">
            <v>228826</v>
          </cell>
          <cell r="Q388">
            <v>33549</v>
          </cell>
          <cell r="R388">
            <v>-14013</v>
          </cell>
          <cell r="S388">
            <v>-19499</v>
          </cell>
          <cell r="T388">
            <v>55305</v>
          </cell>
          <cell r="U388">
            <v>44445</v>
          </cell>
          <cell r="V388">
            <v>104232</v>
          </cell>
          <cell r="W388">
            <v>27326</v>
          </cell>
          <cell r="X388">
            <v>21993</v>
          </cell>
          <cell r="Y388">
            <v>-40354</v>
          </cell>
          <cell r="Z388">
            <v>-33054</v>
          </cell>
          <cell r="AA388">
            <v>359821</v>
          </cell>
          <cell r="AB388">
            <v>-115789</v>
          </cell>
          <cell r="AC388">
            <v>297597</v>
          </cell>
          <cell r="AD388">
            <v>73348</v>
          </cell>
          <cell r="AE388">
            <v>26406</v>
          </cell>
          <cell r="AF388">
            <v>-54793</v>
          </cell>
          <cell r="AG388">
            <v>116729</v>
          </cell>
          <cell r="AH388">
            <v>147903</v>
          </cell>
          <cell r="AI388">
            <v>284637</v>
          </cell>
          <cell r="AJ388">
            <v>1202</v>
          </cell>
          <cell r="AK388">
            <v>69265</v>
          </cell>
          <cell r="AL388">
            <v>-15736</v>
          </cell>
          <cell r="AM388">
            <v>-163257</v>
          </cell>
          <cell r="AN388">
            <v>-21697</v>
          </cell>
          <cell r="AO388">
            <v>1653</v>
          </cell>
          <cell r="AP388">
            <v>-31414</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G389">
            <v>379</v>
          </cell>
          <cell r="H389" t="str">
            <v>Target (Budget) %Var</v>
          </cell>
          <cell r="I389">
            <v>0</v>
          </cell>
          <cell r="J389">
            <v>0</v>
          </cell>
          <cell r="K389">
            <v>0</v>
          </cell>
          <cell r="L389">
            <v>-0.12047197742265006</v>
          </cell>
          <cell r="M389">
            <v>-2.5706643876808155E-2</v>
          </cell>
          <cell r="N389">
            <v>3.8699324043779376E-2</v>
          </cell>
          <cell r="O389">
            <v>-5.7327943110418389E-2</v>
          </cell>
          <cell r="P389">
            <v>0.24422095643051006</v>
          </cell>
          <cell r="Q389">
            <v>4.0127406819111498E-2</v>
          </cell>
          <cell r="R389">
            <v>-2.1906162896309578E-2</v>
          </cell>
          <cell r="S389">
            <v>-2.8429337081338317E-2</v>
          </cell>
          <cell r="T389">
            <v>7.5378939147572627E-2</v>
          </cell>
          <cell r="U389">
            <v>6.5816655190030882E-2</v>
          </cell>
          <cell r="V389">
            <v>0.13845485592230844</v>
          </cell>
          <cell r="W389">
            <v>3.6482434334021346E-2</v>
          </cell>
          <cell r="X389">
            <v>3.943793810218036E-2</v>
          </cell>
          <cell r="Y389">
            <v>-5.7947830582221041E-2</v>
          </cell>
          <cell r="Z389">
            <v>-2.9785704051537E-2</v>
          </cell>
          <cell r="AA389">
            <v>0.3272269092503049</v>
          </cell>
          <cell r="AB389">
            <v>-0.10384551915136339</v>
          </cell>
          <cell r="AC389">
            <v>0.3033184968052372</v>
          </cell>
          <cell r="AD389">
            <v>0.10311258064017297</v>
          </cell>
          <cell r="AE389">
            <v>3.4987021969242263E-2</v>
          </cell>
          <cell r="AF389">
            <v>-6.8021645564434532E-2</v>
          </cell>
          <cell r="AG389">
            <v>0.15415629968885861</v>
          </cell>
          <cell r="AH389">
            <v>0.17808438548286498</v>
          </cell>
          <cell r="AI389">
            <v>0.38740617237742014</v>
          </cell>
          <cell r="AJ389">
            <v>1.5334664378799381E-3</v>
          </cell>
          <cell r="AK389">
            <v>0.10385055954708472</v>
          </cell>
          <cell r="AL389">
            <v>-1.8021649800955598E-2</v>
          </cell>
          <cell r="AM389">
            <v>-8.1316569638865313E-2</v>
          </cell>
          <cell r="AN389">
            <v>-2.337658419804536E-2</v>
          </cell>
          <cell r="AO389">
            <v>1.6086980640150886E-3</v>
          </cell>
          <cell r="AP389">
            <v>-4.054701163593652E-2</v>
          </cell>
          <cell r="AQ389" t="e">
            <v>#DIV/0!</v>
          </cell>
          <cell r="AR389" t="e">
            <v>#DIV/0!</v>
          </cell>
          <cell r="AS389" t="e">
            <v>#DIV/0!</v>
          </cell>
          <cell r="AT389" t="e">
            <v>#DIV/0!</v>
          </cell>
          <cell r="AU389" t="e">
            <v>#DIV/0!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G390">
            <v>380</v>
          </cell>
          <cell r="H390" t="str">
            <v>YTD Actual</v>
          </cell>
          <cell r="I390">
            <v>0</v>
          </cell>
          <cell r="J390">
            <v>0</v>
          </cell>
          <cell r="K390">
            <v>0</v>
          </cell>
          <cell r="L390">
            <v>507989</v>
          </cell>
          <cell r="M390">
            <v>1123606</v>
          </cell>
          <cell r="N390">
            <v>2124264</v>
          </cell>
          <cell r="O390">
            <v>3111318</v>
          </cell>
          <cell r="P390">
            <v>4277107</v>
          </cell>
          <cell r="Q390">
            <v>5146718</v>
          </cell>
          <cell r="R390">
            <v>5772388</v>
          </cell>
          <cell r="S390">
            <v>6438765</v>
          </cell>
          <cell r="T390">
            <v>7227763</v>
          </cell>
          <cell r="U390">
            <v>7947493</v>
          </cell>
          <cell r="V390">
            <v>8804548</v>
          </cell>
          <cell r="W390">
            <v>9580892</v>
          </cell>
          <cell r="X390">
            <v>579654</v>
          </cell>
          <cell r="Y390">
            <v>1235685</v>
          </cell>
          <cell r="Z390">
            <v>2285373</v>
          </cell>
          <cell r="AA390">
            <v>3744802</v>
          </cell>
          <cell r="AB390">
            <v>4744025</v>
          </cell>
          <cell r="AC390">
            <v>6022758</v>
          </cell>
          <cell r="AD390">
            <v>6807445</v>
          </cell>
          <cell r="AE390">
            <v>7588588</v>
          </cell>
          <cell r="AF390">
            <v>8339318</v>
          </cell>
          <cell r="AG390">
            <v>9213258</v>
          </cell>
          <cell r="AH390">
            <v>10191684</v>
          </cell>
          <cell r="AI390">
            <v>11211045</v>
          </cell>
          <cell r="AJ390">
            <v>785047</v>
          </cell>
          <cell r="AK390">
            <v>1491000</v>
          </cell>
          <cell r="AL390">
            <v>2348435</v>
          </cell>
          <cell r="AM390">
            <v>4192851</v>
          </cell>
          <cell r="AN390">
            <v>5099305</v>
          </cell>
          <cell r="AO390">
            <v>6128497</v>
          </cell>
          <cell r="AP390">
            <v>6871839</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G391">
            <v>381</v>
          </cell>
          <cell r="H391" t="str">
            <v>YTD Target (Budget)</v>
          </cell>
          <cell r="I391">
            <v>0</v>
          </cell>
          <cell r="J391">
            <v>0</v>
          </cell>
          <cell r="K391">
            <v>0</v>
          </cell>
          <cell r="L391">
            <v>577570</v>
          </cell>
          <cell r="M391">
            <v>1212231</v>
          </cell>
          <cell r="N391">
            <v>2175607</v>
          </cell>
          <cell r="O391">
            <v>3249688</v>
          </cell>
          <cell r="P391">
            <v>4156850</v>
          </cell>
          <cell r="Q391">
            <v>4992912</v>
          </cell>
          <cell r="R391">
            <v>5632595</v>
          </cell>
          <cell r="S391">
            <v>6318471</v>
          </cell>
          <cell r="T391">
            <v>7052164</v>
          </cell>
          <cell r="U391">
            <v>7727449</v>
          </cell>
          <cell r="V391">
            <v>8480272</v>
          </cell>
          <cell r="W391">
            <v>9229290</v>
          </cell>
          <cell r="X391">
            <v>557661</v>
          </cell>
          <cell r="Y391">
            <v>1254046</v>
          </cell>
          <cell r="Z391">
            <v>2409645</v>
          </cell>
          <cell r="AA391">
            <v>3509252</v>
          </cell>
          <cell r="AB391">
            <v>4624264</v>
          </cell>
          <cell r="AC391">
            <v>5605401</v>
          </cell>
          <cell r="AD391">
            <v>6316740</v>
          </cell>
          <cell r="AE391">
            <v>7071477</v>
          </cell>
          <cell r="AF391">
            <v>7877000</v>
          </cell>
          <cell r="AG391">
            <v>8634212</v>
          </cell>
          <cell r="AH391">
            <v>9464734</v>
          </cell>
          <cell r="AI391">
            <v>10199459</v>
          </cell>
          <cell r="AJ391">
            <v>783845</v>
          </cell>
          <cell r="AK391">
            <v>1450813</v>
          </cell>
          <cell r="AL391">
            <v>2323985</v>
          </cell>
          <cell r="AM391">
            <v>4331657</v>
          </cell>
          <cell r="AN391">
            <v>5259808</v>
          </cell>
          <cell r="AO391">
            <v>6287347</v>
          </cell>
          <cell r="AP391">
            <v>7062102</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G392">
            <v>382</v>
          </cell>
          <cell r="H392" t="str">
            <v>YTD Target (Budget) Var</v>
          </cell>
          <cell r="I392">
            <v>0</v>
          </cell>
          <cell r="J392">
            <v>0</v>
          </cell>
          <cell r="K392">
            <v>0</v>
          </cell>
          <cell r="L392">
            <v>-69581</v>
          </cell>
          <cell r="M392">
            <v>-88625</v>
          </cell>
          <cell r="N392">
            <v>-51343</v>
          </cell>
          <cell r="O392">
            <v>-138370</v>
          </cell>
          <cell r="P392">
            <v>120257</v>
          </cell>
          <cell r="Q392">
            <v>153806</v>
          </cell>
          <cell r="R392">
            <v>139793</v>
          </cell>
          <cell r="S392">
            <v>120294</v>
          </cell>
          <cell r="T392">
            <v>175599</v>
          </cell>
          <cell r="U392">
            <v>220044</v>
          </cell>
          <cell r="V392">
            <v>324276</v>
          </cell>
          <cell r="W392">
            <v>351602</v>
          </cell>
          <cell r="X392">
            <v>21993</v>
          </cell>
          <cell r="Y392">
            <v>-18361</v>
          </cell>
          <cell r="Z392">
            <v>-124272</v>
          </cell>
          <cell r="AA392">
            <v>235550</v>
          </cell>
          <cell r="AB392">
            <v>119761</v>
          </cell>
          <cell r="AC392">
            <v>417357</v>
          </cell>
          <cell r="AD392">
            <v>490705</v>
          </cell>
          <cell r="AE392">
            <v>517111</v>
          </cell>
          <cell r="AF392">
            <v>462318</v>
          </cell>
          <cell r="AG392">
            <v>579046</v>
          </cell>
          <cell r="AH392">
            <v>726950</v>
          </cell>
          <cell r="AI392">
            <v>1011586</v>
          </cell>
          <cell r="AJ392">
            <v>1202</v>
          </cell>
          <cell r="AK392">
            <v>40187</v>
          </cell>
          <cell r="AL392">
            <v>24450</v>
          </cell>
          <cell r="AM392">
            <v>-138806</v>
          </cell>
          <cell r="AN392">
            <v>-160503</v>
          </cell>
          <cell r="AO392">
            <v>-158850</v>
          </cell>
          <cell r="AP392">
            <v>-190263</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G393">
            <v>383</v>
          </cell>
          <cell r="H393" t="str">
            <v>YTD %Var</v>
          </cell>
          <cell r="I393">
            <v>0</v>
          </cell>
          <cell r="J393">
            <v>0</v>
          </cell>
          <cell r="K393">
            <v>0</v>
          </cell>
          <cell r="L393">
            <v>-0.12047197742265006</v>
          </cell>
          <cell r="M393">
            <v>-7.3109003152039498E-2</v>
          </cell>
          <cell r="N393">
            <v>-2.3599390882636431E-2</v>
          </cell>
          <cell r="O393">
            <v>-4.2579472244720105E-2</v>
          </cell>
          <cell r="P393">
            <v>2.8929838699977145E-2</v>
          </cell>
          <cell r="Q393">
            <v>3.0804868982269265E-2</v>
          </cell>
          <cell r="R393">
            <v>2.481857829295378E-2</v>
          </cell>
          <cell r="S393">
            <v>1.9038466742982599E-2</v>
          </cell>
          <cell r="T393">
            <v>2.4900016505571908E-2</v>
          </cell>
          <cell r="U393">
            <v>2.8475632773506496E-2</v>
          </cell>
          <cell r="V393">
            <v>3.8238867809900434E-2</v>
          </cell>
          <cell r="W393">
            <v>3.8096321602203422E-2</v>
          </cell>
          <cell r="X393">
            <v>3.943793810218036E-2</v>
          </cell>
          <cell r="Y393">
            <v>-1.4641408688357524E-2</v>
          </cell>
          <cell r="Z393">
            <v>-5.1572742042915037E-2</v>
          </cell>
          <cell r="AA393">
            <v>6.7122566290480135E-2</v>
          </cell>
          <cell r="AB393">
            <v>2.5898391614319598E-2</v>
          </cell>
          <cell r="AC393">
            <v>7.4456225344092242E-2</v>
          </cell>
          <cell r="AD393">
            <v>7.7683267001649584E-2</v>
          </cell>
          <cell r="AE393">
            <v>7.3126307276400668E-2</v>
          </cell>
          <cell r="AF393">
            <v>5.8692141678303923E-2</v>
          </cell>
          <cell r="AG393">
            <v>6.706413972693745E-2</v>
          </cell>
          <cell r="AH393">
            <v>7.6806173316651058E-2</v>
          </cell>
          <cell r="AI393">
            <v>9.9180358487641354E-2</v>
          </cell>
          <cell r="AJ393">
            <v>1.5334664378799381E-3</v>
          </cell>
          <cell r="AK393">
            <v>2.7699641511345706E-2</v>
          </cell>
          <cell r="AL393">
            <v>1.0520721949582292E-2</v>
          </cell>
          <cell r="AM393">
            <v>-3.2044550157133866E-2</v>
          </cell>
          <cell r="AN393">
            <v>-3.0514992182224143E-2</v>
          </cell>
          <cell r="AO393">
            <v>-2.5265028317985314E-2</v>
          </cell>
          <cell r="AP393">
            <v>-2.694141206116819E-2</v>
          </cell>
          <cell r="AQ393" t="e">
            <v>#DIV/0!</v>
          </cell>
          <cell r="AR393" t="e">
            <v>#DIV/0!</v>
          </cell>
          <cell r="AS393" t="e">
            <v>#DIV/0!</v>
          </cell>
          <cell r="AT393" t="e">
            <v>#DIV/0!</v>
          </cell>
          <cell r="AU393" t="e">
            <v>#DIV/0!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G394">
            <v>384</v>
          </cell>
          <cell r="H394" t="str">
            <v>4 Month Actual</v>
          </cell>
          <cell r="I394">
            <v>0</v>
          </cell>
          <cell r="J394">
            <v>0</v>
          </cell>
          <cell r="K394">
            <v>0</v>
          </cell>
          <cell r="L394">
            <v>507989</v>
          </cell>
          <cell r="M394">
            <v>1123606</v>
          </cell>
          <cell r="N394">
            <v>2124264</v>
          </cell>
          <cell r="O394">
            <v>3111318</v>
          </cell>
          <cell r="P394">
            <v>3769118</v>
          </cell>
          <cell r="Q394">
            <v>4023112</v>
          </cell>
          <cell r="R394">
            <v>3648124</v>
          </cell>
          <cell r="S394">
            <v>3327447</v>
          </cell>
          <cell r="T394">
            <v>2950656</v>
          </cell>
          <cell r="U394">
            <v>2800775</v>
          </cell>
          <cell r="V394">
            <v>3032160</v>
          </cell>
          <cell r="W394">
            <v>3142127</v>
          </cell>
          <cell r="X394">
            <v>2932783</v>
          </cell>
          <cell r="Y394">
            <v>2869084</v>
          </cell>
          <cell r="Z394">
            <v>3088702</v>
          </cell>
          <cell r="AA394">
            <v>3771786</v>
          </cell>
          <cell r="AB394">
            <v>4191355</v>
          </cell>
          <cell r="AC394">
            <v>4814058</v>
          </cell>
          <cell r="AD394">
            <v>4522072</v>
          </cell>
          <cell r="AE394">
            <v>3843787</v>
          </cell>
          <cell r="AF394">
            <v>3595294</v>
          </cell>
          <cell r="AG394">
            <v>3190501</v>
          </cell>
          <cell r="AH394">
            <v>3384239</v>
          </cell>
          <cell r="AI394">
            <v>3622458</v>
          </cell>
          <cell r="AJ394">
            <v>3656775</v>
          </cell>
          <cell r="AK394">
            <v>3519067</v>
          </cell>
          <cell r="AL394">
            <v>3398078</v>
          </cell>
          <cell r="AM394">
            <v>4223131</v>
          </cell>
          <cell r="AN394">
            <v>4344538</v>
          </cell>
          <cell r="AO394">
            <v>4637497</v>
          </cell>
          <cell r="AP394">
            <v>4523402</v>
          </cell>
          <cell r="AQ394">
            <v>2678987</v>
          </cell>
          <cell r="AR394">
            <v>1772533</v>
          </cell>
          <cell r="AS394">
            <v>743341</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G395">
            <v>385</v>
          </cell>
          <cell r="H395" t="str">
            <v>4 Month Target (Budget)</v>
          </cell>
          <cell r="I395">
            <v>0</v>
          </cell>
          <cell r="J395">
            <v>0</v>
          </cell>
          <cell r="K395">
            <v>0</v>
          </cell>
          <cell r="L395">
            <v>577570</v>
          </cell>
          <cell r="M395">
            <v>1209430</v>
          </cell>
          <cell r="N395">
            <v>2172806</v>
          </cell>
          <cell r="O395">
            <v>3219887</v>
          </cell>
          <cell r="P395">
            <v>3579280</v>
          </cell>
          <cell r="Q395">
            <v>3783482</v>
          </cell>
          <cell r="R395">
            <v>3459789</v>
          </cell>
          <cell r="S395">
            <v>3098584</v>
          </cell>
          <cell r="T395">
            <v>2895314</v>
          </cell>
          <cell r="U395">
            <v>2734537</v>
          </cell>
          <cell r="V395">
            <v>2847677</v>
          </cell>
          <cell r="W395">
            <v>2910819</v>
          </cell>
          <cell r="X395">
            <v>2734787</v>
          </cell>
          <cell r="Y395">
            <v>2755887</v>
          </cell>
          <cell r="Z395">
            <v>3112791</v>
          </cell>
          <cell r="AA395">
            <v>3463380</v>
          </cell>
          <cell r="AB395">
            <v>4020731</v>
          </cell>
          <cell r="AC395">
            <v>4305483</v>
          </cell>
          <cell r="AD395">
            <v>3907095</v>
          </cell>
          <cell r="AE395">
            <v>3562225</v>
          </cell>
          <cell r="AF395">
            <v>3252736</v>
          </cell>
          <cell r="AG395">
            <v>3028811</v>
          </cell>
          <cell r="AH395">
            <v>3147994</v>
          </cell>
          <cell r="AI395">
            <v>3127982</v>
          </cell>
          <cell r="AJ395">
            <v>3106304</v>
          </cell>
          <cell r="AK395">
            <v>3016060</v>
          </cell>
          <cell r="AL395">
            <v>3058710</v>
          </cell>
          <cell r="AM395">
            <v>4331657</v>
          </cell>
          <cell r="AN395">
            <v>4475963</v>
          </cell>
          <cell r="AO395">
            <v>4836534</v>
          </cell>
          <cell r="AP395">
            <v>4738117</v>
          </cell>
          <cell r="AQ395">
            <v>2730445</v>
          </cell>
          <cell r="AR395">
            <v>1802294</v>
          </cell>
          <cell r="AS395">
            <v>774755</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G396">
            <v>386</v>
          </cell>
          <cell r="H396" t="str">
            <v>4 Month Target (Budget) Var</v>
          </cell>
          <cell r="I396">
            <v>0</v>
          </cell>
          <cell r="J396">
            <v>0</v>
          </cell>
          <cell r="K396">
            <v>0</v>
          </cell>
          <cell r="L396">
            <v>-69581</v>
          </cell>
          <cell r="M396">
            <v>-85824</v>
          </cell>
          <cell r="N396">
            <v>-48542</v>
          </cell>
          <cell r="O396">
            <v>-108569</v>
          </cell>
          <cell r="P396">
            <v>189838</v>
          </cell>
          <cell r="Q396">
            <v>239630</v>
          </cell>
          <cell r="R396">
            <v>188335</v>
          </cell>
          <cell r="S396">
            <v>228863</v>
          </cell>
          <cell r="T396">
            <v>55342</v>
          </cell>
          <cell r="U396">
            <v>66238</v>
          </cell>
          <cell r="V396">
            <v>184483</v>
          </cell>
          <cell r="W396">
            <v>231308</v>
          </cell>
          <cell r="X396">
            <v>197996</v>
          </cell>
          <cell r="Y396">
            <v>113197</v>
          </cell>
          <cell r="Z396">
            <v>-24089</v>
          </cell>
          <cell r="AA396">
            <v>308406</v>
          </cell>
          <cell r="AB396">
            <v>170624</v>
          </cell>
          <cell r="AC396">
            <v>508575</v>
          </cell>
          <cell r="AD396">
            <v>614977</v>
          </cell>
          <cell r="AE396">
            <v>281562</v>
          </cell>
          <cell r="AF396">
            <v>342558</v>
          </cell>
          <cell r="AG396">
            <v>161690</v>
          </cell>
          <cell r="AH396">
            <v>236245</v>
          </cell>
          <cell r="AI396">
            <v>494476</v>
          </cell>
          <cell r="AJ396">
            <v>550471</v>
          </cell>
          <cell r="AK396">
            <v>503007</v>
          </cell>
          <cell r="AL396">
            <v>339368</v>
          </cell>
          <cell r="AM396">
            <v>-108526</v>
          </cell>
          <cell r="AN396">
            <v>-131425</v>
          </cell>
          <cell r="AO396">
            <v>-199037</v>
          </cell>
          <cell r="AP396">
            <v>-214715</v>
          </cell>
          <cell r="AQ396">
            <v>-51458</v>
          </cell>
          <cell r="AR396">
            <v>-29761</v>
          </cell>
          <cell r="AS396">
            <v>-31414</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G397">
            <v>387</v>
          </cell>
          <cell r="H397" t="str">
            <v>4 Month Target (Budget) % Var</v>
          </cell>
          <cell r="I397">
            <v>0</v>
          </cell>
          <cell r="J397">
            <v>0</v>
          </cell>
          <cell r="K397">
            <v>0</v>
          </cell>
          <cell r="L397">
            <v>-0.12047197742265006</v>
          </cell>
          <cell r="M397">
            <v>-7.0962354166838923E-2</v>
          </cell>
          <cell r="N397">
            <v>-2.2340696776426427E-2</v>
          </cell>
          <cell r="O397">
            <v>-3.3718264026035699E-2</v>
          </cell>
          <cell r="P397">
            <v>5.3038041170291234E-2</v>
          </cell>
          <cell r="Q397">
            <v>6.3335837199701234E-2</v>
          </cell>
          <cell r="R397">
            <v>5.443540054032197E-2</v>
          </cell>
          <cell r="S397">
            <v>7.386051176924685E-2</v>
          </cell>
          <cell r="T397">
            <v>1.9114334403798689E-2</v>
          </cell>
          <cell r="U397">
            <v>2.4222747763149668E-2</v>
          </cell>
          <cell r="V397">
            <v>6.4783681576246185E-2</v>
          </cell>
          <cell r="W397">
            <v>7.9464920354030938E-2</v>
          </cell>
          <cell r="X397">
            <v>7.2399057038080111E-2</v>
          </cell>
          <cell r="Y397">
            <v>4.1074615904062826E-2</v>
          </cell>
          <cell r="Z397">
            <v>-7.738714227842473E-3</v>
          </cell>
          <cell r="AA397">
            <v>8.9047693293834343E-2</v>
          </cell>
          <cell r="AB397">
            <v>4.2436064486781132E-2</v>
          </cell>
          <cell r="AC397">
            <v>0.11812263571822255</v>
          </cell>
          <cell r="AD397">
            <v>0.15740006321832462</v>
          </cell>
          <cell r="AE397">
            <v>7.904104878271305E-2</v>
          </cell>
          <cell r="AF397">
            <v>0.10531380351802298</v>
          </cell>
          <cell r="AG397">
            <v>5.3383984672533212E-2</v>
          </cell>
          <cell r="AH397">
            <v>7.5046204027072475E-2</v>
          </cell>
          <cell r="AI397">
            <v>0.15808147233583825</v>
          </cell>
          <cell r="AJ397">
            <v>0.17721092333525632</v>
          </cell>
          <cell r="AK397">
            <v>0.16677619145507716</v>
          </cell>
          <cell r="AL397">
            <v>0.11095134877121401</v>
          </cell>
          <cell r="AM397">
            <v>-2.5054153641435598E-2</v>
          </cell>
          <cell r="AN397">
            <v>-2.9362396427316313E-2</v>
          </cell>
          <cell r="AO397">
            <v>-4.1152817286097855E-2</v>
          </cell>
          <cell r="AP397">
            <v>-4.5316525531133994E-2</v>
          </cell>
          <cell r="AQ397">
            <v>-1.884601228004959E-2</v>
          </cell>
          <cell r="AR397">
            <v>-1.6512844186353615E-2</v>
          </cell>
          <cell r="AS397">
            <v>-4.054701163593652E-2</v>
          </cell>
          <cell r="AT397" t="e">
            <v>#DIV/0!</v>
          </cell>
          <cell r="AU397" t="e">
            <v>#DIV/0!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G398">
            <v>388</v>
          </cell>
          <cell r="H398" t="str">
            <v>Empl_Benefits</v>
          </cell>
          <cell r="I398">
            <v>0</v>
          </cell>
          <cell r="J398">
            <v>0</v>
          </cell>
          <cell r="K398">
            <v>0</v>
          </cell>
          <cell r="L398">
            <v>161932</v>
          </cell>
          <cell r="M398">
            <v>201852</v>
          </cell>
          <cell r="N398">
            <v>268263</v>
          </cell>
          <cell r="O398">
            <v>267382</v>
          </cell>
          <cell r="P398">
            <v>312176</v>
          </cell>
          <cell r="Q398">
            <v>246878</v>
          </cell>
          <cell r="R398">
            <v>209487</v>
          </cell>
          <cell r="S398">
            <v>213491</v>
          </cell>
          <cell r="T398">
            <v>239405</v>
          </cell>
          <cell r="U398">
            <v>221978</v>
          </cell>
          <cell r="V398">
            <v>260628</v>
          </cell>
          <cell r="W398">
            <v>250534</v>
          </cell>
          <cell r="X398">
            <v>195247</v>
          </cell>
          <cell r="Y398">
            <v>221501</v>
          </cell>
          <cell r="Z398">
            <v>319469</v>
          </cell>
          <cell r="AA398">
            <v>391899</v>
          </cell>
          <cell r="AB398">
            <v>294051</v>
          </cell>
          <cell r="AC398">
            <v>337974</v>
          </cell>
          <cell r="AD398">
            <v>256131</v>
          </cell>
          <cell r="AE398">
            <v>254374</v>
          </cell>
          <cell r="AF398">
            <v>247212</v>
          </cell>
          <cell r="AG398">
            <v>269696</v>
          </cell>
          <cell r="AH398">
            <v>307373</v>
          </cell>
          <cell r="AI398">
            <v>317588</v>
          </cell>
          <cell r="AJ398">
            <v>232088</v>
          </cell>
          <cell r="AK398">
            <v>243356</v>
          </cell>
          <cell r="AL398">
            <v>269057</v>
          </cell>
          <cell r="AM398">
            <v>450910</v>
          </cell>
          <cell r="AN398">
            <v>274850</v>
          </cell>
          <cell r="AO398">
            <v>297811</v>
          </cell>
          <cell r="AP398">
            <v>250617</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G399">
            <v>389</v>
          </cell>
          <cell r="H399" t="str">
            <v>Total Personnel</v>
          </cell>
          <cell r="I399">
            <v>0</v>
          </cell>
          <cell r="J399">
            <v>0</v>
          </cell>
          <cell r="K399">
            <v>0</v>
          </cell>
          <cell r="L399">
            <v>669921</v>
          </cell>
          <cell r="M399">
            <v>817469</v>
          </cell>
          <cell r="N399">
            <v>1268921</v>
          </cell>
          <cell r="O399">
            <v>1254436</v>
          </cell>
          <cell r="P399">
            <v>1477965</v>
          </cell>
          <cell r="Q399">
            <v>1116489</v>
          </cell>
          <cell r="R399">
            <v>835157</v>
          </cell>
          <cell r="S399">
            <v>879868</v>
          </cell>
          <cell r="T399">
            <v>1028403</v>
          </cell>
          <cell r="U399">
            <v>941708</v>
          </cell>
          <cell r="V399">
            <v>1117683</v>
          </cell>
          <cell r="W399">
            <v>1026878</v>
          </cell>
          <cell r="X399">
            <v>774901</v>
          </cell>
          <cell r="Y399">
            <v>877532</v>
          </cell>
          <cell r="Z399">
            <v>1396142</v>
          </cell>
          <cell r="AA399">
            <v>1851327</v>
          </cell>
          <cell r="AB399">
            <v>1293274</v>
          </cell>
          <cell r="AC399">
            <v>1616708</v>
          </cell>
          <cell r="AD399">
            <v>1040818</v>
          </cell>
          <cell r="AE399">
            <v>1035517</v>
          </cell>
          <cell r="AF399">
            <v>997942</v>
          </cell>
          <cell r="AG399">
            <v>1143637</v>
          </cell>
          <cell r="AH399">
            <v>1285798</v>
          </cell>
          <cell r="AI399">
            <v>1336950</v>
          </cell>
          <cell r="AJ399">
            <v>1017135</v>
          </cell>
          <cell r="AK399">
            <v>979589</v>
          </cell>
          <cell r="AL399">
            <v>1126493</v>
          </cell>
          <cell r="AM399">
            <v>2295325</v>
          </cell>
          <cell r="AN399">
            <v>1181304</v>
          </cell>
          <cell r="AO399">
            <v>1327003</v>
          </cell>
          <cell r="AP399">
            <v>993958</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G400">
            <v>390</v>
          </cell>
          <cell r="H400" t="str">
            <v>Target Empl_Benefits</v>
          </cell>
          <cell r="I400">
            <v>0</v>
          </cell>
          <cell r="J400">
            <v>0</v>
          </cell>
          <cell r="K400">
            <v>0</v>
          </cell>
          <cell r="L400">
            <v>171644</v>
          </cell>
          <cell r="M400">
            <v>214242</v>
          </cell>
          <cell r="N400">
            <v>281495</v>
          </cell>
          <cell r="O400">
            <v>293566</v>
          </cell>
          <cell r="P400">
            <v>279908</v>
          </cell>
          <cell r="Q400">
            <v>255654</v>
          </cell>
          <cell r="R400">
            <v>215313</v>
          </cell>
          <cell r="S400">
            <v>224407</v>
          </cell>
          <cell r="T400">
            <v>240333</v>
          </cell>
          <cell r="U400">
            <v>223131</v>
          </cell>
          <cell r="V400">
            <v>247227</v>
          </cell>
          <cell r="W400">
            <v>254609</v>
          </cell>
          <cell r="X400">
            <v>190652</v>
          </cell>
          <cell r="Y400">
            <v>238946</v>
          </cell>
          <cell r="Z400">
            <v>306534</v>
          </cell>
          <cell r="AA400">
            <v>310916</v>
          </cell>
          <cell r="AB400">
            <v>299452</v>
          </cell>
          <cell r="AC400">
            <v>289006</v>
          </cell>
          <cell r="AD400">
            <v>243337</v>
          </cell>
          <cell r="AE400">
            <v>250280</v>
          </cell>
          <cell r="AF400">
            <v>263191</v>
          </cell>
          <cell r="AG400">
            <v>246661</v>
          </cell>
          <cell r="AH400">
            <v>271218</v>
          </cell>
          <cell r="AI400">
            <v>263021</v>
          </cell>
          <cell r="AJ400">
            <v>242789</v>
          </cell>
          <cell r="AK400">
            <v>241074</v>
          </cell>
          <cell r="AL400">
            <v>284554</v>
          </cell>
          <cell r="AM400">
            <v>477021</v>
          </cell>
          <cell r="AN400">
            <v>283548</v>
          </cell>
          <cell r="AO400">
            <v>309520</v>
          </cell>
          <cell r="AP400">
            <v>259110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G401">
            <v>391</v>
          </cell>
          <cell r="H401" t="str">
            <v>Target Total Personnel</v>
          </cell>
          <cell r="I401">
            <v>0</v>
          </cell>
          <cell r="J401">
            <v>0</v>
          </cell>
          <cell r="K401">
            <v>0</v>
          </cell>
          <cell r="L401">
            <v>749214</v>
          </cell>
          <cell r="M401">
            <v>846102</v>
          </cell>
          <cell r="N401">
            <v>1244871</v>
          </cell>
          <cell r="O401">
            <v>1340647</v>
          </cell>
          <cell r="P401">
            <v>1216871</v>
          </cell>
          <cell r="Q401">
            <v>1091716</v>
          </cell>
          <cell r="R401">
            <v>854996</v>
          </cell>
          <cell r="S401">
            <v>910283</v>
          </cell>
          <cell r="T401">
            <v>974026</v>
          </cell>
          <cell r="U401">
            <v>898416</v>
          </cell>
          <cell r="V401">
            <v>1000050</v>
          </cell>
          <cell r="W401">
            <v>1003627</v>
          </cell>
          <cell r="X401">
            <v>748313</v>
          </cell>
          <cell r="Y401">
            <v>935331</v>
          </cell>
          <cell r="Z401">
            <v>1416261</v>
          </cell>
          <cell r="AA401">
            <v>1410523</v>
          </cell>
          <cell r="AB401">
            <v>1414464</v>
          </cell>
          <cell r="AC401">
            <v>1270143</v>
          </cell>
          <cell r="AD401">
            <v>954676</v>
          </cell>
          <cell r="AE401">
            <v>1005017</v>
          </cell>
          <cell r="AF401">
            <v>1068714</v>
          </cell>
          <cell r="AG401">
            <v>1003873</v>
          </cell>
          <cell r="AH401">
            <v>1101740</v>
          </cell>
          <cell r="AI401">
            <v>997746</v>
          </cell>
          <cell r="AJ401">
            <v>1026634</v>
          </cell>
          <cell r="AK401">
            <v>908042</v>
          </cell>
          <cell r="AL401">
            <v>1157726</v>
          </cell>
          <cell r="AM401">
            <v>2484693</v>
          </cell>
          <cell r="AN401">
            <v>1211699</v>
          </cell>
          <cell r="AO401">
            <v>1337059</v>
          </cell>
          <cell r="AP401">
            <v>1033865</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G402">
            <v>392</v>
          </cell>
          <cell r="H402" t="str">
            <v>YTD Empl_Benefits</v>
          </cell>
          <cell r="I402">
            <v>0</v>
          </cell>
          <cell r="J402">
            <v>0</v>
          </cell>
          <cell r="K402">
            <v>0</v>
          </cell>
          <cell r="L402">
            <v>161932</v>
          </cell>
          <cell r="M402">
            <v>363784</v>
          </cell>
          <cell r="N402">
            <v>632047</v>
          </cell>
          <cell r="O402">
            <v>899429</v>
          </cell>
          <cell r="P402">
            <v>1211605</v>
          </cell>
          <cell r="Q402">
            <v>1458483</v>
          </cell>
          <cell r="R402">
            <v>1667970</v>
          </cell>
          <cell r="S402">
            <v>1881460</v>
          </cell>
          <cell r="T402">
            <v>2120865</v>
          </cell>
          <cell r="U402">
            <v>2342843</v>
          </cell>
          <cell r="V402">
            <v>2603472</v>
          </cell>
          <cell r="W402">
            <v>2854006</v>
          </cell>
          <cell r="X402">
            <v>195247</v>
          </cell>
          <cell r="Y402">
            <v>407756</v>
          </cell>
          <cell r="Z402">
            <v>727226</v>
          </cell>
          <cell r="AA402">
            <v>1119124</v>
          </cell>
          <cell r="AB402">
            <v>1413175</v>
          </cell>
          <cell r="AC402">
            <v>1751150</v>
          </cell>
          <cell r="AD402">
            <v>2007281</v>
          </cell>
          <cell r="AE402">
            <v>2261655</v>
          </cell>
          <cell r="AF402">
            <v>2508867</v>
          </cell>
          <cell r="AG402">
            <v>2778564</v>
          </cell>
          <cell r="AH402">
            <v>3085936</v>
          </cell>
          <cell r="AI402">
            <v>3403525</v>
          </cell>
          <cell r="AJ402">
            <v>232088</v>
          </cell>
          <cell r="AK402">
            <v>464902</v>
          </cell>
          <cell r="AL402">
            <v>733960</v>
          </cell>
          <cell r="AM402">
            <v>1184869</v>
          </cell>
          <cell r="AN402">
            <v>1459719</v>
          </cell>
          <cell r="AO402">
            <v>1757530</v>
          </cell>
          <cell r="AP402">
            <v>2008147</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G403">
            <v>393</v>
          </cell>
          <cell r="H403" t="str">
            <v>YTD Total Personnel</v>
          </cell>
          <cell r="I403">
            <v>0</v>
          </cell>
          <cell r="J403">
            <v>0</v>
          </cell>
          <cell r="K403">
            <v>0</v>
          </cell>
          <cell r="L403">
            <v>669921</v>
          </cell>
          <cell r="M403">
            <v>1487390</v>
          </cell>
          <cell r="N403">
            <v>2756311</v>
          </cell>
          <cell r="O403">
            <v>4010747</v>
          </cell>
          <cell r="P403">
            <v>5488712</v>
          </cell>
          <cell r="Q403">
            <v>6605201</v>
          </cell>
          <cell r="R403">
            <v>7440358</v>
          </cell>
          <cell r="S403">
            <v>8320226</v>
          </cell>
          <cell r="T403">
            <v>9348629</v>
          </cell>
          <cell r="U403">
            <v>10290337</v>
          </cell>
          <cell r="V403">
            <v>11408020</v>
          </cell>
          <cell r="W403">
            <v>12434898</v>
          </cell>
          <cell r="X403">
            <v>774901</v>
          </cell>
          <cell r="Y403">
            <v>1616457</v>
          </cell>
          <cell r="Z403">
            <v>3012599</v>
          </cell>
          <cell r="AA403">
            <v>4863926</v>
          </cell>
          <cell r="AB403">
            <v>6157200</v>
          </cell>
          <cell r="AC403">
            <v>7773908</v>
          </cell>
          <cell r="AD403">
            <v>8814726</v>
          </cell>
          <cell r="AE403">
            <v>9850243</v>
          </cell>
          <cell r="AF403">
            <v>10848185</v>
          </cell>
          <cell r="AG403">
            <v>11991822</v>
          </cell>
          <cell r="AH403">
            <v>13277620</v>
          </cell>
          <cell r="AI403">
            <v>14614570</v>
          </cell>
          <cell r="AJ403">
            <v>1017135</v>
          </cell>
          <cell r="AK403">
            <v>1955902</v>
          </cell>
          <cell r="AL403">
            <v>3082395</v>
          </cell>
          <cell r="AM403">
            <v>5377720</v>
          </cell>
          <cell r="AN403">
            <v>6559024</v>
          </cell>
          <cell r="AO403">
            <v>7886027</v>
          </cell>
          <cell r="AP403">
            <v>8879986</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G404">
            <v>394</v>
          </cell>
          <cell r="H404" t="str">
            <v>YTD Target Empl_Benefits</v>
          </cell>
          <cell r="I404">
            <v>0</v>
          </cell>
          <cell r="J404">
            <v>0</v>
          </cell>
          <cell r="K404">
            <v>0</v>
          </cell>
          <cell r="L404">
            <v>171644</v>
          </cell>
          <cell r="M404">
            <v>405652</v>
          </cell>
          <cell r="N404">
            <v>687147</v>
          </cell>
          <cell r="O404">
            <v>980713</v>
          </cell>
          <cell r="P404">
            <v>1260621</v>
          </cell>
          <cell r="Q404">
            <v>1519919</v>
          </cell>
          <cell r="R404">
            <v>1735232</v>
          </cell>
          <cell r="S404">
            <v>1959639</v>
          </cell>
          <cell r="T404">
            <v>2199972</v>
          </cell>
          <cell r="U404">
            <v>2423103</v>
          </cell>
          <cell r="V404">
            <v>2670330</v>
          </cell>
          <cell r="W404">
            <v>2924939</v>
          </cell>
          <cell r="X404">
            <v>190652</v>
          </cell>
          <cell r="Y404">
            <v>446053</v>
          </cell>
          <cell r="Z404">
            <v>752587</v>
          </cell>
          <cell r="AA404">
            <v>1063503</v>
          </cell>
          <cell r="AB404">
            <v>1362955</v>
          </cell>
          <cell r="AC404">
            <v>1651961</v>
          </cell>
          <cell r="AD404">
            <v>1895298</v>
          </cell>
          <cell r="AE404">
            <v>2145578</v>
          </cell>
          <cell r="AF404">
            <v>2408769</v>
          </cell>
          <cell r="AG404">
            <v>2655430</v>
          </cell>
          <cell r="AH404">
            <v>2926648</v>
          </cell>
          <cell r="AI404">
            <v>3189669</v>
          </cell>
          <cell r="AJ404">
            <v>242789</v>
          </cell>
          <cell r="AK404">
            <v>483863</v>
          </cell>
          <cell r="AL404">
            <v>770461</v>
          </cell>
          <cell r="AM404">
            <v>1247482</v>
          </cell>
          <cell r="AN404">
            <v>1531030</v>
          </cell>
          <cell r="AO404">
            <v>1840550</v>
          </cell>
          <cell r="AP404">
            <v>2099660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G405">
            <v>395</v>
          </cell>
          <cell r="H405" t="str">
            <v>YTD Target Total Personnel</v>
          </cell>
          <cell r="I405">
            <v>0</v>
          </cell>
          <cell r="J405">
            <v>0</v>
          </cell>
          <cell r="K405">
            <v>0</v>
          </cell>
          <cell r="L405">
            <v>749214</v>
          </cell>
          <cell r="M405">
            <v>1617883</v>
          </cell>
          <cell r="N405">
            <v>2862754</v>
          </cell>
          <cell r="O405">
            <v>4230401</v>
          </cell>
          <cell r="P405">
            <v>5420272</v>
          </cell>
          <cell r="Q405">
            <v>6525923</v>
          </cell>
          <cell r="R405">
            <v>7380919</v>
          </cell>
          <cell r="S405">
            <v>8291202</v>
          </cell>
          <cell r="T405">
            <v>9265228</v>
          </cell>
          <cell r="U405">
            <v>10163644</v>
          </cell>
          <cell r="V405">
            <v>11163694</v>
          </cell>
          <cell r="W405">
            <v>12167321</v>
          </cell>
          <cell r="X405">
            <v>748313</v>
          </cell>
          <cell r="Y405">
            <v>1745971</v>
          </cell>
          <cell r="Z405">
            <v>3162232</v>
          </cell>
          <cell r="AA405">
            <v>4572755</v>
          </cell>
          <cell r="AB405">
            <v>5987219</v>
          </cell>
          <cell r="AC405">
            <v>7257362</v>
          </cell>
          <cell r="AD405">
            <v>8212038</v>
          </cell>
          <cell r="AE405">
            <v>9217055</v>
          </cell>
          <cell r="AF405">
            <v>10285769</v>
          </cell>
          <cell r="AG405">
            <v>11289642</v>
          </cell>
          <cell r="AH405">
            <v>12391382</v>
          </cell>
          <cell r="AI405">
            <v>13389128</v>
          </cell>
          <cell r="AJ405">
            <v>1026634</v>
          </cell>
          <cell r="AK405">
            <v>1934676</v>
          </cell>
          <cell r="AL405">
            <v>3094446</v>
          </cell>
          <cell r="AM405">
            <v>5579139</v>
          </cell>
          <cell r="AN405">
            <v>6790838</v>
          </cell>
          <cell r="AO405">
            <v>8127897</v>
          </cell>
          <cell r="AP405">
            <v>9161762</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G406">
            <v>396</v>
          </cell>
          <cell r="H406" t="str">
            <v>Actual</v>
          </cell>
          <cell r="I406">
            <v>0</v>
          </cell>
          <cell r="J406">
            <v>0</v>
          </cell>
          <cell r="K406">
            <v>0</v>
          </cell>
          <cell r="L406">
            <v>31156</v>
          </cell>
          <cell r="M406">
            <v>37338</v>
          </cell>
          <cell r="N406">
            <v>97012</v>
          </cell>
          <cell r="O406">
            <v>92359</v>
          </cell>
          <cell r="P406">
            <v>135421</v>
          </cell>
          <cell r="Q406">
            <v>71629</v>
          </cell>
          <cell r="R406">
            <v>31073</v>
          </cell>
          <cell r="S406">
            <v>47004</v>
          </cell>
          <cell r="T406">
            <v>55494</v>
          </cell>
          <cell r="U406">
            <v>76977</v>
          </cell>
          <cell r="V406">
            <v>102537</v>
          </cell>
          <cell r="W406">
            <v>64627</v>
          </cell>
          <cell r="X406">
            <v>35781</v>
          </cell>
          <cell r="Y406">
            <v>34165</v>
          </cell>
          <cell r="Z406">
            <v>122569</v>
          </cell>
          <cell r="AA406">
            <v>196956</v>
          </cell>
          <cell r="AB406">
            <v>129979</v>
          </cell>
          <cell r="AC406">
            <v>172650</v>
          </cell>
          <cell r="AD406">
            <v>86973</v>
          </cell>
          <cell r="AE406">
            <v>69516</v>
          </cell>
          <cell r="AF406">
            <v>49949</v>
          </cell>
          <cell r="AG406">
            <v>94138</v>
          </cell>
          <cell r="AH406">
            <v>99849</v>
          </cell>
          <cell r="AI406">
            <v>56775</v>
          </cell>
          <cell r="AJ406">
            <v>66133</v>
          </cell>
          <cell r="AK406">
            <v>46718</v>
          </cell>
          <cell r="AL406">
            <v>84276</v>
          </cell>
          <cell r="AM406">
            <v>204062</v>
          </cell>
          <cell r="AN406">
            <v>64555</v>
          </cell>
          <cell r="AO406">
            <v>100884</v>
          </cell>
          <cell r="AP406">
            <v>48429</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G407">
            <v>397</v>
          </cell>
          <cell r="H407" t="str">
            <v>Target (Budget)</v>
          </cell>
          <cell r="I407">
            <v>0</v>
          </cell>
          <cell r="J407">
            <v>0</v>
          </cell>
          <cell r="K407">
            <v>0</v>
          </cell>
          <cell r="L407">
            <v>24896</v>
          </cell>
          <cell r="M407">
            <v>32372</v>
          </cell>
          <cell r="N407">
            <v>69098</v>
          </cell>
          <cell r="O407">
            <v>105916</v>
          </cell>
          <cell r="P407">
            <v>67967</v>
          </cell>
          <cell r="Q407">
            <v>32502</v>
          </cell>
          <cell r="R407">
            <v>20541</v>
          </cell>
          <cell r="S407">
            <v>38667</v>
          </cell>
          <cell r="T407">
            <v>42819</v>
          </cell>
          <cell r="U407">
            <v>40614</v>
          </cell>
          <cell r="V407">
            <v>46947</v>
          </cell>
          <cell r="W407">
            <v>51023</v>
          </cell>
          <cell r="X407">
            <v>20517</v>
          </cell>
          <cell r="Y407">
            <v>42025</v>
          </cell>
          <cell r="Z407">
            <v>113352</v>
          </cell>
          <cell r="AA407">
            <v>119471</v>
          </cell>
          <cell r="AB407">
            <v>140637</v>
          </cell>
          <cell r="AC407">
            <v>86605</v>
          </cell>
          <cell r="AD407">
            <v>28582</v>
          </cell>
          <cell r="AE407">
            <v>43747</v>
          </cell>
          <cell r="AF407">
            <v>46445</v>
          </cell>
          <cell r="AG407">
            <v>51033</v>
          </cell>
          <cell r="AH407">
            <v>50776</v>
          </cell>
          <cell r="AI407">
            <v>16371</v>
          </cell>
          <cell r="AJ407">
            <v>44911</v>
          </cell>
          <cell r="AK407">
            <v>34839</v>
          </cell>
          <cell r="AL407">
            <v>87545</v>
          </cell>
          <cell r="AM407">
            <v>210579</v>
          </cell>
          <cell r="AN407">
            <v>90213</v>
          </cell>
          <cell r="AO407">
            <v>79877</v>
          </cell>
          <cell r="AP407">
            <v>79508</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G408">
            <v>398</v>
          </cell>
          <cell r="H408" t="str">
            <v>Target (Budget) Variance</v>
          </cell>
          <cell r="I408">
            <v>0</v>
          </cell>
          <cell r="J408">
            <v>0</v>
          </cell>
          <cell r="K408">
            <v>0</v>
          </cell>
          <cell r="L408">
            <v>6260</v>
          </cell>
          <cell r="M408">
            <v>4966</v>
          </cell>
          <cell r="N408">
            <v>27914</v>
          </cell>
          <cell r="O408">
            <v>-13557</v>
          </cell>
          <cell r="P408">
            <v>67454</v>
          </cell>
          <cell r="Q408">
            <v>39127</v>
          </cell>
          <cell r="R408">
            <v>10532</v>
          </cell>
          <cell r="S408">
            <v>8337</v>
          </cell>
          <cell r="T408">
            <v>12675</v>
          </cell>
          <cell r="U408">
            <v>36363</v>
          </cell>
          <cell r="V408">
            <v>55590</v>
          </cell>
          <cell r="W408">
            <v>13604</v>
          </cell>
          <cell r="X408">
            <v>15264</v>
          </cell>
          <cell r="Y408">
            <v>-7860</v>
          </cell>
          <cell r="Z408">
            <v>9217</v>
          </cell>
          <cell r="AA408">
            <v>77485</v>
          </cell>
          <cell r="AB408">
            <v>-10658</v>
          </cell>
          <cell r="AC408">
            <v>86045</v>
          </cell>
          <cell r="AD408">
            <v>58391</v>
          </cell>
          <cell r="AE408">
            <v>25769</v>
          </cell>
          <cell r="AF408">
            <v>3504</v>
          </cell>
          <cell r="AG408">
            <v>43105</v>
          </cell>
          <cell r="AH408">
            <v>49073</v>
          </cell>
          <cell r="AI408">
            <v>40404</v>
          </cell>
          <cell r="AJ408">
            <v>21222</v>
          </cell>
          <cell r="AK408">
            <v>11879</v>
          </cell>
          <cell r="AL408">
            <v>-3269</v>
          </cell>
          <cell r="AM408">
            <v>-6517</v>
          </cell>
          <cell r="AN408">
            <v>-25658</v>
          </cell>
          <cell r="AO408">
            <v>21007</v>
          </cell>
          <cell r="AP408">
            <v>-31079</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G409">
            <v>399</v>
          </cell>
          <cell r="H409" t="str">
            <v>Target (Budget) %Var</v>
          </cell>
          <cell r="I409">
            <v>0</v>
          </cell>
          <cell r="J409">
            <v>0</v>
          </cell>
          <cell r="K409">
            <v>0</v>
          </cell>
          <cell r="L409">
            <v>0.2514460154241645</v>
          </cell>
          <cell r="M409">
            <v>0.1534041764487829</v>
          </cell>
          <cell r="N409">
            <v>0.40397696025934182</v>
          </cell>
          <cell r="O409">
            <v>-0.1279976585218475</v>
          </cell>
          <cell r="P409">
            <v>0.99245221945944351</v>
          </cell>
          <cell r="Q409">
            <v>1.2038336102393699</v>
          </cell>
          <cell r="R409">
            <v>0.51273063628839877</v>
          </cell>
          <cell r="S409">
            <v>0.21561021025680813</v>
          </cell>
          <cell r="T409">
            <v>0.29601345197225531</v>
          </cell>
          <cell r="U409">
            <v>0.89533165903383072</v>
          </cell>
          <cell r="V409">
            <v>1.1841012205252732</v>
          </cell>
          <cell r="W409">
            <v>0.26662485545734277</v>
          </cell>
          <cell r="X409">
            <v>0.74396841643515133</v>
          </cell>
          <cell r="Y409">
            <v>-0.18703152885187388</v>
          </cell>
          <cell r="Z409">
            <v>8.1313077846001836E-2</v>
          </cell>
          <cell r="AA409">
            <v>0.64856743477496626</v>
          </cell>
          <cell r="AB409">
            <v>-7.5783755341766387E-2</v>
          </cell>
          <cell r="AC409">
            <v>0.99353386063160321</v>
          </cell>
          <cell r="AD409">
            <v>2.042929116226996</v>
          </cell>
          <cell r="AE409">
            <v>0.58904610601869845</v>
          </cell>
          <cell r="AF409">
            <v>7.5444073635482833E-2</v>
          </cell>
          <cell r="AG409">
            <v>0.84464954049340624</v>
          </cell>
          <cell r="AH409">
            <v>0.96646053253505593</v>
          </cell>
          <cell r="AI409">
            <v>2.4680227231079348</v>
          </cell>
          <cell r="AJ409">
            <v>0.47253456836855112</v>
          </cell>
          <cell r="AK409">
            <v>0.34096845489250555</v>
          </cell>
          <cell r="AL409">
            <v>-3.734079616197384E-2</v>
          </cell>
          <cell r="AM409">
            <v>-3.0948005261683263E-2</v>
          </cell>
          <cell r="AN409">
            <v>-0.2844157715628568</v>
          </cell>
          <cell r="AO409">
            <v>0.26299184996932784</v>
          </cell>
          <cell r="AP409">
            <v>-0.3908914826181013</v>
          </cell>
          <cell r="AQ409" t="e">
            <v>#DIV/0!</v>
          </cell>
          <cell r="AR409" t="e">
            <v>#DIV/0!</v>
          </cell>
          <cell r="AS409" t="e">
            <v>#DIV/0!</v>
          </cell>
          <cell r="AT409" t="e">
            <v>#DIV/0!</v>
          </cell>
          <cell r="AU409" t="e">
            <v>#DIV/0!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G410">
            <v>400</v>
          </cell>
          <cell r="H410" t="str">
            <v>YTD Actual</v>
          </cell>
          <cell r="I410">
            <v>0</v>
          </cell>
          <cell r="J410">
            <v>0</v>
          </cell>
          <cell r="K410">
            <v>0</v>
          </cell>
          <cell r="L410">
            <v>31156</v>
          </cell>
          <cell r="M410">
            <v>68494</v>
          </cell>
          <cell r="N410">
            <v>165506</v>
          </cell>
          <cell r="O410">
            <v>257865</v>
          </cell>
          <cell r="P410">
            <v>393286</v>
          </cell>
          <cell r="Q410">
            <v>464914</v>
          </cell>
          <cell r="R410">
            <v>495988</v>
          </cell>
          <cell r="S410">
            <v>542991</v>
          </cell>
          <cell r="T410">
            <v>598485</v>
          </cell>
          <cell r="U410">
            <v>675462</v>
          </cell>
          <cell r="V410">
            <v>777999</v>
          </cell>
          <cell r="W410">
            <v>842627</v>
          </cell>
          <cell r="X410">
            <v>35781</v>
          </cell>
          <cell r="Y410">
            <v>69946</v>
          </cell>
          <cell r="Z410">
            <v>192515</v>
          </cell>
          <cell r="AA410">
            <v>389472</v>
          </cell>
          <cell r="AB410">
            <v>519450</v>
          </cell>
          <cell r="AC410">
            <v>692100</v>
          </cell>
          <cell r="AD410">
            <v>779073</v>
          </cell>
          <cell r="AE410">
            <v>848589</v>
          </cell>
          <cell r="AF410">
            <v>898538</v>
          </cell>
          <cell r="AG410">
            <v>992675</v>
          </cell>
          <cell r="AH410">
            <v>1092524</v>
          </cell>
          <cell r="AI410">
            <v>1149299</v>
          </cell>
          <cell r="AJ410">
            <v>66133</v>
          </cell>
          <cell r="AK410">
            <v>112851</v>
          </cell>
          <cell r="AL410">
            <v>197127</v>
          </cell>
          <cell r="AM410">
            <v>401189</v>
          </cell>
          <cell r="AN410">
            <v>465744</v>
          </cell>
          <cell r="AO410">
            <v>566628</v>
          </cell>
          <cell r="AP410">
            <v>615056</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G411">
            <v>401</v>
          </cell>
          <cell r="H411" t="str">
            <v>YTD Target (Budget)</v>
          </cell>
          <cell r="I411">
            <v>0</v>
          </cell>
          <cell r="J411">
            <v>0</v>
          </cell>
          <cell r="K411">
            <v>0</v>
          </cell>
          <cell r="L411">
            <v>24896</v>
          </cell>
          <cell r="M411">
            <v>57268</v>
          </cell>
          <cell r="N411">
            <v>126366</v>
          </cell>
          <cell r="O411">
            <v>232282</v>
          </cell>
          <cell r="P411">
            <v>300249</v>
          </cell>
          <cell r="Q411">
            <v>332751</v>
          </cell>
          <cell r="R411">
            <v>353292</v>
          </cell>
          <cell r="S411">
            <v>391959</v>
          </cell>
          <cell r="T411">
            <v>434778</v>
          </cell>
          <cell r="U411">
            <v>475392</v>
          </cell>
          <cell r="V411">
            <v>522339</v>
          </cell>
          <cell r="W411">
            <v>573362</v>
          </cell>
          <cell r="X411">
            <v>20517</v>
          </cell>
          <cell r="Y411">
            <v>62542</v>
          </cell>
          <cell r="Z411">
            <v>175894</v>
          </cell>
          <cell r="AA411">
            <v>295365</v>
          </cell>
          <cell r="AB411">
            <v>436002</v>
          </cell>
          <cell r="AC411">
            <v>522607</v>
          </cell>
          <cell r="AD411">
            <v>551189</v>
          </cell>
          <cell r="AE411">
            <v>594936</v>
          </cell>
          <cell r="AF411">
            <v>641381</v>
          </cell>
          <cell r="AG411">
            <v>692414</v>
          </cell>
          <cell r="AH411">
            <v>743190</v>
          </cell>
          <cell r="AI411">
            <v>759561</v>
          </cell>
          <cell r="AJ411">
            <v>44911</v>
          </cell>
          <cell r="AK411">
            <v>79750</v>
          </cell>
          <cell r="AL411">
            <v>167295</v>
          </cell>
          <cell r="AM411">
            <v>377874</v>
          </cell>
          <cell r="AN411">
            <v>468087</v>
          </cell>
          <cell r="AO411">
            <v>547964</v>
          </cell>
          <cell r="AP411">
            <v>627472</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G412">
            <v>402</v>
          </cell>
          <cell r="H412" t="str">
            <v>YTD Target (Budget) Var</v>
          </cell>
          <cell r="I412">
            <v>0</v>
          </cell>
          <cell r="J412">
            <v>0</v>
          </cell>
          <cell r="K412">
            <v>0</v>
          </cell>
          <cell r="L412">
            <v>6260</v>
          </cell>
          <cell r="M412">
            <v>11226</v>
          </cell>
          <cell r="N412">
            <v>39140</v>
          </cell>
          <cell r="O412">
            <v>25583</v>
          </cell>
          <cell r="P412">
            <v>93037</v>
          </cell>
          <cell r="Q412">
            <v>132163</v>
          </cell>
          <cell r="R412">
            <v>142696</v>
          </cell>
          <cell r="S412">
            <v>151032</v>
          </cell>
          <cell r="T412">
            <v>163707</v>
          </cell>
          <cell r="U412">
            <v>200070</v>
          </cell>
          <cell r="V412">
            <v>255660</v>
          </cell>
          <cell r="W412">
            <v>269265</v>
          </cell>
          <cell r="X412">
            <v>15264</v>
          </cell>
          <cell r="Y412">
            <v>7404</v>
          </cell>
          <cell r="Z412">
            <v>16621</v>
          </cell>
          <cell r="AA412">
            <v>94107</v>
          </cell>
          <cell r="AB412">
            <v>83448</v>
          </cell>
          <cell r="AC412">
            <v>169493</v>
          </cell>
          <cell r="AD412">
            <v>227884</v>
          </cell>
          <cell r="AE412">
            <v>253653</v>
          </cell>
          <cell r="AF412">
            <v>257157</v>
          </cell>
          <cell r="AG412">
            <v>300261</v>
          </cell>
          <cell r="AH412">
            <v>349334</v>
          </cell>
          <cell r="AI412">
            <v>389738</v>
          </cell>
          <cell r="AJ412">
            <v>21222</v>
          </cell>
          <cell r="AK412">
            <v>33101</v>
          </cell>
          <cell r="AL412">
            <v>29832</v>
          </cell>
          <cell r="AM412">
            <v>23315</v>
          </cell>
          <cell r="AN412">
            <v>-2343</v>
          </cell>
          <cell r="AO412">
            <v>18664</v>
          </cell>
          <cell r="AP412">
            <v>-12416</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G413">
            <v>403</v>
          </cell>
          <cell r="H413" t="str">
            <v>YTD %Var</v>
          </cell>
          <cell r="I413">
            <v>0</v>
          </cell>
          <cell r="J413">
            <v>0</v>
          </cell>
          <cell r="K413">
            <v>0</v>
          </cell>
          <cell r="L413">
            <v>0.2514460154241645</v>
          </cell>
          <cell r="M413">
            <v>0.19602570370887756</v>
          </cell>
          <cell r="N413">
            <v>0.30973521358593292</v>
          </cell>
          <cell r="O413">
            <v>0.11013767747823766</v>
          </cell>
          <cell r="P413">
            <v>0.30986614443345356</v>
          </cell>
          <cell r="Q413">
            <v>0.3971828784887198</v>
          </cell>
          <cell r="R413">
            <v>0.40390385290354719</v>
          </cell>
          <cell r="S413">
            <v>0.38532601624149465</v>
          </cell>
          <cell r="T413">
            <v>0.37653009121896691</v>
          </cell>
          <cell r="U413">
            <v>0.42085268578352181</v>
          </cell>
          <cell r="V413">
            <v>0.4894522522729492</v>
          </cell>
          <cell r="W413">
            <v>0.46962477457522472</v>
          </cell>
          <cell r="X413">
            <v>0.74396841643515133</v>
          </cell>
          <cell r="Y413">
            <v>0.1183844456525215</v>
          </cell>
          <cell r="Z413">
            <v>9.4494411406870052E-2</v>
          </cell>
          <cell r="AA413">
            <v>0.31861256411558581</v>
          </cell>
          <cell r="AB413">
            <v>0.19139361746047037</v>
          </cell>
          <cell r="AC413">
            <v>0.32432210054591692</v>
          </cell>
          <cell r="AD413">
            <v>0.41344076169880023</v>
          </cell>
          <cell r="AE413">
            <v>0.42635342288918471</v>
          </cell>
          <cell r="AF413">
            <v>0.40094265343064417</v>
          </cell>
          <cell r="AG413">
            <v>0.43364374492716784</v>
          </cell>
          <cell r="AH413">
            <v>0.47004669061747334</v>
          </cell>
          <cell r="AI413">
            <v>0.51310954617206517</v>
          </cell>
          <cell r="AJ413">
            <v>0.47253456836855112</v>
          </cell>
          <cell r="AK413">
            <v>0.41505956112852666</v>
          </cell>
          <cell r="AL413">
            <v>0.17831973460055592</v>
          </cell>
          <cell r="AM413">
            <v>6.1700461000227587E-2</v>
          </cell>
          <cell r="AN413">
            <v>-5.0054797505591905E-3</v>
          </cell>
          <cell r="AO413">
            <v>3.4060631720331989E-2</v>
          </cell>
          <cell r="AP413">
            <v>-1.9787337124206338E-2</v>
          </cell>
          <cell r="AQ413" t="e">
            <v>#DIV/0!</v>
          </cell>
          <cell r="AR413" t="e">
            <v>#DIV/0!</v>
          </cell>
          <cell r="AS413" t="e">
            <v>#DIV/0!</v>
          </cell>
          <cell r="AT413" t="e">
            <v>#DIV/0!</v>
          </cell>
          <cell r="AU413" t="e">
            <v>#DIV/0!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G414">
            <v>404</v>
          </cell>
          <cell r="H414" t="str">
            <v>4 Month Actual</v>
          </cell>
          <cell r="I414">
            <v>0</v>
          </cell>
          <cell r="J414">
            <v>0</v>
          </cell>
          <cell r="K414">
            <v>0</v>
          </cell>
          <cell r="L414">
            <v>31156</v>
          </cell>
          <cell r="M414">
            <v>68494</v>
          </cell>
          <cell r="N414">
            <v>165506</v>
          </cell>
          <cell r="O414">
            <v>257865</v>
          </cell>
          <cell r="P414">
            <v>362130</v>
          </cell>
          <cell r="Q414">
            <v>396421</v>
          </cell>
          <cell r="R414">
            <v>330482</v>
          </cell>
          <cell r="S414">
            <v>285127</v>
          </cell>
          <cell r="T414">
            <v>205200</v>
          </cell>
          <cell r="U414">
            <v>210548</v>
          </cell>
          <cell r="V414">
            <v>282012</v>
          </cell>
          <cell r="W414">
            <v>299635</v>
          </cell>
          <cell r="X414">
            <v>279922</v>
          </cell>
          <cell r="Y414">
            <v>237110</v>
          </cell>
          <cell r="Z414">
            <v>257142</v>
          </cell>
          <cell r="AA414">
            <v>389471</v>
          </cell>
          <cell r="AB414">
            <v>483669</v>
          </cell>
          <cell r="AC414">
            <v>622154</v>
          </cell>
          <cell r="AD414">
            <v>586558</v>
          </cell>
          <cell r="AE414">
            <v>459118</v>
          </cell>
          <cell r="AF414">
            <v>379088</v>
          </cell>
          <cell r="AG414">
            <v>300576</v>
          </cell>
          <cell r="AH414">
            <v>313452</v>
          </cell>
          <cell r="AI414">
            <v>300711</v>
          </cell>
          <cell r="AJ414">
            <v>316895</v>
          </cell>
          <cell r="AK414">
            <v>269475</v>
          </cell>
          <cell r="AL414">
            <v>253902</v>
          </cell>
          <cell r="AM414">
            <v>401189</v>
          </cell>
          <cell r="AN414">
            <v>399611</v>
          </cell>
          <cell r="AO414">
            <v>453777</v>
          </cell>
          <cell r="AP414">
            <v>417930</v>
          </cell>
          <cell r="AQ414">
            <v>213868</v>
          </cell>
          <cell r="AR414">
            <v>149313</v>
          </cell>
          <cell r="AS414">
            <v>48429</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G415">
            <v>405</v>
          </cell>
          <cell r="H415" t="str">
            <v>4 Month Target (Budget)</v>
          </cell>
          <cell r="I415">
            <v>0</v>
          </cell>
          <cell r="J415">
            <v>0</v>
          </cell>
          <cell r="K415">
            <v>0</v>
          </cell>
          <cell r="L415">
            <v>24896</v>
          </cell>
          <cell r="M415">
            <v>57268</v>
          </cell>
          <cell r="N415">
            <v>126366</v>
          </cell>
          <cell r="O415">
            <v>232282</v>
          </cell>
          <cell r="P415">
            <v>275353</v>
          </cell>
          <cell r="Q415">
            <v>275483</v>
          </cell>
          <cell r="R415">
            <v>226926</v>
          </cell>
          <cell r="S415">
            <v>159677</v>
          </cell>
          <cell r="T415">
            <v>134529</v>
          </cell>
          <cell r="U415">
            <v>142641</v>
          </cell>
          <cell r="V415">
            <v>169047</v>
          </cell>
          <cell r="W415">
            <v>181403</v>
          </cell>
          <cell r="X415">
            <v>159101</v>
          </cell>
          <cell r="Y415">
            <v>160512</v>
          </cell>
          <cell r="Z415">
            <v>226917</v>
          </cell>
          <cell r="AA415">
            <v>295365</v>
          </cell>
          <cell r="AB415">
            <v>415485</v>
          </cell>
          <cell r="AC415">
            <v>460065</v>
          </cell>
          <cell r="AD415">
            <v>375295</v>
          </cell>
          <cell r="AE415">
            <v>299571</v>
          </cell>
          <cell r="AF415">
            <v>205379</v>
          </cell>
          <cell r="AG415">
            <v>169807</v>
          </cell>
          <cell r="AH415">
            <v>192001</v>
          </cell>
          <cell r="AI415">
            <v>164625</v>
          </cell>
          <cell r="AJ415">
            <v>163091</v>
          </cell>
          <cell r="AK415">
            <v>146897</v>
          </cell>
          <cell r="AL415">
            <v>183666</v>
          </cell>
          <cell r="AM415">
            <v>377874</v>
          </cell>
          <cell r="AN415">
            <v>423176</v>
          </cell>
          <cell r="AO415">
            <v>468214</v>
          </cell>
          <cell r="AP415">
            <v>460177</v>
          </cell>
          <cell r="AQ415">
            <v>249598</v>
          </cell>
          <cell r="AR415">
            <v>159385</v>
          </cell>
          <cell r="AS415">
            <v>79508</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G416">
            <v>406</v>
          </cell>
          <cell r="H416" t="str">
            <v>4 Month Target (Budget) Var</v>
          </cell>
          <cell r="I416">
            <v>0</v>
          </cell>
          <cell r="J416">
            <v>0</v>
          </cell>
          <cell r="K416">
            <v>0</v>
          </cell>
          <cell r="L416">
            <v>6260</v>
          </cell>
          <cell r="M416">
            <v>11226</v>
          </cell>
          <cell r="N416">
            <v>39140</v>
          </cell>
          <cell r="O416">
            <v>25583</v>
          </cell>
          <cell r="P416">
            <v>86777</v>
          </cell>
          <cell r="Q416">
            <v>120938</v>
          </cell>
          <cell r="R416">
            <v>103556</v>
          </cell>
          <cell r="S416">
            <v>125450</v>
          </cell>
          <cell r="T416">
            <v>70671</v>
          </cell>
          <cell r="U416">
            <v>67907</v>
          </cell>
          <cell r="V416">
            <v>112965</v>
          </cell>
          <cell r="W416">
            <v>118232</v>
          </cell>
          <cell r="X416">
            <v>120821</v>
          </cell>
          <cell r="Y416">
            <v>76598</v>
          </cell>
          <cell r="Z416">
            <v>30225</v>
          </cell>
          <cell r="AA416">
            <v>94106</v>
          </cell>
          <cell r="AB416">
            <v>68184</v>
          </cell>
          <cell r="AC416">
            <v>162089</v>
          </cell>
          <cell r="AD416">
            <v>211263</v>
          </cell>
          <cell r="AE416">
            <v>159547</v>
          </cell>
          <cell r="AF416">
            <v>173709</v>
          </cell>
          <cell r="AG416">
            <v>130769</v>
          </cell>
          <cell r="AH416">
            <v>121451</v>
          </cell>
          <cell r="AI416">
            <v>136086</v>
          </cell>
          <cell r="AJ416">
            <v>153804</v>
          </cell>
          <cell r="AK416">
            <v>122578</v>
          </cell>
          <cell r="AL416">
            <v>70236</v>
          </cell>
          <cell r="AM416">
            <v>23315</v>
          </cell>
          <cell r="AN416">
            <v>-23565</v>
          </cell>
          <cell r="AO416">
            <v>-14437</v>
          </cell>
          <cell r="AP416">
            <v>-42247</v>
          </cell>
          <cell r="AQ416">
            <v>-35730</v>
          </cell>
          <cell r="AR416">
            <v>-10072</v>
          </cell>
          <cell r="AS416">
            <v>-31079</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G417">
            <v>407</v>
          </cell>
          <cell r="H417" t="str">
            <v>4 Month Target (Budget) % Var</v>
          </cell>
          <cell r="I417">
            <v>0</v>
          </cell>
          <cell r="J417">
            <v>0</v>
          </cell>
          <cell r="K417">
            <v>0</v>
          </cell>
          <cell r="L417">
            <v>0.2514460154241645</v>
          </cell>
          <cell r="M417">
            <v>0.19602570370887756</v>
          </cell>
          <cell r="N417">
            <v>0.30973521358593292</v>
          </cell>
          <cell r="O417">
            <v>0.11013767747823766</v>
          </cell>
          <cell r="P417">
            <v>0.31514819159406288</v>
          </cell>
          <cell r="Q417">
            <v>0.43900349567849922</v>
          </cell>
          <cell r="R417">
            <v>0.45634259626486168</v>
          </cell>
          <cell r="S417">
            <v>0.78564852796583107</v>
          </cell>
          <cell r="T417">
            <v>0.52532167785384565</v>
          </cell>
          <cell r="U417">
            <v>0.47606929284006705</v>
          </cell>
          <cell r="V417">
            <v>0.66824610907025861</v>
          </cell>
          <cell r="W417">
            <v>0.65176430378769923</v>
          </cell>
          <cell r="X417">
            <v>0.75939811817650427</v>
          </cell>
          <cell r="Y417">
            <v>0.47721042663476876</v>
          </cell>
          <cell r="Z417">
            <v>0.13319848226444031</v>
          </cell>
          <cell r="AA417">
            <v>0.31860917847409137</v>
          </cell>
          <cell r="AB417">
            <v>0.16410700747319398</v>
          </cell>
          <cell r="AC417">
            <v>0.35231760729462142</v>
          </cell>
          <cell r="AD417">
            <v>0.56292516553644467</v>
          </cell>
          <cell r="AE417">
            <v>0.53258492978292293</v>
          </cell>
          <cell r="AF417">
            <v>0.845797282097975</v>
          </cell>
          <cell r="AG417">
            <v>0.77010370597207423</v>
          </cell>
          <cell r="AH417">
            <v>0.63255399711459837</v>
          </cell>
          <cell r="AI417">
            <v>0.82664236902050114</v>
          </cell>
          <cell r="AJ417">
            <v>0.94305633051486593</v>
          </cell>
          <cell r="AK417">
            <v>0.83444862726944735</v>
          </cell>
          <cell r="AL417">
            <v>0.38241155140309041</v>
          </cell>
          <cell r="AM417">
            <v>6.1700461000227587E-2</v>
          </cell>
          <cell r="AN417">
            <v>-5.5686050248596332E-2</v>
          </cell>
          <cell r="AO417">
            <v>-3.0834191203167782E-2</v>
          </cell>
          <cell r="AP417">
            <v>-9.1805979003731178E-2</v>
          </cell>
          <cell r="AQ417">
            <v>-0.14315018549828123</v>
          </cell>
          <cell r="AR417">
            <v>-6.3192897700536432E-2</v>
          </cell>
          <cell r="AS417">
            <v>-0.3908914826181013</v>
          </cell>
          <cell r="AT417" t="e">
            <v>#DIV/0!</v>
          </cell>
          <cell r="AU417" t="e">
            <v>#DIV/0!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G418">
            <v>408</v>
          </cell>
          <cell r="H418" t="str">
            <v>Actual</v>
          </cell>
          <cell r="I418">
            <v>0</v>
          </cell>
          <cell r="J418">
            <v>0</v>
          </cell>
          <cell r="K418">
            <v>0</v>
          </cell>
          <cell r="L418">
            <v>46131</v>
          </cell>
          <cell r="M418">
            <v>20366</v>
          </cell>
          <cell r="N418">
            <v>53374</v>
          </cell>
          <cell r="O418">
            <v>71881</v>
          </cell>
          <cell r="P418">
            <v>8533</v>
          </cell>
          <cell r="Q418">
            <v>18395</v>
          </cell>
          <cell r="R418">
            <v>-7622</v>
          </cell>
          <cell r="S418">
            <v>65401</v>
          </cell>
          <cell r="T418">
            <v>6248</v>
          </cell>
          <cell r="U418">
            <v>11129</v>
          </cell>
          <cell r="V418">
            <v>11158</v>
          </cell>
          <cell r="W418">
            <v>42135</v>
          </cell>
          <cell r="X418">
            <v>22986</v>
          </cell>
          <cell r="Y418">
            <v>19151</v>
          </cell>
          <cell r="Z418">
            <v>83500</v>
          </cell>
          <cell r="AA418">
            <v>33124</v>
          </cell>
          <cell r="AB418">
            <v>56135</v>
          </cell>
          <cell r="AC418">
            <v>24321</v>
          </cell>
          <cell r="AD418">
            <v>34593</v>
          </cell>
          <cell r="AE418">
            <v>33423</v>
          </cell>
          <cell r="AF418">
            <v>48175</v>
          </cell>
          <cell r="AG418">
            <v>14395</v>
          </cell>
          <cell r="AH418">
            <v>38279</v>
          </cell>
          <cell r="AI418">
            <v>29449</v>
          </cell>
          <cell r="AJ418">
            <v>24175</v>
          </cell>
          <cell r="AK418">
            <v>42659</v>
          </cell>
          <cell r="AL418">
            <v>133351</v>
          </cell>
          <cell r="AM418">
            <v>28798</v>
          </cell>
          <cell r="AN418">
            <v>28413</v>
          </cell>
          <cell r="AO418">
            <v>62405</v>
          </cell>
          <cell r="AP418">
            <v>64258</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G419">
            <v>409</v>
          </cell>
          <cell r="H419" t="str">
            <v>Target (Budget)</v>
          </cell>
          <cell r="I419">
            <v>0</v>
          </cell>
          <cell r="J419">
            <v>0</v>
          </cell>
          <cell r="K419">
            <v>0</v>
          </cell>
          <cell r="L419">
            <v>33503</v>
          </cell>
          <cell r="M419">
            <v>113961</v>
          </cell>
          <cell r="N419">
            <v>36100</v>
          </cell>
          <cell r="O419">
            <v>24485</v>
          </cell>
          <cell r="P419">
            <v>20880</v>
          </cell>
          <cell r="Q419">
            <v>33997</v>
          </cell>
          <cell r="R419">
            <v>19937</v>
          </cell>
          <cell r="S419">
            <v>23779</v>
          </cell>
          <cell r="T419">
            <v>34897</v>
          </cell>
          <cell r="U419">
            <v>21232</v>
          </cell>
          <cell r="V419">
            <v>24737</v>
          </cell>
          <cell r="W419">
            <v>50609</v>
          </cell>
          <cell r="X419">
            <v>36869</v>
          </cell>
          <cell r="Y419">
            <v>31589</v>
          </cell>
          <cell r="Z419">
            <v>30948</v>
          </cell>
          <cell r="AA419">
            <v>36906</v>
          </cell>
          <cell r="AB419">
            <v>31536</v>
          </cell>
          <cell r="AC419">
            <v>32214</v>
          </cell>
          <cell r="AD419">
            <v>61410</v>
          </cell>
          <cell r="AE419">
            <v>56833</v>
          </cell>
          <cell r="AF419">
            <v>56525</v>
          </cell>
          <cell r="AG419">
            <v>64215</v>
          </cell>
          <cell r="AH419">
            <v>52733</v>
          </cell>
          <cell r="AI419">
            <v>54912</v>
          </cell>
          <cell r="AJ419">
            <v>50257</v>
          </cell>
          <cell r="AK419">
            <v>55471</v>
          </cell>
          <cell r="AL419">
            <v>56756</v>
          </cell>
          <cell r="AM419">
            <v>39904</v>
          </cell>
          <cell r="AN419">
            <v>50946</v>
          </cell>
          <cell r="AO419">
            <v>97672</v>
          </cell>
          <cell r="AP419">
            <v>44910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G420">
            <v>410</v>
          </cell>
          <cell r="H420" t="str">
            <v>Target (Budget) Variance</v>
          </cell>
          <cell r="I420">
            <v>0</v>
          </cell>
          <cell r="J420">
            <v>0</v>
          </cell>
          <cell r="K420">
            <v>0</v>
          </cell>
          <cell r="L420">
            <v>12628</v>
          </cell>
          <cell r="M420">
            <v>-93595</v>
          </cell>
          <cell r="N420">
            <v>17274</v>
          </cell>
          <cell r="O420">
            <v>47396</v>
          </cell>
          <cell r="P420">
            <v>-12347</v>
          </cell>
          <cell r="Q420">
            <v>-15602</v>
          </cell>
          <cell r="R420">
            <v>-27559</v>
          </cell>
          <cell r="S420">
            <v>41622</v>
          </cell>
          <cell r="T420">
            <v>-28649</v>
          </cell>
          <cell r="U420">
            <v>-10103</v>
          </cell>
          <cell r="V420">
            <v>-13579</v>
          </cell>
          <cell r="W420">
            <v>-8474</v>
          </cell>
          <cell r="X420">
            <v>-13883</v>
          </cell>
          <cell r="Y420">
            <v>-12438</v>
          </cell>
          <cell r="Z420">
            <v>52552</v>
          </cell>
          <cell r="AA420">
            <v>-3782</v>
          </cell>
          <cell r="AB420">
            <v>24599</v>
          </cell>
          <cell r="AC420">
            <v>-7893</v>
          </cell>
          <cell r="AD420">
            <v>-26817</v>
          </cell>
          <cell r="AE420">
            <v>-23410</v>
          </cell>
          <cell r="AF420">
            <v>-8350</v>
          </cell>
          <cell r="AG420">
            <v>-49820</v>
          </cell>
          <cell r="AH420">
            <v>-14454</v>
          </cell>
          <cell r="AI420">
            <v>-25463</v>
          </cell>
          <cell r="AJ420">
            <v>-26082</v>
          </cell>
          <cell r="AK420">
            <v>-12812</v>
          </cell>
          <cell r="AL420">
            <v>76595</v>
          </cell>
          <cell r="AM420">
            <v>-11106</v>
          </cell>
          <cell r="AN420">
            <v>-22533</v>
          </cell>
          <cell r="AO420">
            <v>-35267</v>
          </cell>
          <cell r="AP420">
            <v>19348</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G421">
            <v>411</v>
          </cell>
          <cell r="H421" t="str">
            <v>Target (Budget) %Var</v>
          </cell>
          <cell r="I421">
            <v>0</v>
          </cell>
          <cell r="J421">
            <v>0</v>
          </cell>
          <cell r="K421">
            <v>0</v>
          </cell>
          <cell r="L421">
            <v>0.37692146971912965</v>
          </cell>
          <cell r="M421">
            <v>-0.82128973947227557</v>
          </cell>
          <cell r="N421">
            <v>0.47850415512465372</v>
          </cell>
          <cell r="O421">
            <v>1.9357157443332653</v>
          </cell>
          <cell r="P421">
            <v>-0.59133141762452113</v>
          </cell>
          <cell r="Q421">
            <v>-0.45892284613348239</v>
          </cell>
          <cell r="R421">
            <v>-1.3823042584140042</v>
          </cell>
          <cell r="S421">
            <v>1.7503679717397704</v>
          </cell>
          <cell r="T421">
            <v>-0.82095882167521561</v>
          </cell>
          <cell r="U421">
            <v>-0.47583835719668427</v>
          </cell>
          <cell r="V421">
            <v>-0.54893479403322953</v>
          </cell>
          <cell r="W421">
            <v>-0.16744057381098224</v>
          </cell>
          <cell r="X421">
            <v>-0.37654940464889203</v>
          </cell>
          <cell r="Y421">
            <v>-0.39374465795055241</v>
          </cell>
          <cell r="Z421">
            <v>1.69807418896213</v>
          </cell>
          <cell r="AA421">
            <v>-0.1024765620766271</v>
          </cell>
          <cell r="AB421">
            <v>0.78002917300862507</v>
          </cell>
          <cell r="AC421">
            <v>-0.24501769417023656</v>
          </cell>
          <cell r="AD421">
            <v>-0.43668783585735221</v>
          </cell>
          <cell r="AE421">
            <v>-0.4119085742438372</v>
          </cell>
          <cell r="AF421">
            <v>-0.14772224679345422</v>
          </cell>
          <cell r="AG421">
            <v>-0.77583119208907581</v>
          </cell>
          <cell r="AH421">
            <v>-0.27409781351335977</v>
          </cell>
          <cell r="AI421">
            <v>-0.46370556526806528</v>
          </cell>
          <cell r="AJ421">
            <v>-0.51897248144537078</v>
          </cell>
          <cell r="AK421">
            <v>-0.23096753258459377</v>
          </cell>
          <cell r="AL421">
            <v>1.3495489463669039</v>
          </cell>
          <cell r="AM421">
            <v>-0.2783179631114675</v>
          </cell>
          <cell r="AN421">
            <v>-0.44229183841714759</v>
          </cell>
          <cell r="AO421">
            <v>-0.36107584568760748</v>
          </cell>
          <cell r="AP421">
            <v>0.43081718993542639</v>
          </cell>
          <cell r="AQ421" t="e">
            <v>#DIV/0!</v>
          </cell>
          <cell r="AR421" t="e">
            <v>#DIV/0!</v>
          </cell>
          <cell r="AS421" t="e">
            <v>#DIV/0!</v>
          </cell>
          <cell r="AT421" t="e">
            <v>#DIV/0!</v>
          </cell>
          <cell r="AU421" t="e">
            <v>#DIV/0!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G422">
            <v>412</v>
          </cell>
          <cell r="H422" t="str">
            <v>YTD Actual</v>
          </cell>
          <cell r="I422">
            <v>0</v>
          </cell>
          <cell r="J422">
            <v>0</v>
          </cell>
          <cell r="K422">
            <v>0</v>
          </cell>
          <cell r="L422">
            <v>46131</v>
          </cell>
          <cell r="M422">
            <v>66497</v>
          </cell>
          <cell r="N422">
            <v>119871</v>
          </cell>
          <cell r="O422">
            <v>191752</v>
          </cell>
          <cell r="P422">
            <v>200285</v>
          </cell>
          <cell r="Q422">
            <v>218680</v>
          </cell>
          <cell r="R422">
            <v>211058</v>
          </cell>
          <cell r="S422">
            <v>276459</v>
          </cell>
          <cell r="T422">
            <v>282707</v>
          </cell>
          <cell r="U422">
            <v>293836</v>
          </cell>
          <cell r="V422">
            <v>304994</v>
          </cell>
          <cell r="W422">
            <v>347129</v>
          </cell>
          <cell r="X422">
            <v>22986</v>
          </cell>
          <cell r="Y422">
            <v>41042</v>
          </cell>
          <cell r="Z422">
            <v>124542</v>
          </cell>
          <cell r="AA422">
            <v>157666</v>
          </cell>
          <cell r="AB422">
            <v>213801</v>
          </cell>
          <cell r="AC422">
            <v>238122</v>
          </cell>
          <cell r="AD422">
            <v>272715</v>
          </cell>
          <cell r="AE422">
            <v>306308</v>
          </cell>
          <cell r="AF422">
            <v>354482</v>
          </cell>
          <cell r="AG422">
            <v>368877</v>
          </cell>
          <cell r="AH422">
            <v>407156</v>
          </cell>
          <cell r="AI422">
            <v>436606</v>
          </cell>
          <cell r="AJ422">
            <v>24175</v>
          </cell>
          <cell r="AK422">
            <v>61694</v>
          </cell>
          <cell r="AL422">
            <v>195045</v>
          </cell>
          <cell r="AM422">
            <v>223843</v>
          </cell>
          <cell r="AN422">
            <v>252256</v>
          </cell>
          <cell r="AO422">
            <v>314661</v>
          </cell>
          <cell r="AP422">
            <v>378918</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G423">
            <v>413</v>
          </cell>
          <cell r="H423" t="str">
            <v>YTD Target (Budget)</v>
          </cell>
          <cell r="I423">
            <v>0</v>
          </cell>
          <cell r="J423">
            <v>0</v>
          </cell>
          <cell r="K423">
            <v>0</v>
          </cell>
          <cell r="L423">
            <v>33503</v>
          </cell>
          <cell r="M423">
            <v>147464</v>
          </cell>
          <cell r="N423">
            <v>183564</v>
          </cell>
          <cell r="O423">
            <v>208049</v>
          </cell>
          <cell r="P423">
            <v>228929</v>
          </cell>
          <cell r="Q423">
            <v>262926</v>
          </cell>
          <cell r="R423">
            <v>282863</v>
          </cell>
          <cell r="S423">
            <v>306642</v>
          </cell>
          <cell r="T423">
            <v>341539</v>
          </cell>
          <cell r="U423">
            <v>362771</v>
          </cell>
          <cell r="V423">
            <v>387508</v>
          </cell>
          <cell r="W423">
            <v>438117</v>
          </cell>
          <cell r="X423">
            <v>36869</v>
          </cell>
          <cell r="Y423">
            <v>68458</v>
          </cell>
          <cell r="Z423">
            <v>99406</v>
          </cell>
          <cell r="AA423">
            <v>136312</v>
          </cell>
          <cell r="AB423">
            <v>167848</v>
          </cell>
          <cell r="AC423">
            <v>200062</v>
          </cell>
          <cell r="AD423">
            <v>261472</v>
          </cell>
          <cell r="AE423">
            <v>318305</v>
          </cell>
          <cell r="AF423">
            <v>374830</v>
          </cell>
          <cell r="AG423">
            <v>439045</v>
          </cell>
          <cell r="AH423">
            <v>491778</v>
          </cell>
          <cell r="AI423">
            <v>546690</v>
          </cell>
          <cell r="AJ423">
            <v>50257</v>
          </cell>
          <cell r="AK423">
            <v>105728</v>
          </cell>
          <cell r="AL423">
            <v>162484</v>
          </cell>
          <cell r="AM423">
            <v>202388</v>
          </cell>
          <cell r="AN423">
            <v>253334</v>
          </cell>
          <cell r="AO423">
            <v>351006</v>
          </cell>
          <cell r="AP423">
            <v>395916</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G424">
            <v>414</v>
          </cell>
          <cell r="H424" t="str">
            <v>YTD Target (Budget) Var</v>
          </cell>
          <cell r="I424">
            <v>0</v>
          </cell>
          <cell r="J424">
            <v>0</v>
          </cell>
          <cell r="K424">
            <v>0</v>
          </cell>
          <cell r="L424">
            <v>12628</v>
          </cell>
          <cell r="M424">
            <v>-80967</v>
          </cell>
          <cell r="N424">
            <v>-63693</v>
          </cell>
          <cell r="O424">
            <v>-16297</v>
          </cell>
          <cell r="P424">
            <v>-28644</v>
          </cell>
          <cell r="Q424">
            <v>-44246</v>
          </cell>
          <cell r="R424">
            <v>-71805</v>
          </cell>
          <cell r="S424">
            <v>-30183</v>
          </cell>
          <cell r="T424">
            <v>-58832</v>
          </cell>
          <cell r="U424">
            <v>-68935</v>
          </cell>
          <cell r="V424">
            <v>-82514</v>
          </cell>
          <cell r="W424">
            <v>-90988</v>
          </cell>
          <cell r="X424">
            <v>-13883</v>
          </cell>
          <cell r="Y424">
            <v>-27416</v>
          </cell>
          <cell r="Z424">
            <v>25136</v>
          </cell>
          <cell r="AA424">
            <v>21354</v>
          </cell>
          <cell r="AB424">
            <v>45953</v>
          </cell>
          <cell r="AC424">
            <v>38060</v>
          </cell>
          <cell r="AD424">
            <v>11243</v>
          </cell>
          <cell r="AE424">
            <v>-11997</v>
          </cell>
          <cell r="AF424">
            <v>-20348</v>
          </cell>
          <cell r="AG424">
            <v>-70168</v>
          </cell>
          <cell r="AH424">
            <v>-84622</v>
          </cell>
          <cell r="AI424">
            <v>-110084</v>
          </cell>
          <cell r="AJ424">
            <v>-26082</v>
          </cell>
          <cell r="AK424">
            <v>-44034</v>
          </cell>
          <cell r="AL424">
            <v>32561</v>
          </cell>
          <cell r="AM424">
            <v>21455</v>
          </cell>
          <cell r="AN424">
            <v>-6867440</v>
          </cell>
          <cell r="AO424">
            <v>-36345</v>
          </cell>
          <cell r="AP424">
            <v>-16998</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G425">
            <v>415</v>
          </cell>
          <cell r="H425" t="str">
            <v>YTD %Var</v>
          </cell>
          <cell r="I425">
            <v>0</v>
          </cell>
          <cell r="J425">
            <v>0</v>
          </cell>
          <cell r="K425">
            <v>0</v>
          </cell>
          <cell r="L425">
            <v>0.37692146971912965</v>
          </cell>
          <cell r="M425">
            <v>-0.54906282211251556</v>
          </cell>
          <cell r="N425">
            <v>-0.3469797999607766</v>
          </cell>
          <cell r="O425">
            <v>-7.8332508207201182E-2</v>
          </cell>
          <cell r="P425">
            <v>-0.12512176264256603</v>
          </cell>
          <cell r="Q425">
            <v>-0.16828309105984193</v>
          </cell>
          <cell r="R425">
            <v>-0.25385080409951105</v>
          </cell>
          <cell r="S425">
            <v>-9.8430743342399277E-2</v>
          </cell>
          <cell r="T425">
            <v>-0.17225558428173648</v>
          </cell>
          <cell r="U425">
            <v>-0.1900234583249488</v>
          </cell>
          <cell r="V425">
            <v>-0.21293495876214169</v>
          </cell>
          <cell r="W425">
            <v>-0.20767968373744913</v>
          </cell>
          <cell r="X425">
            <v>-0.37654940464889203</v>
          </cell>
          <cell r="Y425">
            <v>-0.40047912588740542</v>
          </cell>
          <cell r="Z425">
            <v>0.25286200028167316</v>
          </cell>
          <cell r="AA425">
            <v>0.15665532014789602</v>
          </cell>
          <cell r="AB425">
            <v>0.27377746532577091</v>
          </cell>
          <cell r="AC425">
            <v>0.19024102528216252</v>
          </cell>
          <cell r="AD425">
            <v>4.2998867947619632E-2</v>
          </cell>
          <cell r="AE425">
            <v>-3.7690265625736324E-2</v>
          </cell>
          <cell r="AF425">
            <v>-5.4285942960808901E-2</v>
          </cell>
          <cell r="AG425">
            <v>-0.15981960846838023</v>
          </cell>
          <cell r="AH425">
            <v>-0.17207357791523817</v>
          </cell>
          <cell r="AI425">
            <v>-0.20136457590224807</v>
          </cell>
          <cell r="AJ425">
            <v>-0.51897248144537078</v>
          </cell>
          <cell r="AK425">
            <v>-0.41648380750605329</v>
          </cell>
          <cell r="AL425">
            <v>0.20039511582678909</v>
          </cell>
          <cell r="AM425">
            <v>0.10600924956025061</v>
          </cell>
          <cell r="AN425">
            <v>-0.96456927374427226</v>
          </cell>
          <cell r="AO425">
            <v>-0.10354523854293089</v>
          </cell>
          <cell r="AP425">
            <v>-4.2933349498378445E-2</v>
          </cell>
          <cell r="AQ425" t="e">
            <v>#DIV/0!</v>
          </cell>
          <cell r="AR425" t="e">
            <v>#DIV/0!</v>
          </cell>
          <cell r="AS425" t="e">
            <v>#DIV/0!</v>
          </cell>
          <cell r="AT425" t="e">
            <v>#DIV/0!</v>
          </cell>
          <cell r="AU425" t="e">
            <v>#DIV/0!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G426">
            <v>416</v>
          </cell>
          <cell r="H426" t="str">
            <v>4 Month Actual</v>
          </cell>
          <cell r="I426">
            <v>0</v>
          </cell>
          <cell r="J426">
            <v>0</v>
          </cell>
          <cell r="K426">
            <v>0</v>
          </cell>
          <cell r="L426">
            <v>46131</v>
          </cell>
          <cell r="M426">
            <v>66497</v>
          </cell>
          <cell r="N426">
            <v>119871</v>
          </cell>
          <cell r="O426">
            <v>191752</v>
          </cell>
          <cell r="P426">
            <v>154154</v>
          </cell>
          <cell r="Q426">
            <v>152183</v>
          </cell>
          <cell r="R426">
            <v>91187</v>
          </cell>
          <cell r="S426">
            <v>84707</v>
          </cell>
          <cell r="T426">
            <v>82422</v>
          </cell>
          <cell r="U426">
            <v>75156</v>
          </cell>
          <cell r="V426">
            <v>93936</v>
          </cell>
          <cell r="W426">
            <v>70670</v>
          </cell>
          <cell r="X426">
            <v>87408</v>
          </cell>
          <cell r="Y426">
            <v>95430</v>
          </cell>
          <cell r="Z426">
            <v>167772</v>
          </cell>
          <cell r="AA426">
            <v>158761</v>
          </cell>
          <cell r="AB426">
            <v>191910</v>
          </cell>
          <cell r="AC426">
            <v>197080</v>
          </cell>
          <cell r="AD426">
            <v>148173</v>
          </cell>
          <cell r="AE426">
            <v>148472</v>
          </cell>
          <cell r="AF426">
            <v>140512</v>
          </cell>
          <cell r="AG426">
            <v>130586</v>
          </cell>
          <cell r="AH426">
            <v>134272</v>
          </cell>
          <cell r="AI426">
            <v>130298</v>
          </cell>
          <cell r="AJ426">
            <v>106298</v>
          </cell>
          <cell r="AK426">
            <v>134562</v>
          </cell>
          <cell r="AL426">
            <v>229634</v>
          </cell>
          <cell r="AM426">
            <v>228983</v>
          </cell>
          <cell r="AN426">
            <v>233221</v>
          </cell>
          <cell r="AO426">
            <v>252967</v>
          </cell>
          <cell r="AP426">
            <v>183874</v>
          </cell>
          <cell r="AQ426">
            <v>155076</v>
          </cell>
          <cell r="AR426">
            <v>126663</v>
          </cell>
          <cell r="AS426">
            <v>64258</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G427">
            <v>417</v>
          </cell>
          <cell r="H427" t="str">
            <v>4 Month Target (Budget)</v>
          </cell>
          <cell r="I427">
            <v>0</v>
          </cell>
          <cell r="J427">
            <v>0</v>
          </cell>
          <cell r="K427">
            <v>0</v>
          </cell>
          <cell r="L427">
            <v>33503</v>
          </cell>
          <cell r="M427">
            <v>147464</v>
          </cell>
          <cell r="N427">
            <v>183564</v>
          </cell>
          <cell r="O427">
            <v>208049</v>
          </cell>
          <cell r="P427">
            <v>195426</v>
          </cell>
          <cell r="Q427">
            <v>115462</v>
          </cell>
          <cell r="R427">
            <v>99299</v>
          </cell>
          <cell r="S427">
            <v>98593</v>
          </cell>
          <cell r="T427">
            <v>112610</v>
          </cell>
          <cell r="U427">
            <v>99845</v>
          </cell>
          <cell r="V427">
            <v>104645</v>
          </cell>
          <cell r="W427">
            <v>131475</v>
          </cell>
          <cell r="X427">
            <v>133447</v>
          </cell>
          <cell r="Y427">
            <v>143804</v>
          </cell>
          <cell r="Z427">
            <v>150015</v>
          </cell>
          <cell r="AA427">
            <v>136312</v>
          </cell>
          <cell r="AB427">
            <v>130979</v>
          </cell>
          <cell r="AC427">
            <v>131604</v>
          </cell>
          <cell r="AD427">
            <v>162066</v>
          </cell>
          <cell r="AE427">
            <v>181993</v>
          </cell>
          <cell r="AF427">
            <v>206982</v>
          </cell>
          <cell r="AG427">
            <v>238983</v>
          </cell>
          <cell r="AH427">
            <v>230306</v>
          </cell>
          <cell r="AI427">
            <v>228385</v>
          </cell>
          <cell r="AJ427">
            <v>222117</v>
          </cell>
          <cell r="AK427">
            <v>213373</v>
          </cell>
          <cell r="AL427">
            <v>217396</v>
          </cell>
          <cell r="AM427">
            <v>202388</v>
          </cell>
          <cell r="AN427">
            <v>203077</v>
          </cell>
          <cell r="AO427">
            <v>245278</v>
          </cell>
          <cell r="AP427">
            <v>233432</v>
          </cell>
          <cell r="AQ427">
            <v>193528</v>
          </cell>
          <cell r="AR427">
            <v>142582</v>
          </cell>
          <cell r="AS427">
            <v>44910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G428">
            <v>418</v>
          </cell>
          <cell r="H428" t="str">
            <v>4 Month Target (Budget) Var</v>
          </cell>
          <cell r="I428">
            <v>0</v>
          </cell>
          <cell r="J428">
            <v>0</v>
          </cell>
          <cell r="K428">
            <v>0</v>
          </cell>
          <cell r="L428">
            <v>12628</v>
          </cell>
          <cell r="M428">
            <v>-80967</v>
          </cell>
          <cell r="N428">
            <v>-63693</v>
          </cell>
          <cell r="O428">
            <v>-16297</v>
          </cell>
          <cell r="P428">
            <v>-41272</v>
          </cell>
          <cell r="Q428">
            <v>36721</v>
          </cell>
          <cell r="R428">
            <v>-8112</v>
          </cell>
          <cell r="S428">
            <v>-13886</v>
          </cell>
          <cell r="T428">
            <v>-30188</v>
          </cell>
          <cell r="U428">
            <v>-24689</v>
          </cell>
          <cell r="V428">
            <v>-10709</v>
          </cell>
          <cell r="W428">
            <v>-60805</v>
          </cell>
          <cell r="X428">
            <v>-46039</v>
          </cell>
          <cell r="Y428">
            <v>-48374</v>
          </cell>
          <cell r="Z428">
            <v>17757</v>
          </cell>
          <cell r="AA428">
            <v>22449</v>
          </cell>
          <cell r="AB428">
            <v>60931</v>
          </cell>
          <cell r="AC428">
            <v>65476</v>
          </cell>
          <cell r="AD428">
            <v>-13893</v>
          </cell>
          <cell r="AE428">
            <v>-33521</v>
          </cell>
          <cell r="AF428">
            <v>-66470</v>
          </cell>
          <cell r="AG428">
            <v>-108397</v>
          </cell>
          <cell r="AH428">
            <v>-96034</v>
          </cell>
          <cell r="AI428">
            <v>-98087</v>
          </cell>
          <cell r="AJ428">
            <v>-115819</v>
          </cell>
          <cell r="AK428">
            <v>-78811</v>
          </cell>
          <cell r="AL428">
            <v>12238</v>
          </cell>
          <cell r="AM428">
            <v>26595</v>
          </cell>
          <cell r="AN428">
            <v>30144</v>
          </cell>
          <cell r="AO428">
            <v>7689</v>
          </cell>
          <cell r="AP428">
            <v>-49558</v>
          </cell>
          <cell r="AQ428">
            <v>-38452</v>
          </cell>
          <cell r="AR428">
            <v>-15919</v>
          </cell>
          <cell r="AS428">
            <v>19348</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G429">
            <v>419</v>
          </cell>
          <cell r="H429" t="str">
            <v>4 Month Target (Budget) % Var</v>
          </cell>
          <cell r="I429">
            <v>0</v>
          </cell>
          <cell r="J429">
            <v>0</v>
          </cell>
          <cell r="K429">
            <v>0</v>
          </cell>
          <cell r="L429">
            <v>0.37692146971912965</v>
          </cell>
          <cell r="M429">
            <v>-0.54906282211251556</v>
          </cell>
          <cell r="N429">
            <v>-0.3469797999607766</v>
          </cell>
          <cell r="O429">
            <v>-7.8332508207201182E-2</v>
          </cell>
          <cell r="P429">
            <v>-0.21118991331757289</v>
          </cell>
          <cell r="Q429">
            <v>0.3180353709445532</v>
          </cell>
          <cell r="R429">
            <v>-8.169266558575615E-2</v>
          </cell>
          <cell r="S429">
            <v>-0.14084164190155488</v>
          </cell>
          <cell r="T429">
            <v>-0.26807565935529704</v>
          </cell>
          <cell r="U429">
            <v>-0.24727327357403975</v>
          </cell>
          <cell r="V429">
            <v>-0.10233647092551006</v>
          </cell>
          <cell r="W429">
            <v>-0.46248336185586614</v>
          </cell>
          <cell r="X429">
            <v>-0.34499838887348533</v>
          </cell>
          <cell r="Y429">
            <v>-0.33638841756835691</v>
          </cell>
          <cell r="Z429">
            <v>0.11836816318368164</v>
          </cell>
          <cell r="AA429">
            <v>0.16468836199307471</v>
          </cell>
          <cell r="AB429">
            <v>0.46519671092312509</v>
          </cell>
          <cell r="AC429">
            <v>0.49752287164523873</v>
          </cell>
          <cell r="AD429">
            <v>-8.572433453037652E-2</v>
          </cell>
          <cell r="AE429">
            <v>-0.1841884028506591</v>
          </cell>
          <cell r="AF429">
            <v>-0.32113903624469758</v>
          </cell>
          <cell r="AG429">
            <v>-0.45357619579635372</v>
          </cell>
          <cell r="AH429">
            <v>-0.41698435993851657</v>
          </cell>
          <cell r="AI429">
            <v>-0.42948092037568142</v>
          </cell>
          <cell r="AJ429">
            <v>-0.52143239824056686</v>
          </cell>
          <cell r="AK429">
            <v>-0.36935788501825439</v>
          </cell>
          <cell r="AL429">
            <v>5.6293584058584333E-2</v>
          </cell>
          <cell r="AM429">
            <v>0.1314060122141629</v>
          </cell>
          <cell r="AN429">
            <v>0.1484363074104896</v>
          </cell>
          <cell r="AO429">
            <v>3.1348102968876135E-2</v>
          </cell>
          <cell r="AP429">
            <v>-0.21230165530004455</v>
          </cell>
          <cell r="AQ429">
            <v>-0.19868959530403868</v>
          </cell>
          <cell r="AR429">
            <v>-0.111648034113703</v>
          </cell>
          <cell r="AS429">
            <v>0.43081718993542639</v>
          </cell>
          <cell r="AT429" t="e">
            <v>#DIV/0!</v>
          </cell>
          <cell r="AU429" t="e">
            <v>#DIV/0!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G430">
            <v>420</v>
          </cell>
          <cell r="H430" t="str">
            <v>Actual</v>
          </cell>
          <cell r="I430">
            <v>0</v>
          </cell>
          <cell r="J430">
            <v>0</v>
          </cell>
          <cell r="K430">
            <v>0</v>
          </cell>
          <cell r="L430">
            <v>449554</v>
          </cell>
          <cell r="M430">
            <v>463956</v>
          </cell>
          <cell r="N430">
            <v>3085471</v>
          </cell>
          <cell r="O430">
            <v>538482</v>
          </cell>
          <cell r="P430">
            <v>7207</v>
          </cell>
          <cell r="Q430">
            <v>2236547</v>
          </cell>
          <cell r="R430">
            <v>301127</v>
          </cell>
          <cell r="S430">
            <v>-7067</v>
          </cell>
          <cell r="T430">
            <v>2054460</v>
          </cell>
          <cell r="U430">
            <v>288363</v>
          </cell>
          <cell r="V430">
            <v>22292</v>
          </cell>
          <cell r="W430">
            <v>1632728</v>
          </cell>
          <cell r="X430">
            <v>380084</v>
          </cell>
          <cell r="Y430">
            <v>351627</v>
          </cell>
          <cell r="Z430">
            <v>3457254</v>
          </cell>
          <cell r="AA430">
            <v>229082</v>
          </cell>
          <cell r="AB430">
            <v>229112</v>
          </cell>
          <cell r="AC430">
            <v>2091802</v>
          </cell>
          <cell r="AD430">
            <v>-51211</v>
          </cell>
          <cell r="AE430">
            <v>-57499</v>
          </cell>
          <cell r="AF430">
            <v>1745647</v>
          </cell>
          <cell r="AG430">
            <v>126856</v>
          </cell>
          <cell r="AH430">
            <v>-55858</v>
          </cell>
          <cell r="AI430">
            <v>1465553</v>
          </cell>
          <cell r="AJ430">
            <v>-67996</v>
          </cell>
          <cell r="AK430">
            <v>513402</v>
          </cell>
          <cell r="AL430">
            <v>1671560</v>
          </cell>
          <cell r="AM430">
            <v>682886</v>
          </cell>
          <cell r="AN430">
            <v>337211</v>
          </cell>
          <cell r="AO430">
            <v>1187386</v>
          </cell>
          <cell r="AP430">
            <v>207433</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G431">
            <v>421</v>
          </cell>
          <cell r="H431" t="str">
            <v>Target (Budget)</v>
          </cell>
          <cell r="I431">
            <v>0</v>
          </cell>
          <cell r="J431">
            <v>0</v>
          </cell>
          <cell r="K431">
            <v>0</v>
          </cell>
          <cell r="L431">
            <v>201626</v>
          </cell>
          <cell r="M431">
            <v>299082</v>
          </cell>
          <cell r="N431">
            <v>1890032</v>
          </cell>
          <cell r="O431">
            <v>383351</v>
          </cell>
          <cell r="P431">
            <v>105287</v>
          </cell>
          <cell r="Q431">
            <v>1823851</v>
          </cell>
          <cell r="R431">
            <v>409647</v>
          </cell>
          <cell r="S431">
            <v>102921</v>
          </cell>
          <cell r="T431">
            <v>1471784</v>
          </cell>
          <cell r="U431">
            <v>282380</v>
          </cell>
          <cell r="V431">
            <v>16316</v>
          </cell>
          <cell r="W431">
            <v>2174559</v>
          </cell>
          <cell r="X431">
            <v>686538</v>
          </cell>
          <cell r="Y431">
            <v>71547</v>
          </cell>
          <cell r="Z431">
            <v>2516809</v>
          </cell>
          <cell r="AA431">
            <v>140575</v>
          </cell>
          <cell r="AB431">
            <v>143691</v>
          </cell>
          <cell r="AC431">
            <v>1524141</v>
          </cell>
          <cell r="AD431">
            <v>-100456</v>
          </cell>
          <cell r="AE431">
            <v>-100257</v>
          </cell>
          <cell r="AF431">
            <v>1451286</v>
          </cell>
          <cell r="AG431">
            <v>-81095</v>
          </cell>
          <cell r="AH431">
            <v>-267897</v>
          </cell>
          <cell r="AI431">
            <v>1265552</v>
          </cell>
          <cell r="AJ431">
            <v>-156780</v>
          </cell>
          <cell r="AK431">
            <v>339035</v>
          </cell>
          <cell r="AL431">
            <v>1706454</v>
          </cell>
          <cell r="AM431">
            <v>398530</v>
          </cell>
          <cell r="AN431">
            <v>331288</v>
          </cell>
          <cell r="AO431">
            <v>1575834</v>
          </cell>
          <cell r="AP431">
            <v>96841</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G432">
            <v>422</v>
          </cell>
          <cell r="H432" t="str">
            <v>Target (Budget) Variance</v>
          </cell>
          <cell r="I432">
            <v>0</v>
          </cell>
          <cell r="J432">
            <v>0</v>
          </cell>
          <cell r="K432">
            <v>0</v>
          </cell>
          <cell r="L432">
            <v>247928</v>
          </cell>
          <cell r="M432">
            <v>164874</v>
          </cell>
          <cell r="N432">
            <v>1195439</v>
          </cell>
          <cell r="O432">
            <v>155131</v>
          </cell>
          <cell r="P432">
            <v>-98080</v>
          </cell>
          <cell r="Q432">
            <v>412696</v>
          </cell>
          <cell r="R432">
            <v>-108520</v>
          </cell>
          <cell r="S432">
            <v>-109988</v>
          </cell>
          <cell r="T432">
            <v>582676</v>
          </cell>
          <cell r="U432">
            <v>5983</v>
          </cell>
          <cell r="V432">
            <v>5976</v>
          </cell>
          <cell r="W432">
            <v>-541831</v>
          </cell>
          <cell r="X432">
            <v>-306454</v>
          </cell>
          <cell r="Y432">
            <v>280080</v>
          </cell>
          <cell r="Z432">
            <v>940445</v>
          </cell>
          <cell r="AA432">
            <v>88507</v>
          </cell>
          <cell r="AB432">
            <v>85421</v>
          </cell>
          <cell r="AC432">
            <v>567661</v>
          </cell>
          <cell r="AD432">
            <v>49245</v>
          </cell>
          <cell r="AE432">
            <v>42758</v>
          </cell>
          <cell r="AF432">
            <v>294361</v>
          </cell>
          <cell r="AG432">
            <v>207951</v>
          </cell>
          <cell r="AH432">
            <v>212039</v>
          </cell>
          <cell r="AI432">
            <v>200001</v>
          </cell>
          <cell r="AJ432">
            <v>88784</v>
          </cell>
          <cell r="AK432">
            <v>174367</v>
          </cell>
          <cell r="AL432">
            <v>-34894</v>
          </cell>
          <cell r="AM432">
            <v>284356</v>
          </cell>
          <cell r="AN432">
            <v>5923</v>
          </cell>
          <cell r="AO432">
            <v>-388448</v>
          </cell>
          <cell r="AP432">
            <v>110592</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G433">
            <v>423</v>
          </cell>
          <cell r="H433" t="str">
            <v>Target (Budget) %Var</v>
          </cell>
          <cell r="I433">
            <v>0</v>
          </cell>
          <cell r="J433">
            <v>0</v>
          </cell>
          <cell r="K433">
            <v>0</v>
          </cell>
          <cell r="L433">
            <v>1.2296430023905647</v>
          </cell>
          <cell r="M433">
            <v>0.55126687664252616</v>
          </cell>
          <cell r="N433">
            <v>0.63249669846859735</v>
          </cell>
          <cell r="O433">
            <v>0.40467091516651843</v>
          </cell>
          <cell r="P433">
            <v>-0.93154900415055986</v>
          </cell>
          <cell r="Q433">
            <v>0.22627725620130154</v>
          </cell>
          <cell r="R433">
            <v>-0.26491100874655499</v>
          </cell>
          <cell r="S433">
            <v>-1.0686643153486655</v>
          </cell>
          <cell r="T433">
            <v>0.39589776760720324</v>
          </cell>
          <cell r="U433">
            <v>2.1187761172887599E-2</v>
          </cell>
          <cell r="V433">
            <v>0.36626624172591321</v>
          </cell>
          <cell r="W433">
            <v>-0.24916822215446902</v>
          </cell>
          <cell r="X433">
            <v>-0.44637587431431325</v>
          </cell>
          <cell r="Y433">
            <v>3.9146295442156904</v>
          </cell>
          <cell r="Z433">
            <v>0.37366562182509677</v>
          </cell>
          <cell r="AA433">
            <v>0.62960697136759736</v>
          </cell>
          <cell r="AB433">
            <v>0.59447703753192616</v>
          </cell>
          <cell r="AC433">
            <v>0.37244651249457894</v>
          </cell>
          <cell r="AD433">
            <v>0.49021462132675003</v>
          </cell>
          <cell r="AE433">
            <v>0.42648393628375075</v>
          </cell>
          <cell r="AF433">
            <v>0.20282769902004152</v>
          </cell>
          <cell r="AG433">
            <v>2.5642887970898327</v>
          </cell>
          <cell r="AH433">
            <v>0.79149449228621449</v>
          </cell>
          <cell r="AI433">
            <v>0.15803459676093909</v>
          </cell>
          <cell r="AJ433">
            <v>0.56629672152060206</v>
          </cell>
          <cell r="AK433">
            <v>0.51430383293760229</v>
          </cell>
          <cell r="AL433">
            <v>-2.0448251168797987E-2</v>
          </cell>
          <cell r="AM433">
            <v>0.71351215717762784</v>
          </cell>
          <cell r="AN433">
            <v>1.7878703726063122E-2</v>
          </cell>
          <cell r="AO433">
            <v>-0.24650312152168313</v>
          </cell>
          <cell r="AP433">
            <v>1.1419956423415702</v>
          </cell>
          <cell r="AQ433" t="e">
            <v>#DIV/0!</v>
          </cell>
          <cell r="AR433" t="e">
            <v>#DIV/0!</v>
          </cell>
          <cell r="AS433" t="e">
            <v>#DIV/0!</v>
          </cell>
          <cell r="AT433" t="e">
            <v>#DIV/0!</v>
          </cell>
          <cell r="AU433" t="e">
            <v>#DIV/0!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G434">
            <v>424</v>
          </cell>
          <cell r="H434" t="str">
            <v>YTD Actual</v>
          </cell>
          <cell r="I434">
            <v>0</v>
          </cell>
          <cell r="J434">
            <v>0</v>
          </cell>
          <cell r="K434">
            <v>0</v>
          </cell>
          <cell r="L434">
            <v>449554</v>
          </cell>
          <cell r="M434">
            <v>913510</v>
          </cell>
          <cell r="N434">
            <v>3998982</v>
          </cell>
          <cell r="O434">
            <v>4537464</v>
          </cell>
          <cell r="P434">
            <v>4544671</v>
          </cell>
          <cell r="Q434">
            <v>6781218</v>
          </cell>
          <cell r="R434">
            <v>7082345</v>
          </cell>
          <cell r="S434">
            <v>7075278</v>
          </cell>
          <cell r="T434">
            <v>9129738</v>
          </cell>
          <cell r="U434">
            <v>9418101</v>
          </cell>
          <cell r="V434">
            <v>9440394</v>
          </cell>
          <cell r="W434">
            <v>11073122</v>
          </cell>
          <cell r="X434">
            <v>380084</v>
          </cell>
          <cell r="Y434">
            <v>714912</v>
          </cell>
          <cell r="Z434">
            <v>4172165</v>
          </cell>
          <cell r="AA434">
            <v>4401247</v>
          </cell>
          <cell r="AB434">
            <v>4630359</v>
          </cell>
          <cell r="AC434">
            <v>6722161</v>
          </cell>
          <cell r="AD434">
            <v>6670950</v>
          </cell>
          <cell r="AE434">
            <v>6839042</v>
          </cell>
          <cell r="AF434">
            <v>8584689</v>
          </cell>
          <cell r="AG434">
            <v>8711545</v>
          </cell>
          <cell r="AH434">
            <v>8655687</v>
          </cell>
          <cell r="AI434">
            <v>10121240</v>
          </cell>
          <cell r="AJ434">
            <v>-67996</v>
          </cell>
          <cell r="AK434">
            <v>522490</v>
          </cell>
          <cell r="AL434">
            <v>2194050</v>
          </cell>
          <cell r="AM434">
            <v>2876936</v>
          </cell>
          <cell r="AN434">
            <v>3214147</v>
          </cell>
          <cell r="AO434">
            <v>4401533</v>
          </cell>
          <cell r="AP434">
            <v>4608966</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G435">
            <v>425</v>
          </cell>
          <cell r="H435" t="str">
            <v>YTD Target (Budget)</v>
          </cell>
          <cell r="I435">
            <v>0</v>
          </cell>
          <cell r="J435">
            <v>0</v>
          </cell>
          <cell r="K435">
            <v>0</v>
          </cell>
          <cell r="L435">
            <v>201554</v>
          </cell>
          <cell r="M435">
            <v>553254</v>
          </cell>
          <cell r="N435">
            <v>2472772</v>
          </cell>
          <cell r="O435">
            <v>2928723</v>
          </cell>
          <cell r="P435">
            <v>3435596</v>
          </cell>
          <cell r="Q435">
            <v>5245512</v>
          </cell>
          <cell r="R435">
            <v>5649411</v>
          </cell>
          <cell r="S435">
            <v>5752332</v>
          </cell>
          <cell r="T435">
            <v>7224116</v>
          </cell>
          <cell r="U435">
            <v>7506496</v>
          </cell>
          <cell r="V435">
            <v>7522812</v>
          </cell>
          <cell r="W435">
            <v>9697371</v>
          </cell>
          <cell r="X435">
            <v>686538</v>
          </cell>
          <cell r="Y435">
            <v>285690</v>
          </cell>
          <cell r="Z435">
            <v>2802499</v>
          </cell>
          <cell r="AA435">
            <v>3315292</v>
          </cell>
          <cell r="AB435">
            <v>3458983</v>
          </cell>
          <cell r="AC435">
            <v>4983124</v>
          </cell>
          <cell r="AD435">
            <v>4892149</v>
          </cell>
          <cell r="AE435">
            <v>4791892</v>
          </cell>
          <cell r="AF435">
            <v>6243178</v>
          </cell>
          <cell r="AG435">
            <v>6162083</v>
          </cell>
          <cell r="AH435">
            <v>5894186</v>
          </cell>
          <cell r="AI435">
            <v>7159738</v>
          </cell>
          <cell r="AJ435">
            <v>-156780</v>
          </cell>
          <cell r="AK435">
            <v>648507</v>
          </cell>
          <cell r="AL435">
            <v>2354299</v>
          </cell>
          <cell r="AM435">
            <v>2752829</v>
          </cell>
          <cell r="AN435">
            <v>3084117</v>
          </cell>
          <cell r="AO435">
            <v>4659951</v>
          </cell>
          <cell r="AP435">
            <v>4756792</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G436">
            <v>426</v>
          </cell>
          <cell r="H436" t="str">
            <v>YTD Target (Budget) Var</v>
          </cell>
          <cell r="I436">
            <v>0</v>
          </cell>
          <cell r="J436">
            <v>0</v>
          </cell>
          <cell r="K436">
            <v>0</v>
          </cell>
          <cell r="L436">
            <v>248000</v>
          </cell>
          <cell r="M436">
            <v>360256</v>
          </cell>
          <cell r="N436">
            <v>1526210</v>
          </cell>
          <cell r="O436">
            <v>1608741</v>
          </cell>
          <cell r="P436">
            <v>1109075</v>
          </cell>
          <cell r="Q436">
            <v>1535706</v>
          </cell>
          <cell r="R436">
            <v>1432934</v>
          </cell>
          <cell r="S436">
            <v>1322946</v>
          </cell>
          <cell r="T436">
            <v>1905622</v>
          </cell>
          <cell r="U436">
            <v>1911605</v>
          </cell>
          <cell r="V436">
            <v>1917582</v>
          </cell>
          <cell r="W436">
            <v>1375751</v>
          </cell>
          <cell r="X436">
            <v>-306454</v>
          </cell>
          <cell r="Y436">
            <v>429222</v>
          </cell>
          <cell r="Z436">
            <v>1369666</v>
          </cell>
          <cell r="AA436">
            <v>1085955</v>
          </cell>
          <cell r="AB436">
            <v>1171376</v>
          </cell>
          <cell r="AC436">
            <v>1739037</v>
          </cell>
          <cell r="AD436">
            <v>1778801</v>
          </cell>
          <cell r="AE436">
            <v>2047150</v>
          </cell>
          <cell r="AF436">
            <v>2341511</v>
          </cell>
          <cell r="AG436">
            <v>2549462</v>
          </cell>
          <cell r="AH436">
            <v>2761501</v>
          </cell>
          <cell r="AI436">
            <v>2961502</v>
          </cell>
          <cell r="AJ436">
            <v>88784</v>
          </cell>
          <cell r="AK436">
            <v>-126017</v>
          </cell>
          <cell r="AL436">
            <v>-160249</v>
          </cell>
          <cell r="AM436">
            <v>124107</v>
          </cell>
          <cell r="AN436">
            <v>130030</v>
          </cell>
          <cell r="AO436">
            <v>-258418</v>
          </cell>
          <cell r="AP436">
            <v>-147826</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G437">
            <v>427</v>
          </cell>
          <cell r="H437" t="str">
            <v>YTD %Var</v>
          </cell>
          <cell r="I437">
            <v>0</v>
          </cell>
          <cell r="J437">
            <v>0</v>
          </cell>
          <cell r="K437">
            <v>0</v>
          </cell>
          <cell r="L437">
            <v>1.230439485199996</v>
          </cell>
          <cell r="M437">
            <v>0.65115841909864181</v>
          </cell>
          <cell r="N437">
            <v>0.61720611524232727</v>
          </cell>
          <cell r="O437">
            <v>0.54929776561320409</v>
          </cell>
          <cell r="P437">
            <v>0.32281880640214972</v>
          </cell>
          <cell r="Q437">
            <v>0.29276570142247316</v>
          </cell>
          <cell r="R437">
            <v>0.25364307889795945</v>
          </cell>
          <cell r="S437">
            <v>0.22998429158817676</v>
          </cell>
          <cell r="T437">
            <v>0.2637861850501847</v>
          </cell>
          <cell r="U437">
            <v>0.25466009706792625</v>
          </cell>
          <cell r="V437">
            <v>0.25490228919717789</v>
          </cell>
          <cell r="W437">
            <v>0.141868450737834</v>
          </cell>
          <cell r="X437">
            <v>-0.44637587431431325</v>
          </cell>
          <cell r="Y437">
            <v>1.5024047043998741</v>
          </cell>
          <cell r="Z437">
            <v>0.48873023683505329</v>
          </cell>
          <cell r="AA437">
            <v>0.32755938240130883</v>
          </cell>
          <cell r="AB437">
            <v>0.33864751575824453</v>
          </cell>
          <cell r="AC437">
            <v>0.34898529516825189</v>
          </cell>
          <cell r="AD437">
            <v>0.36360319360673604</v>
          </cell>
          <cell r="AE437">
            <v>0.42721121427611475</v>
          </cell>
          <cell r="AF437">
            <v>0.3750511358157656</v>
          </cell>
          <cell r="AG437">
            <v>0.41373379748374051</v>
          </cell>
          <cell r="AH437">
            <v>0.46851270048145749</v>
          </cell>
          <cell r="AI437">
            <v>0.41363273348829244</v>
          </cell>
          <cell r="AJ437">
            <v>0.56629672152060206</v>
          </cell>
          <cell r="AK437">
            <v>-0.19431864266692572</v>
          </cell>
          <cell r="AL437">
            <v>-6.8066545498256595E-2</v>
          </cell>
          <cell r="AM437">
            <v>4.5083439617934859E-2</v>
          </cell>
          <cell r="AN437">
            <v>4.2161176116210897E-2</v>
          </cell>
          <cell r="AO437">
            <v>-5.5455089549224873E-2</v>
          </cell>
          <cell r="AP437">
            <v>-3.1076826567148615E-2</v>
          </cell>
          <cell r="AQ437" t="e">
            <v>#DIV/0!</v>
          </cell>
          <cell r="AR437" t="e">
            <v>#DIV/0!</v>
          </cell>
          <cell r="AS437" t="e">
            <v>#DIV/0!</v>
          </cell>
          <cell r="AT437" t="e">
            <v>#DIV/0!</v>
          </cell>
          <cell r="AU437" t="e">
            <v>#DIV/0!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G438">
            <v>428</v>
          </cell>
          <cell r="H438" t="str">
            <v>4 Month Actual</v>
          </cell>
          <cell r="I438">
            <v>0</v>
          </cell>
          <cell r="J438">
            <v>0</v>
          </cell>
          <cell r="K438">
            <v>0</v>
          </cell>
          <cell r="L438">
            <v>449554</v>
          </cell>
          <cell r="M438">
            <v>913510</v>
          </cell>
          <cell r="N438">
            <v>3998981</v>
          </cell>
          <cell r="O438">
            <v>4537463</v>
          </cell>
          <cell r="P438">
            <v>4095116</v>
          </cell>
          <cell r="Q438">
            <v>5867707</v>
          </cell>
          <cell r="R438">
            <v>3083363</v>
          </cell>
          <cell r="S438">
            <v>2537814</v>
          </cell>
          <cell r="T438">
            <v>4585067</v>
          </cell>
          <cell r="U438">
            <v>2636883</v>
          </cell>
          <cell r="V438">
            <v>2358048</v>
          </cell>
          <cell r="W438">
            <v>3997843</v>
          </cell>
          <cell r="X438">
            <v>2323467</v>
          </cell>
          <cell r="Y438">
            <v>2386731</v>
          </cell>
          <cell r="Z438">
            <v>5821693</v>
          </cell>
          <cell r="AA438">
            <v>4418047</v>
          </cell>
          <cell r="AB438">
            <v>4267075</v>
          </cell>
          <cell r="AC438">
            <v>6007250</v>
          </cell>
          <cell r="AD438">
            <v>2498785</v>
          </cell>
          <cell r="AE438">
            <v>2212204</v>
          </cell>
          <cell r="AF438">
            <v>3728739</v>
          </cell>
          <cell r="AG438">
            <v>1763793</v>
          </cell>
          <cell r="AH438">
            <v>1759146</v>
          </cell>
          <cell r="AI438">
            <v>3282198</v>
          </cell>
          <cell r="AJ438">
            <v>1468555</v>
          </cell>
          <cell r="AK438">
            <v>1855101</v>
          </cell>
          <cell r="AL438">
            <v>3582519</v>
          </cell>
          <cell r="AM438">
            <v>2799852</v>
          </cell>
          <cell r="AN438">
            <v>3205059</v>
          </cell>
          <cell r="AO438">
            <v>3879043</v>
          </cell>
          <cell r="AP438">
            <v>2414916</v>
          </cell>
          <cell r="AQ438">
            <v>1732030</v>
          </cell>
          <cell r="AR438">
            <v>1394819</v>
          </cell>
          <cell r="AS438">
            <v>207433</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G439">
            <v>429</v>
          </cell>
          <cell r="H439" t="str">
            <v>4 Month Target (Budget)</v>
          </cell>
          <cell r="I439">
            <v>0</v>
          </cell>
          <cell r="J439">
            <v>0</v>
          </cell>
          <cell r="K439">
            <v>0</v>
          </cell>
          <cell r="L439">
            <v>201626</v>
          </cell>
          <cell r="M439">
            <v>500708</v>
          </cell>
          <cell r="N439">
            <v>2390740</v>
          </cell>
          <cell r="O439">
            <v>2774091</v>
          </cell>
          <cell r="P439">
            <v>2677752</v>
          </cell>
          <cell r="Q439">
            <v>4202521</v>
          </cell>
          <cell r="R439">
            <v>2722136</v>
          </cell>
          <cell r="S439">
            <v>2441706</v>
          </cell>
          <cell r="T439">
            <v>3808203</v>
          </cell>
          <cell r="U439">
            <v>2266732</v>
          </cell>
          <cell r="V439">
            <v>1873401</v>
          </cell>
          <cell r="W439">
            <v>3945039</v>
          </cell>
          <cell r="X439">
            <v>3159793</v>
          </cell>
          <cell r="Y439">
            <v>2948960</v>
          </cell>
          <cell r="Z439">
            <v>5449453</v>
          </cell>
          <cell r="AA439">
            <v>3415469</v>
          </cell>
          <cell r="AB439">
            <v>2872622</v>
          </cell>
          <cell r="AC439">
            <v>4325216</v>
          </cell>
          <cell r="AD439">
            <v>1707951</v>
          </cell>
          <cell r="AE439">
            <v>1467119</v>
          </cell>
          <cell r="AF439">
            <v>2774714</v>
          </cell>
          <cell r="AG439">
            <v>1169478</v>
          </cell>
          <cell r="AH439">
            <v>1002037</v>
          </cell>
          <cell r="AI439">
            <v>2367846</v>
          </cell>
          <cell r="AJ439">
            <v>759780</v>
          </cell>
          <cell r="AK439">
            <v>1179910</v>
          </cell>
          <cell r="AL439">
            <v>3154261</v>
          </cell>
          <cell r="AM439">
            <v>2287239</v>
          </cell>
          <cell r="AN439">
            <v>2775307</v>
          </cell>
          <cell r="AO439">
            <v>4012106</v>
          </cell>
          <cell r="AP439">
            <v>2402493</v>
          </cell>
          <cell r="AQ439">
            <v>2003963</v>
          </cell>
          <cell r="AR439">
            <v>1672675</v>
          </cell>
          <cell r="AS439">
            <v>96841</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G440">
            <v>430</v>
          </cell>
          <cell r="H440" t="str">
            <v>4 Month Target (Budget) Var</v>
          </cell>
          <cell r="I440">
            <v>0</v>
          </cell>
          <cell r="J440">
            <v>0</v>
          </cell>
          <cell r="K440">
            <v>0</v>
          </cell>
          <cell r="L440">
            <v>247928</v>
          </cell>
          <cell r="M440">
            <v>412802</v>
          </cell>
          <cell r="N440">
            <v>1608241</v>
          </cell>
          <cell r="O440">
            <v>1763372</v>
          </cell>
          <cell r="P440">
            <v>1417364</v>
          </cell>
          <cell r="Q440">
            <v>1665186</v>
          </cell>
          <cell r="R440">
            <v>361227</v>
          </cell>
          <cell r="S440">
            <v>96108</v>
          </cell>
          <cell r="T440">
            <v>776864</v>
          </cell>
          <cell r="U440">
            <v>370151</v>
          </cell>
          <cell r="V440">
            <v>484647</v>
          </cell>
          <cell r="W440">
            <v>52804</v>
          </cell>
          <cell r="X440">
            <v>-836326</v>
          </cell>
          <cell r="Y440">
            <v>-562229</v>
          </cell>
          <cell r="Z440">
            <v>372240</v>
          </cell>
          <cell r="AA440">
            <v>1002578</v>
          </cell>
          <cell r="AB440">
            <v>1394453</v>
          </cell>
          <cell r="AC440">
            <v>1682034</v>
          </cell>
          <cell r="AD440">
            <v>790834</v>
          </cell>
          <cell r="AE440">
            <v>745085</v>
          </cell>
          <cell r="AF440">
            <v>954025</v>
          </cell>
          <cell r="AG440">
            <v>594315</v>
          </cell>
          <cell r="AH440">
            <v>757109</v>
          </cell>
          <cell r="AI440">
            <v>914352</v>
          </cell>
          <cell r="AJ440">
            <v>708775</v>
          </cell>
          <cell r="AK440">
            <v>675191</v>
          </cell>
          <cell r="AL440">
            <v>428258</v>
          </cell>
          <cell r="AM440">
            <v>512613</v>
          </cell>
          <cell r="AN440">
            <v>429752</v>
          </cell>
          <cell r="AO440">
            <v>-133063</v>
          </cell>
          <cell r="AP440">
            <v>12423</v>
          </cell>
          <cell r="AQ440">
            <v>-271933</v>
          </cell>
          <cell r="AR440">
            <v>-277856</v>
          </cell>
          <cell r="AS440">
            <v>110592</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G441">
            <v>431</v>
          </cell>
          <cell r="H441" t="str">
            <v>4 Month Target (Budget) % Var</v>
          </cell>
          <cell r="I441">
            <v>0</v>
          </cell>
          <cell r="J441">
            <v>0</v>
          </cell>
          <cell r="K441">
            <v>0</v>
          </cell>
          <cell r="L441">
            <v>1.2296430023905647</v>
          </cell>
          <cell r="M441">
            <v>0.82443659777754696</v>
          </cell>
          <cell r="N441">
            <v>0.67269590168734372</v>
          </cell>
          <cell r="O441">
            <v>0.63565759017999046</v>
          </cell>
          <cell r="P441">
            <v>0.529311153534756</v>
          </cell>
          <cell r="Q441">
            <v>0.39623502178811243</v>
          </cell>
          <cell r="R441">
            <v>0.13269983571724558</v>
          </cell>
          <cell r="S441">
            <v>3.9361004150376827E-2</v>
          </cell>
          <cell r="T441">
            <v>0.20399752849309766</v>
          </cell>
          <cell r="U441">
            <v>0.16329720496291578</v>
          </cell>
          <cell r="V441">
            <v>0.25869901852299643</v>
          </cell>
          <cell r="W441">
            <v>1.3384912037624977E-2</v>
          </cell>
          <cell r="X441">
            <v>-0.26467746463138564</v>
          </cell>
          <cell r="Y441">
            <v>-0.19065331506700667</v>
          </cell>
          <cell r="Z441">
            <v>6.8307773275592981E-2</v>
          </cell>
          <cell r="AA441">
            <v>0.29354036005011319</v>
          </cell>
          <cell r="AB441">
            <v>0.48542864323952123</v>
          </cell>
          <cell r="AC441">
            <v>0.38889017334625603</v>
          </cell>
          <cell r="AD441">
            <v>0.46303084807468131</v>
          </cell>
          <cell r="AE441">
            <v>0.50785587263200871</v>
          </cell>
          <cell r="AF441">
            <v>0.34382822878321873</v>
          </cell>
          <cell r="AG441">
            <v>0.50818826861215005</v>
          </cell>
          <cell r="AH441">
            <v>0.75556990410533742</v>
          </cell>
          <cell r="AI441">
            <v>0.38615349140104549</v>
          </cell>
          <cell r="AJ441">
            <v>0.93286872515728236</v>
          </cell>
          <cell r="AK441">
            <v>0.5722394080904476</v>
          </cell>
          <cell r="AL441">
            <v>0.13577126306288542</v>
          </cell>
          <cell r="AM441">
            <v>0.2241186863288008</v>
          </cell>
          <cell r="AN441">
            <v>0.15484845460340063</v>
          </cell>
          <cell r="AO441">
            <v>-3.3165374992584942E-2</v>
          </cell>
          <cell r="AP441">
            <v>5.1708787496987504E-3</v>
          </cell>
          <cell r="AQ441">
            <v>-0.1356976151755297</v>
          </cell>
          <cell r="AR441">
            <v>-0.16611475630352579</v>
          </cell>
          <cell r="AS441">
            <v>1.1419956423415702</v>
          </cell>
          <cell r="AT441" t="e">
            <v>#DIV/0!</v>
          </cell>
          <cell r="AU441" t="e">
            <v>#DIV/0!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G442">
            <v>432</v>
          </cell>
          <cell r="H442" t="str">
            <v>Actual</v>
          </cell>
          <cell r="I442">
            <v>0</v>
          </cell>
          <cell r="J442">
            <v>0</v>
          </cell>
          <cell r="K442">
            <v>0</v>
          </cell>
          <cell r="L442">
            <v>-113732</v>
          </cell>
          <cell r="M442">
            <v>-304220</v>
          </cell>
          <cell r="N442">
            <v>2314732</v>
          </cell>
          <cell r="O442">
            <v>-1641688</v>
          </cell>
          <cell r="P442">
            <v>-559253</v>
          </cell>
          <cell r="Q442">
            <v>1583435</v>
          </cell>
          <cell r="R442">
            <v>-234863</v>
          </cell>
          <cell r="S442">
            <v>-484315</v>
          </cell>
          <cell r="T442">
            <v>1392418</v>
          </cell>
          <cell r="U442">
            <v>-231367</v>
          </cell>
          <cell r="V442">
            <v>-530572</v>
          </cell>
          <cell r="W442">
            <v>-2142742</v>
          </cell>
          <cell r="X442">
            <v>158388</v>
          </cell>
          <cell r="Y442">
            <v>-259914</v>
          </cell>
          <cell r="Z442">
            <v>2646822</v>
          </cell>
          <cell r="AA442">
            <v>-257559</v>
          </cell>
          <cell r="AB442">
            <v>-124350</v>
          </cell>
          <cell r="AC442">
            <v>1178795</v>
          </cell>
          <cell r="AD442">
            <v>-532647</v>
          </cell>
          <cell r="AE442">
            <v>-648677</v>
          </cell>
          <cell r="AF442">
            <v>1183477</v>
          </cell>
          <cell r="AG442">
            <v>-372669</v>
          </cell>
          <cell r="AH442">
            <v>-433671</v>
          </cell>
          <cell r="AI442">
            <v>-2946221</v>
          </cell>
          <cell r="AJ442">
            <v>-388797</v>
          </cell>
          <cell r="AK442">
            <v>359161</v>
          </cell>
          <cell r="AL442">
            <v>310205</v>
          </cell>
          <cell r="AM442">
            <v>191968</v>
          </cell>
          <cell r="AN442">
            <v>-109682</v>
          </cell>
          <cell r="AO442">
            <v>526587</v>
          </cell>
          <cell r="AP442">
            <v>-208875</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G443">
            <v>433</v>
          </cell>
          <cell r="H443" t="str">
            <v>Target (Budget)</v>
          </cell>
          <cell r="I443">
            <v>0</v>
          </cell>
          <cell r="J443">
            <v>0</v>
          </cell>
          <cell r="K443">
            <v>0</v>
          </cell>
          <cell r="L443">
            <v>-306777</v>
          </cell>
          <cell r="M443">
            <v>-450279</v>
          </cell>
          <cell r="N443">
            <v>1159458</v>
          </cell>
          <cell r="O443">
            <v>-15194</v>
          </cell>
          <cell r="P443">
            <v>-438000</v>
          </cell>
          <cell r="Q443">
            <v>1087468</v>
          </cell>
          <cell r="R443">
            <v>-156088</v>
          </cell>
          <cell r="S443">
            <v>-441315</v>
          </cell>
          <cell r="T443">
            <v>732744</v>
          </cell>
          <cell r="U443">
            <v>-263202</v>
          </cell>
          <cell r="V443">
            <v>-529532</v>
          </cell>
          <cell r="W443">
            <v>932219</v>
          </cell>
          <cell r="X443">
            <v>136390</v>
          </cell>
          <cell r="Y443">
            <v>-546008</v>
          </cell>
          <cell r="Z443">
            <v>1675307</v>
          </cell>
          <cell r="AA443">
            <v>-319987</v>
          </cell>
          <cell r="AB443">
            <v>-317656</v>
          </cell>
          <cell r="AC443">
            <v>607274</v>
          </cell>
          <cell r="AD443">
            <v>-550303</v>
          </cell>
          <cell r="AE443">
            <v>-539264</v>
          </cell>
          <cell r="AF443">
            <v>879088</v>
          </cell>
          <cell r="AG443">
            <v>-508995</v>
          </cell>
          <cell r="AH443">
            <v>-705620</v>
          </cell>
          <cell r="AI443">
            <v>-2670675</v>
          </cell>
          <cell r="AJ443">
            <v>-629670</v>
          </cell>
          <cell r="AK443">
            <v>-203852</v>
          </cell>
          <cell r="AL443">
            <v>610041</v>
          </cell>
          <cell r="AM443">
            <v>-138937</v>
          </cell>
          <cell r="AN443">
            <v>-130920</v>
          </cell>
          <cell r="AO443">
            <v>945611</v>
          </cell>
          <cell r="AP443">
            <v>-334076</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G444">
            <v>434</v>
          </cell>
          <cell r="H444" t="str">
            <v>Target (Budget) Variance</v>
          </cell>
          <cell r="I444">
            <v>0</v>
          </cell>
          <cell r="J444">
            <v>0</v>
          </cell>
          <cell r="K444">
            <v>0</v>
          </cell>
          <cell r="L444">
            <v>193045</v>
          </cell>
          <cell r="M444">
            <v>146059</v>
          </cell>
          <cell r="N444">
            <v>1155274</v>
          </cell>
          <cell r="O444">
            <v>-1626494</v>
          </cell>
          <cell r="P444">
            <v>-121253</v>
          </cell>
          <cell r="Q444">
            <v>495967</v>
          </cell>
          <cell r="R444">
            <v>-78775</v>
          </cell>
          <cell r="S444">
            <v>-43000</v>
          </cell>
          <cell r="T444">
            <v>659674</v>
          </cell>
          <cell r="U444">
            <v>31835</v>
          </cell>
          <cell r="V444">
            <v>-1040</v>
          </cell>
          <cell r="W444">
            <v>-3074961</v>
          </cell>
          <cell r="X444">
            <v>21998</v>
          </cell>
          <cell r="Y444">
            <v>286094</v>
          </cell>
          <cell r="Z444">
            <v>971515</v>
          </cell>
          <cell r="AA444">
            <v>62428</v>
          </cell>
          <cell r="AB444">
            <v>193306</v>
          </cell>
          <cell r="AC444">
            <v>571521</v>
          </cell>
          <cell r="AD444">
            <v>17656</v>
          </cell>
          <cell r="AE444">
            <v>-109413</v>
          </cell>
          <cell r="AF444">
            <v>304389</v>
          </cell>
          <cell r="AG444">
            <v>136326</v>
          </cell>
          <cell r="AH444">
            <v>271949</v>
          </cell>
          <cell r="AI444">
            <v>-275546</v>
          </cell>
          <cell r="AJ444">
            <v>240873</v>
          </cell>
          <cell r="AK444">
            <v>563013</v>
          </cell>
          <cell r="AL444">
            <v>-299836</v>
          </cell>
          <cell r="AM444">
            <v>330905</v>
          </cell>
          <cell r="AN444">
            <v>21238</v>
          </cell>
          <cell r="AO444">
            <v>-419024</v>
          </cell>
          <cell r="AP444">
            <v>125201</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G445">
            <v>435</v>
          </cell>
          <cell r="H445" t="str">
            <v>Target (Budget) %Var</v>
          </cell>
          <cell r="I445">
            <v>0</v>
          </cell>
          <cell r="J445">
            <v>0</v>
          </cell>
          <cell r="K445">
            <v>0</v>
          </cell>
          <cell r="L445">
            <v>0.62926816547524744</v>
          </cell>
          <cell r="M445">
            <v>0.32437444340064714</v>
          </cell>
          <cell r="N445">
            <v>0.99639141736915005</v>
          </cell>
          <cell r="O445">
            <v>-107.04844017375279</v>
          </cell>
          <cell r="P445">
            <v>-0.27683333333333332</v>
          </cell>
          <cell r="Q445">
            <v>0.45607502933419652</v>
          </cell>
          <cell r="R445">
            <v>-0.50468325559940541</v>
          </cell>
          <cell r="S445">
            <v>-9.7436071740140268E-2</v>
          </cell>
          <cell r="T445">
            <v>0.90027895144825476</v>
          </cell>
          <cell r="U445">
            <v>0.12095272832273311</v>
          </cell>
          <cell r="V445">
            <v>-1.963998398585921E-3</v>
          </cell>
          <cell r="W445">
            <v>-3.298539291732951</v>
          </cell>
          <cell r="X445">
            <v>0.16128748441967886</v>
          </cell>
          <cell r="Y445">
            <v>0.52397400770684677</v>
          </cell>
          <cell r="Z445">
            <v>0.57990266858551898</v>
          </cell>
          <cell r="AA445">
            <v>0.19509542575167116</v>
          </cell>
          <cell r="AB445">
            <v>0.60853879668572297</v>
          </cell>
          <cell r="AC445">
            <v>0.94112542279103006</v>
          </cell>
          <cell r="AD445">
            <v>3.2084142735910946E-2</v>
          </cell>
          <cell r="AE445">
            <v>-0.20289320258723001</v>
          </cell>
          <cell r="AF445">
            <v>0.34625543745336074</v>
          </cell>
          <cell r="AG445">
            <v>0.26783367223646598</v>
          </cell>
          <cell r="AH445">
            <v>0.38540432527422691</v>
          </cell>
          <cell r="AI445">
            <v>-0.10317466558079887</v>
          </cell>
          <cell r="AJ445">
            <v>0.3825384725332317</v>
          </cell>
          <cell r="AK445">
            <v>2.7618713576516298</v>
          </cell>
          <cell r="AL445">
            <v>-0.49150139089012052</v>
          </cell>
          <cell r="AM445">
            <v>2.3816909822437506</v>
          </cell>
          <cell r="AN445">
            <v>0.16222120378857319</v>
          </cell>
          <cell r="AO445">
            <v>-0.44312513285061195</v>
          </cell>
          <cell r="AP445">
            <v>0.37476801685843941</v>
          </cell>
          <cell r="AQ445" t="e">
            <v>#DIV/0!</v>
          </cell>
          <cell r="AR445" t="e">
            <v>#DIV/0!</v>
          </cell>
          <cell r="AS445" t="e">
            <v>#DIV/0!</v>
          </cell>
          <cell r="AT445" t="e">
            <v>#DIV/0!</v>
          </cell>
          <cell r="AU445" t="e">
            <v>#DIV/0!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G446">
            <v>436</v>
          </cell>
          <cell r="H446" t="str">
            <v>YTD Actual</v>
          </cell>
          <cell r="I446">
            <v>0</v>
          </cell>
          <cell r="J446">
            <v>0</v>
          </cell>
          <cell r="K446">
            <v>0</v>
          </cell>
          <cell r="L446">
            <v>-113732</v>
          </cell>
          <cell r="M446">
            <v>-417952</v>
          </cell>
          <cell r="N446">
            <v>1896779</v>
          </cell>
          <cell r="O446">
            <v>255091</v>
          </cell>
          <cell r="P446">
            <v>-304161</v>
          </cell>
          <cell r="Q446">
            <v>1279273</v>
          </cell>
          <cell r="R446">
            <v>1044410</v>
          </cell>
          <cell r="S446">
            <v>560095</v>
          </cell>
          <cell r="T446">
            <v>1952514</v>
          </cell>
          <cell r="U446">
            <v>1721146</v>
          </cell>
          <cell r="V446">
            <v>1190575</v>
          </cell>
          <cell r="W446">
            <v>-833628</v>
          </cell>
          <cell r="X446">
            <v>158388</v>
          </cell>
          <cell r="Y446">
            <v>-112095</v>
          </cell>
          <cell r="Z446">
            <v>2533983</v>
          </cell>
          <cell r="AA446">
            <v>2276424</v>
          </cell>
          <cell r="AB446">
            <v>2152074</v>
          </cell>
          <cell r="AC446">
            <v>3331039</v>
          </cell>
          <cell r="AD446">
            <v>2798391</v>
          </cell>
          <cell r="AE446">
            <v>2375306</v>
          </cell>
          <cell r="AF446">
            <v>3558782</v>
          </cell>
          <cell r="AG446">
            <v>3186113</v>
          </cell>
          <cell r="AH446">
            <v>2752442</v>
          </cell>
          <cell r="AI446">
            <v>-193779</v>
          </cell>
          <cell r="AJ446">
            <v>-388797</v>
          </cell>
          <cell r="AK446">
            <v>48156</v>
          </cell>
          <cell r="AL446">
            <v>358362</v>
          </cell>
          <cell r="AM446">
            <v>550329</v>
          </cell>
          <cell r="AN446">
            <v>440647</v>
          </cell>
          <cell r="AO446">
            <v>967235</v>
          </cell>
          <cell r="AP446">
            <v>758359</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G447">
            <v>437</v>
          </cell>
          <cell r="H447" t="str">
            <v>YTD Target (Budget)</v>
          </cell>
          <cell r="I447">
            <v>0</v>
          </cell>
          <cell r="J447">
            <v>0</v>
          </cell>
          <cell r="K447">
            <v>0</v>
          </cell>
          <cell r="L447">
            <v>-306777</v>
          </cell>
          <cell r="M447">
            <v>-640684</v>
          </cell>
          <cell r="N447">
            <v>548259</v>
          </cell>
          <cell r="O447">
            <v>601253</v>
          </cell>
          <cell r="P447">
            <v>564839</v>
          </cell>
          <cell r="Q447">
            <v>1638372</v>
          </cell>
          <cell r="R447">
            <v>1476536</v>
          </cell>
          <cell r="S447">
            <v>1035221</v>
          </cell>
          <cell r="T447">
            <v>1767965</v>
          </cell>
          <cell r="U447">
            <v>1504763</v>
          </cell>
          <cell r="V447">
            <v>975231</v>
          </cell>
          <cell r="W447">
            <v>1907450</v>
          </cell>
          <cell r="X447">
            <v>136390</v>
          </cell>
          <cell r="Y447">
            <v>-822323</v>
          </cell>
          <cell r="Z447">
            <v>852984</v>
          </cell>
          <cell r="AA447">
            <v>1063724</v>
          </cell>
          <cell r="AB447">
            <v>746068</v>
          </cell>
          <cell r="AC447">
            <v>1448542</v>
          </cell>
          <cell r="AD447">
            <v>907720</v>
          </cell>
          <cell r="AE447">
            <v>368456</v>
          </cell>
          <cell r="AF447">
            <v>1247544</v>
          </cell>
          <cell r="AG447">
            <v>738549</v>
          </cell>
          <cell r="AH447">
            <v>32929</v>
          </cell>
          <cell r="AI447">
            <v>-2637746</v>
          </cell>
          <cell r="AJ447">
            <v>-629670</v>
          </cell>
          <cell r="AK447">
            <v>-420070</v>
          </cell>
          <cell r="AL447">
            <v>289881</v>
          </cell>
          <cell r="AM447">
            <v>150944</v>
          </cell>
          <cell r="AN447">
            <v>20024</v>
          </cell>
          <cell r="AO447">
            <v>960327</v>
          </cell>
          <cell r="AP447">
            <v>626251</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G448">
            <v>438</v>
          </cell>
          <cell r="H448" t="str">
            <v>YTD Target (Budget) Var</v>
          </cell>
          <cell r="I448">
            <v>0</v>
          </cell>
          <cell r="J448">
            <v>0</v>
          </cell>
          <cell r="K448">
            <v>0</v>
          </cell>
          <cell r="L448">
            <v>193045</v>
          </cell>
          <cell r="M448">
            <v>222732</v>
          </cell>
          <cell r="N448">
            <v>1348520</v>
          </cell>
          <cell r="O448">
            <v>-346162</v>
          </cell>
          <cell r="P448">
            <v>-869000</v>
          </cell>
          <cell r="Q448">
            <v>-359099</v>
          </cell>
          <cell r="R448">
            <v>-432126</v>
          </cell>
          <cell r="S448">
            <v>-475126</v>
          </cell>
          <cell r="T448">
            <v>184549</v>
          </cell>
          <cell r="U448">
            <v>216383</v>
          </cell>
          <cell r="V448">
            <v>215344</v>
          </cell>
          <cell r="W448">
            <v>-2741078</v>
          </cell>
          <cell r="X448">
            <v>21998</v>
          </cell>
          <cell r="Y448">
            <v>710228</v>
          </cell>
          <cell r="Z448">
            <v>1680999</v>
          </cell>
          <cell r="AA448">
            <v>1212700</v>
          </cell>
          <cell r="AB448">
            <v>1406006</v>
          </cell>
          <cell r="AC448">
            <v>1882497</v>
          </cell>
          <cell r="AD448">
            <v>1890671</v>
          </cell>
          <cell r="AE448">
            <v>2006850</v>
          </cell>
          <cell r="AF448">
            <v>2311238</v>
          </cell>
          <cell r="AG448">
            <v>2447564</v>
          </cell>
          <cell r="AH448">
            <v>2719513</v>
          </cell>
          <cell r="AI448">
            <v>2443967</v>
          </cell>
          <cell r="AJ448">
            <v>240873</v>
          </cell>
          <cell r="AK448">
            <v>468226</v>
          </cell>
          <cell r="AL448">
            <v>68481</v>
          </cell>
          <cell r="AM448">
            <v>399385</v>
          </cell>
          <cell r="AN448">
            <v>420623</v>
          </cell>
          <cell r="AO448">
            <v>6908</v>
          </cell>
          <cell r="AP448">
            <v>132108</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G449">
            <v>439</v>
          </cell>
          <cell r="H449" t="str">
            <v>YTD %Var</v>
          </cell>
          <cell r="I449">
            <v>0</v>
          </cell>
          <cell r="J449">
            <v>0</v>
          </cell>
          <cell r="K449">
            <v>0</v>
          </cell>
          <cell r="L449">
            <v>0.62926816547524744</v>
          </cell>
          <cell r="M449">
            <v>0.34764720205280608</v>
          </cell>
          <cell r="N449">
            <v>2.4596404254193729</v>
          </cell>
          <cell r="O449">
            <v>-0.57573434145027136</v>
          </cell>
          <cell r="P449">
            <v>-1.5384914993476018</v>
          </cell>
          <cell r="Q449">
            <v>-0.21918038150066041</v>
          </cell>
          <cell r="R449">
            <v>-0.29266201433625727</v>
          </cell>
          <cell r="S449">
            <v>-0.45896093684343731</v>
          </cell>
          <cell r="T449">
            <v>0.10438498499687494</v>
          </cell>
          <cell r="U449">
            <v>0.14379872445029548</v>
          </cell>
          <cell r="V449">
            <v>0.22081332525319641</v>
          </cell>
          <cell r="W449">
            <v>-1.4370379302209757</v>
          </cell>
          <cell r="X449">
            <v>0.16128748441967886</v>
          </cell>
          <cell r="Y449">
            <v>0.86368495104721621</v>
          </cell>
          <cell r="Z449">
            <v>1.9707274696829014</v>
          </cell>
          <cell r="AA449">
            <v>1.1400513667079055</v>
          </cell>
          <cell r="AB449">
            <v>1.8845547590836225</v>
          </cell>
          <cell r="AC449">
            <v>1.2995805437467467</v>
          </cell>
          <cell r="AD449">
            <v>2.0828790816551361</v>
          </cell>
          <cell r="AE449">
            <v>5.4466476322817376</v>
          </cell>
          <cell r="AF449">
            <v>1.8526304483048293</v>
          </cell>
          <cell r="AG449">
            <v>3.3140170794354877</v>
          </cell>
          <cell r="AH449">
            <v>82.58717240122688</v>
          </cell>
          <cell r="AI449">
            <v>0.92653614108409221</v>
          </cell>
          <cell r="AJ449">
            <v>0.3825384725332317</v>
          </cell>
          <cell r="AK449">
            <v>1.1146380365177233</v>
          </cell>
          <cell r="AL449">
            <v>0.23623831848241175</v>
          </cell>
          <cell r="AM449">
            <v>2.6459150413398347</v>
          </cell>
          <cell r="AN449">
            <v>21.005942868557732</v>
          </cell>
          <cell r="AO449">
            <v>7.1933830872192494E-3</v>
          </cell>
          <cell r="AP449">
            <v>0.21095056135638904</v>
          </cell>
          <cell r="AQ449" t="e">
            <v>#DIV/0!</v>
          </cell>
          <cell r="AR449" t="e">
            <v>#DIV/0!</v>
          </cell>
          <cell r="AS449" t="e">
            <v>#DIV/0!</v>
          </cell>
          <cell r="AT449" t="e">
            <v>#DIV/0!</v>
          </cell>
          <cell r="AU449" t="e">
            <v>#DIV/0!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G450">
            <v>440</v>
          </cell>
          <cell r="H450" t="str">
            <v>4 Month Actual</v>
          </cell>
          <cell r="I450">
            <v>0</v>
          </cell>
          <cell r="J450">
            <v>0</v>
          </cell>
          <cell r="K450">
            <v>0</v>
          </cell>
          <cell r="L450">
            <v>-113732</v>
          </cell>
          <cell r="M450">
            <v>-417952</v>
          </cell>
          <cell r="N450">
            <v>1896780</v>
          </cell>
          <cell r="O450">
            <v>255092</v>
          </cell>
          <cell r="P450">
            <v>-190429</v>
          </cell>
          <cell r="Q450">
            <v>1697226</v>
          </cell>
          <cell r="R450">
            <v>-852369</v>
          </cell>
          <cell r="S450">
            <v>305004</v>
          </cell>
          <cell r="T450">
            <v>2256675</v>
          </cell>
          <cell r="U450">
            <v>441873</v>
          </cell>
          <cell r="V450">
            <v>146164</v>
          </cell>
          <cell r="W450">
            <v>-1512263</v>
          </cell>
          <cell r="X450">
            <v>-2746293</v>
          </cell>
          <cell r="Y450">
            <v>-2774840</v>
          </cell>
          <cell r="Z450">
            <v>402554</v>
          </cell>
          <cell r="AA450">
            <v>2287737</v>
          </cell>
          <cell r="AB450">
            <v>2004999</v>
          </cell>
          <cell r="AC450">
            <v>3443708</v>
          </cell>
          <cell r="AD450">
            <v>264239</v>
          </cell>
          <cell r="AE450">
            <v>-126879</v>
          </cell>
          <cell r="AF450">
            <v>1180948</v>
          </cell>
          <cell r="AG450">
            <v>-370516</v>
          </cell>
          <cell r="AH450">
            <v>-271540</v>
          </cell>
          <cell r="AI450">
            <v>-2569084</v>
          </cell>
          <cell r="AJ450">
            <v>-4141358</v>
          </cell>
          <cell r="AK450">
            <v>-3409528</v>
          </cell>
          <cell r="AL450">
            <v>-2665652</v>
          </cell>
          <cell r="AM450">
            <v>472537</v>
          </cell>
          <cell r="AN450">
            <v>751652</v>
          </cell>
          <cell r="AO450">
            <v>919078</v>
          </cell>
          <cell r="AP450">
            <v>399998</v>
          </cell>
          <cell r="AQ450">
            <v>208030</v>
          </cell>
          <cell r="AR450">
            <v>317712</v>
          </cell>
          <cell r="AS450">
            <v>-208875</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G451">
            <v>441</v>
          </cell>
          <cell r="H451" t="str">
            <v>4 Month Target (Budget)</v>
          </cell>
          <cell r="I451">
            <v>0</v>
          </cell>
          <cell r="J451">
            <v>0</v>
          </cell>
          <cell r="K451">
            <v>0</v>
          </cell>
          <cell r="L451">
            <v>-306777</v>
          </cell>
          <cell r="M451">
            <v>-757056</v>
          </cell>
          <cell r="N451">
            <v>402402</v>
          </cell>
          <cell r="O451">
            <v>387208</v>
          </cell>
          <cell r="P451">
            <v>255985</v>
          </cell>
          <cell r="Q451">
            <v>1793732</v>
          </cell>
          <cell r="R451">
            <v>478186</v>
          </cell>
          <cell r="S451">
            <v>52065</v>
          </cell>
          <cell r="T451">
            <v>1222809</v>
          </cell>
          <cell r="U451">
            <v>-127861</v>
          </cell>
          <cell r="V451">
            <v>-501305</v>
          </cell>
          <cell r="W451">
            <v>872229</v>
          </cell>
          <cell r="X451">
            <v>275875</v>
          </cell>
          <cell r="Y451">
            <v>-6931</v>
          </cell>
          <cell r="Z451">
            <v>2197908</v>
          </cell>
          <cell r="AA451">
            <v>945702</v>
          </cell>
          <cell r="AB451">
            <v>491656</v>
          </cell>
          <cell r="AC451">
            <v>1644938</v>
          </cell>
          <cell r="AD451">
            <v>-580672</v>
          </cell>
          <cell r="AE451">
            <v>-799949</v>
          </cell>
          <cell r="AF451">
            <v>396795</v>
          </cell>
          <cell r="AG451">
            <v>-719474</v>
          </cell>
          <cell r="AH451">
            <v>-874791</v>
          </cell>
          <cell r="AI451">
            <v>-3006202</v>
          </cell>
          <cell r="AJ451">
            <v>-4514960</v>
          </cell>
          <cell r="AK451">
            <v>-4209817</v>
          </cell>
          <cell r="AL451">
            <v>-2894156</v>
          </cell>
          <cell r="AM451">
            <v>-362418</v>
          </cell>
          <cell r="AN451">
            <v>136332</v>
          </cell>
          <cell r="AO451">
            <v>1285795</v>
          </cell>
          <cell r="AP451">
            <v>341678</v>
          </cell>
          <cell r="AQ451">
            <v>480615</v>
          </cell>
          <cell r="AR451">
            <v>611535</v>
          </cell>
          <cell r="AS451">
            <v>-334076</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G452">
            <v>442</v>
          </cell>
          <cell r="H452" t="str">
            <v>4 Month Target (Budget) Var</v>
          </cell>
          <cell r="I452">
            <v>0</v>
          </cell>
          <cell r="J452">
            <v>0</v>
          </cell>
          <cell r="K452">
            <v>0</v>
          </cell>
          <cell r="L452">
            <v>193045</v>
          </cell>
          <cell r="M452">
            <v>339104</v>
          </cell>
          <cell r="N452">
            <v>1494378</v>
          </cell>
          <cell r="O452">
            <v>-132116</v>
          </cell>
          <cell r="P452">
            <v>-446414</v>
          </cell>
          <cell r="Q452">
            <v>-96506</v>
          </cell>
          <cell r="R452">
            <v>-1330555</v>
          </cell>
          <cell r="S452">
            <v>252939</v>
          </cell>
          <cell r="T452">
            <v>1033866</v>
          </cell>
          <cell r="U452">
            <v>569734</v>
          </cell>
          <cell r="V452">
            <v>647469</v>
          </cell>
          <cell r="W452">
            <v>-2384492</v>
          </cell>
          <cell r="X452">
            <v>-3022168</v>
          </cell>
          <cell r="Y452">
            <v>-2767909</v>
          </cell>
          <cell r="Z452">
            <v>-1795354</v>
          </cell>
          <cell r="AA452">
            <v>1342035</v>
          </cell>
          <cell r="AB452">
            <v>1513343</v>
          </cell>
          <cell r="AC452">
            <v>1798770</v>
          </cell>
          <cell r="AD452">
            <v>844911</v>
          </cell>
          <cell r="AE452">
            <v>673070</v>
          </cell>
          <cell r="AF452">
            <v>784153</v>
          </cell>
          <cell r="AG452">
            <v>348958</v>
          </cell>
          <cell r="AH452">
            <v>603251</v>
          </cell>
          <cell r="AI452">
            <v>437118</v>
          </cell>
          <cell r="AJ452">
            <v>373602</v>
          </cell>
          <cell r="AK452">
            <v>800289</v>
          </cell>
          <cell r="AL452">
            <v>228504</v>
          </cell>
          <cell r="AM452">
            <v>834955</v>
          </cell>
          <cell r="AN452">
            <v>615320</v>
          </cell>
          <cell r="AO452">
            <v>-366717</v>
          </cell>
          <cell r="AP452">
            <v>58320</v>
          </cell>
          <cell r="AQ452">
            <v>-272585</v>
          </cell>
          <cell r="AR452">
            <v>-293823</v>
          </cell>
          <cell r="AS452">
            <v>125201</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G453">
            <v>443</v>
          </cell>
          <cell r="H453" t="str">
            <v>4 Month Target (Budget) % Var</v>
          </cell>
          <cell r="I453">
            <v>0</v>
          </cell>
          <cell r="J453">
            <v>0</v>
          </cell>
          <cell r="K453">
            <v>0</v>
          </cell>
          <cell r="L453">
            <v>0.62926816547524744</v>
          </cell>
          <cell r="M453">
            <v>0.44792459210415081</v>
          </cell>
          <cell r="N453">
            <v>3.7136445643908331</v>
          </cell>
          <cell r="O453">
            <v>-0.34120162806553583</v>
          </cell>
          <cell r="P453">
            <v>-1.7439068695431372</v>
          </cell>
          <cell r="Q453">
            <v>-5.3801794247970151E-2</v>
          </cell>
          <cell r="R453">
            <v>-2.7825051339855205</v>
          </cell>
          <cell r="S453">
            <v>4.8581388648804378</v>
          </cell>
          <cell r="T453">
            <v>0.84548445423610719</v>
          </cell>
          <cell r="U453">
            <v>4.4558856883647087</v>
          </cell>
          <cell r="V453">
            <v>1.2915670101036296</v>
          </cell>
          <cell r="W453">
            <v>-2.7337912406030984</v>
          </cell>
          <cell r="X453">
            <v>-10.954845491617581</v>
          </cell>
          <cell r="Y453">
            <v>-399.35204155244554</v>
          </cell>
          <cell r="Z453">
            <v>-0.81684674699759952</v>
          </cell>
          <cell r="AA453">
            <v>1.4190886769828128</v>
          </cell>
          <cell r="AB453">
            <v>3.078052540800885</v>
          </cell>
          <cell r="AC453">
            <v>1.0935184183233653</v>
          </cell>
          <cell r="AD453">
            <v>1.4550572440207208</v>
          </cell>
          <cell r="AE453">
            <v>0.84139113868509119</v>
          </cell>
          <cell r="AF453">
            <v>1.9762169382174675</v>
          </cell>
          <cell r="AG453">
            <v>0.48501822164525749</v>
          </cell>
          <cell r="AH453">
            <v>0.68959442884071742</v>
          </cell>
          <cell r="AI453">
            <v>0.14540539857268406</v>
          </cell>
          <cell r="AJ453">
            <v>8.2747576944203274E-2</v>
          </cell>
          <cell r="AK453">
            <v>0.19010066233282824</v>
          </cell>
          <cell r="AL453">
            <v>7.8953587850827664E-2</v>
          </cell>
          <cell r="AM453">
            <v>2.3038452836227781</v>
          </cell>
          <cell r="AN453">
            <v>4.5133937740222398</v>
          </cell>
          <cell r="AO453">
            <v>-0.28520642870753116</v>
          </cell>
          <cell r="AP453">
            <v>0.170687021113446</v>
          </cell>
          <cell r="AQ453">
            <v>-0.56715874452524373</v>
          </cell>
          <cell r="AR453">
            <v>-0.48046800264907158</v>
          </cell>
          <cell r="AS453">
            <v>0.37476801685843941</v>
          </cell>
          <cell r="AT453" t="e">
            <v>#DIV/0!</v>
          </cell>
          <cell r="AU453" t="e">
            <v>#DIV/0!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G454">
            <v>444</v>
          </cell>
          <cell r="H454" t="str">
            <v>Actual</v>
          </cell>
          <cell r="I454">
            <v>0</v>
          </cell>
          <cell r="J454">
            <v>0</v>
          </cell>
          <cell r="K454">
            <v>0</v>
          </cell>
          <cell r="L454">
            <v>78.748143113743382</v>
          </cell>
          <cell r="M454">
            <v>34.690599658928761</v>
          </cell>
          <cell r="N454">
            <v>48.949082935996934</v>
          </cell>
          <cell r="O454">
            <v>25.919082587965057</v>
          </cell>
          <cell r="P454">
            <v>48.388177357045905</v>
          </cell>
          <cell r="Q454">
            <v>46.390561375421989</v>
          </cell>
          <cell r="R454">
            <v>34.935668605701487</v>
          </cell>
          <cell r="S454">
            <v>38.285760739964594</v>
          </cell>
          <cell r="T454">
            <v>42.94045597427467</v>
          </cell>
          <cell r="U454">
            <v>38.083498934133033</v>
          </cell>
          <cell r="V454">
            <v>40.127741445965967</v>
          </cell>
          <cell r="W454">
            <v>133.39118536655624</v>
          </cell>
          <cell r="X454">
            <v>96.614959911661629</v>
          </cell>
          <cell r="Y454">
            <v>35.370031891910429</v>
          </cell>
          <cell r="Z454">
            <v>54.702136415074932</v>
          </cell>
          <cell r="AA454">
            <v>53.00730427625939</v>
          </cell>
          <cell r="AB454">
            <v>38.534258084427833</v>
          </cell>
          <cell r="AC454">
            <v>51.806831041459482</v>
          </cell>
          <cell r="AD454">
            <v>42.029981295092192</v>
          </cell>
          <cell r="AE454">
            <v>38.79444197025029</v>
          </cell>
          <cell r="AF454">
            <v>47.224654849915382</v>
          </cell>
          <cell r="AG454">
            <v>39.197612897479289</v>
          </cell>
          <cell r="AH454">
            <v>41.092117217422285</v>
          </cell>
          <cell r="AI454">
            <v>169.85561052064457</v>
          </cell>
          <cell r="AJ454">
            <v>113.33819856002351</v>
          </cell>
          <cell r="AK454">
            <v>34.377307672638629</v>
          </cell>
          <cell r="AL454">
            <v>45.372551693571758</v>
          </cell>
          <cell r="AM454">
            <v>56.010500656291015</v>
          </cell>
          <cell r="AN454">
            <v>38.846479041303716</v>
          </cell>
          <cell r="AO454">
            <v>50.926734057242214</v>
          </cell>
          <cell r="AP454">
            <v>39.89200531208499</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G455">
            <v>445</v>
          </cell>
          <cell r="H455" t="str">
            <v>Target (Budget)</v>
          </cell>
          <cell r="I455">
            <v>0</v>
          </cell>
          <cell r="J455">
            <v>0</v>
          </cell>
          <cell r="K455">
            <v>0</v>
          </cell>
          <cell r="L455">
            <v>89.283654546337203</v>
          </cell>
          <cell r="M455">
            <v>40.466136498103225</v>
          </cell>
          <cell r="N455">
            <v>54.331013120801863</v>
          </cell>
          <cell r="O455">
            <v>47.029652316152159</v>
          </cell>
          <cell r="P455">
            <v>41.377179549646748</v>
          </cell>
          <cell r="Q455">
            <v>46.762729266000768</v>
          </cell>
          <cell r="R455">
            <v>40.490382222222223</v>
          </cell>
          <cell r="S455">
            <v>38.059306666666664</v>
          </cell>
          <cell r="T455">
            <v>47.397262222222224</v>
          </cell>
          <cell r="U455">
            <v>37.425066666666666</v>
          </cell>
          <cell r="V455">
            <v>104.39939959819567</v>
          </cell>
          <cell r="W455">
            <v>131.27051867281978</v>
          </cell>
          <cell r="X455">
            <v>87.972154208075281</v>
          </cell>
          <cell r="Y455">
            <v>39.072552676066159</v>
          </cell>
          <cell r="Z455">
            <v>67.000609979260702</v>
          </cell>
          <cell r="AA455">
            <v>46.052806775998185</v>
          </cell>
          <cell r="AB455">
            <v>43.211139964098365</v>
          </cell>
          <cell r="AC455">
            <v>55.944474459296956</v>
          </cell>
          <cell r="AD455">
            <v>43.449743599036005</v>
          </cell>
          <cell r="AE455">
            <v>40.669976624929781</v>
          </cell>
          <cell r="AF455">
            <v>57.52593907985576</v>
          </cell>
          <cell r="AG455">
            <v>43.376664794245023</v>
          </cell>
          <cell r="AH455">
            <v>43.506387373838045</v>
          </cell>
          <cell r="AI455">
            <v>151.00864179749388</v>
          </cell>
          <cell r="AJ455">
            <v>108.10341351001009</v>
          </cell>
          <cell r="AK455">
            <v>36.785160480668395</v>
          </cell>
          <cell r="AL455">
            <v>48.745465797933605</v>
          </cell>
          <cell r="AM455">
            <v>63.006790558544928</v>
          </cell>
          <cell r="AN455">
            <v>38.024050611150273</v>
          </cell>
          <cell r="AO455">
            <v>53.092516057466945</v>
          </cell>
          <cell r="AP455">
            <v>39.357459695377216</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G456">
            <v>446</v>
          </cell>
          <cell r="H456" t="str">
            <v>Target (Budget) Variance</v>
          </cell>
          <cell r="I456">
            <v>0</v>
          </cell>
          <cell r="J456">
            <v>0</v>
          </cell>
          <cell r="K456">
            <v>0</v>
          </cell>
          <cell r="L456">
            <v>-10.535511432593822</v>
          </cell>
          <cell r="M456">
            <v>-5.7755368391744639</v>
          </cell>
          <cell r="N456">
            <v>-5.3819301848049292</v>
          </cell>
          <cell r="O456">
            <v>-21.110569728187102</v>
          </cell>
          <cell r="P456">
            <v>7.010997807399157</v>
          </cell>
          <cell r="Q456">
            <v>-0.37216789057877975</v>
          </cell>
          <cell r="R456">
            <v>-5.5547136165207363</v>
          </cell>
          <cell r="S456">
            <v>0.22645407329792988</v>
          </cell>
          <cell r="T456">
            <v>-4.4568062479475543</v>
          </cell>
          <cell r="U456">
            <v>0.65843226746636674</v>
          </cell>
          <cell r="V456">
            <v>-64.271658152229705</v>
          </cell>
          <cell r="W456">
            <v>2.1206666937364673</v>
          </cell>
          <cell r="X456">
            <v>8.6428057035863475</v>
          </cell>
          <cell r="Y456">
            <v>-3.7025207841557304</v>
          </cell>
          <cell r="Z456">
            <v>-12.29847356418577</v>
          </cell>
          <cell r="AA456">
            <v>6.9544975002612048</v>
          </cell>
          <cell r="AB456">
            <v>-4.6768818796705318</v>
          </cell>
          <cell r="AC456">
            <v>-4.1376434178374737</v>
          </cell>
          <cell r="AD456">
            <v>-1.4197623039438128</v>
          </cell>
          <cell r="AE456">
            <v>-1.8755346546794911</v>
          </cell>
          <cell r="AF456">
            <v>-10.301284229940379</v>
          </cell>
          <cell r="AG456">
            <v>-4.1790518967657349</v>
          </cell>
          <cell r="AH456">
            <v>-2.4142701564157605</v>
          </cell>
          <cell r="AI456">
            <v>18.846968723150695</v>
          </cell>
          <cell r="AJ456">
            <v>5.2347850500134285</v>
          </cell>
          <cell r="AK456">
            <v>-2.4078528080297659</v>
          </cell>
          <cell r="AL456">
            <v>-3.3729141043618469</v>
          </cell>
          <cell r="AM456">
            <v>-6.9962899022539133</v>
          </cell>
          <cell r="AN456">
            <v>0.82242843015344391</v>
          </cell>
          <cell r="AO456">
            <v>-2.1657820002247306</v>
          </cell>
          <cell r="AP456">
            <v>0.53454561670777423</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G457">
            <v>447</v>
          </cell>
          <cell r="H457" t="str">
            <v>Target (Budget) %Var</v>
          </cell>
          <cell r="I457">
            <v>0</v>
          </cell>
          <cell r="J457">
            <v>0</v>
          </cell>
          <cell r="K457">
            <v>0</v>
          </cell>
          <cell r="L457">
            <v>-0.11800045020699741</v>
          </cell>
          <cell r="M457">
            <v>-0.14272518552506691</v>
          </cell>
          <cell r="N457">
            <v>-9.9058159891819417E-2</v>
          </cell>
          <cell r="O457">
            <v>-0.4488778608498612</v>
          </cell>
          <cell r="P457">
            <v>0.16944117225261701</v>
          </cell>
          <cell r="Q457">
            <v>-7.9586434842537617E-3</v>
          </cell>
          <cell r="R457">
            <v>-0.13718600101216527</v>
          </cell>
          <cell r="S457">
            <v>5.9500314937755887E-3</v>
          </cell>
          <cell r="T457">
            <v>-9.4030879400835501E-2</v>
          </cell>
          <cell r="U457">
            <v>1.7593349220478789E-2</v>
          </cell>
          <cell r="V457">
            <v>-0.61563244999102951</v>
          </cell>
          <cell r="W457">
            <v>1.615493497837121E-2</v>
          </cell>
          <cell r="X457">
            <v>9.8244788721940757E-2</v>
          </cell>
          <cell r="Y457">
            <v>-9.4760145692341841E-2</v>
          </cell>
          <cell r="Z457">
            <v>-0.18355763578857903</v>
          </cell>
          <cell r="AA457">
            <v>0.15101137123059677</v>
          </cell>
          <cell r="AB457">
            <v>-0.10823324456508859</v>
          </cell>
          <cell r="AC457">
            <v>-7.3959822803373793E-2</v>
          </cell>
          <cell r="AD457">
            <v>-3.2675965065425895E-2</v>
          </cell>
          <cell r="AE457">
            <v>-4.6115951134573077E-2</v>
          </cell>
          <cell r="AF457">
            <v>-0.17907198725848611</v>
          </cell>
          <cell r="AG457">
            <v>-9.6343319999102103E-2</v>
          </cell>
          <cell r="AH457">
            <v>-5.549231508630266E-2</v>
          </cell>
          <cell r="AI457">
            <v>0.12480721963200571</v>
          </cell>
          <cell r="AJ457">
            <v>4.8423864520510278E-2</v>
          </cell>
          <cell r="AK457">
            <v>-6.5457178290554377E-2</v>
          </cell>
          <cell r="AL457">
            <v>-6.9194417350399592E-2</v>
          </cell>
          <cell r="AM457">
            <v>-0.11104025201463118</v>
          </cell>
          <cell r="AN457">
            <v>2.1629164093114078E-2</v>
          </cell>
          <cell r="AO457">
            <v>-4.0792604326389509E-2</v>
          </cell>
          <cell r="AP457">
            <v>1.3581811957507003E-2</v>
          </cell>
          <cell r="AQ457" t="e">
            <v>#DIV/0!</v>
          </cell>
          <cell r="AR457" t="e">
            <v>#DIV/0!</v>
          </cell>
          <cell r="AS457" t="e">
            <v>#DIV/0!</v>
          </cell>
          <cell r="AT457" t="e">
            <v>#DIV/0!</v>
          </cell>
          <cell r="AU457" t="e">
            <v>#DIV/0!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G458">
            <v>448</v>
          </cell>
          <cell r="H458" t="str">
            <v>YTD Actual</v>
          </cell>
          <cell r="I458">
            <v>0</v>
          </cell>
          <cell r="J458">
            <v>0</v>
          </cell>
          <cell r="K458">
            <v>0</v>
          </cell>
          <cell r="L458">
            <v>78.748143113743382</v>
          </cell>
          <cell r="M458">
            <v>4.0435918785627365</v>
          </cell>
          <cell r="N458">
            <v>47.432476702746975</v>
          </cell>
          <cell r="O458">
            <v>46.208163857469287</v>
          </cell>
          <cell r="P458">
            <v>46.672410695392131</v>
          </cell>
          <cell r="Q458">
            <v>46.649039226574956</v>
          </cell>
          <cell r="R458">
            <v>44.864257342072158</v>
          </cell>
          <cell r="S458">
            <v>43.99441998676658</v>
          </cell>
          <cell r="T458">
            <v>43.871335109738368</v>
          </cell>
          <cell r="U458">
            <v>43.26609677998281</v>
          </cell>
          <cell r="V458">
            <v>42.968985751643153</v>
          </cell>
          <cell r="W458">
            <v>46.079335720230937</v>
          </cell>
          <cell r="X458">
            <v>96.614959911661629</v>
          </cell>
          <cell r="Y458">
            <v>50.598766913873483</v>
          </cell>
          <cell r="Z458">
            <v>52.339593956631482</v>
          </cell>
          <cell r="AA458">
            <v>52.538486682499553</v>
          </cell>
          <cell r="AB458">
            <v>49.324397816753702</v>
          </cell>
          <cell r="AC458">
            <v>49.787785775783433</v>
          </cell>
          <cell r="AD458">
            <v>48.606247320755124</v>
          </cell>
          <cell r="AE458">
            <v>46.778226974234123</v>
          </cell>
          <cell r="AF458">
            <v>46.830344144878588</v>
          </cell>
          <cell r="AG458">
            <v>46.032429573595991</v>
          </cell>
          <cell r="AH458">
            <v>45.564854311312835</v>
          </cell>
          <cell r="AI458">
            <v>49.700986584214981</v>
          </cell>
          <cell r="AJ458">
            <v>113.33819856002351</v>
          </cell>
          <cell r="AK458">
            <v>53.618626707132016</v>
          </cell>
          <cell r="AL458">
            <v>50.106735006497608</v>
          </cell>
          <cell r="AM458">
            <v>51.870080343777687</v>
          </cell>
          <cell r="AN458">
            <v>48.874798583912586</v>
          </cell>
          <cell r="AO458">
            <v>49.258478574069585</v>
          </cell>
          <cell r="AP458">
            <v>47.829625047608502</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G459">
            <v>449</v>
          </cell>
          <cell r="H459" t="str">
            <v>YTD Target (Budget)</v>
          </cell>
          <cell r="I459">
            <v>0</v>
          </cell>
          <cell r="J459">
            <v>0</v>
          </cell>
          <cell r="K459">
            <v>0</v>
          </cell>
          <cell r="L459">
            <v>89.283654546337203</v>
          </cell>
          <cell r="M459">
            <v>53.536680970985714</v>
          </cell>
          <cell r="N459">
            <v>53.584013989419397</v>
          </cell>
          <cell r="O459">
            <v>51.528614434421257</v>
          </cell>
          <cell r="P459">
            <v>49.067722577785943</v>
          </cell>
          <cell r="Q459">
            <v>48.682816493412446</v>
          </cell>
          <cell r="R459">
            <v>47.417437578773075</v>
          </cell>
          <cell r="S459">
            <v>46.165395346182116</v>
          </cell>
          <cell r="T459">
            <v>46.310760490812477</v>
          </cell>
          <cell r="U459">
            <v>45.372886444535766</v>
          </cell>
          <cell r="V459">
            <v>47.548343504354726</v>
          </cell>
          <cell r="W459">
            <v>50.524293402672285</v>
          </cell>
          <cell r="X459">
            <v>87.972154208075281</v>
          </cell>
          <cell r="Y459">
            <v>51.830170826513914</v>
          </cell>
          <cell r="Z459">
            <v>58.250141975263112</v>
          </cell>
          <cell r="AA459">
            <v>52.694298477451987</v>
          </cell>
          <cell r="AB459">
            <v>50.520761349337917</v>
          </cell>
          <cell r="AC459">
            <v>51.532080695688343</v>
          </cell>
          <cell r="AD459">
            <v>50.303019197544302</v>
          </cell>
          <cell r="AE459">
            <v>49.031502183698557</v>
          </cell>
          <cell r="AF459">
            <v>50.021988865060166</v>
          </cell>
          <cell r="AG459">
            <v>49.328034408634707</v>
          </cell>
          <cell r="AH459">
            <v>48.777577318262892</v>
          </cell>
          <cell r="AI459">
            <v>52.300179656171835</v>
          </cell>
          <cell r="AJ459">
            <v>108.10341351001009</v>
          </cell>
          <cell r="AK459">
            <v>52.658485024937342</v>
          </cell>
          <cell r="AL459">
            <v>51.014136053132312</v>
          </cell>
          <cell r="AM459">
            <v>54.585422042019907</v>
          </cell>
          <cell r="AN459">
            <v>50.785266562789687</v>
          </cell>
          <cell r="AO459">
            <v>51.202073058002959</v>
          </cell>
          <cell r="AP459">
            <v>49.383092634591129</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G460">
            <v>450</v>
          </cell>
          <cell r="H460" t="str">
            <v>YTD Target (Budget) Var</v>
          </cell>
          <cell r="I460">
            <v>0</v>
          </cell>
          <cell r="J460">
            <v>0</v>
          </cell>
          <cell r="K460">
            <v>0</v>
          </cell>
          <cell r="L460">
            <v>-10.535511432593822</v>
          </cell>
          <cell r="M460">
            <v>-49.493089092422977</v>
          </cell>
          <cell r="N460">
            <v>-6.1515372866724221</v>
          </cell>
          <cell r="O460">
            <v>-5.3204505769519699</v>
          </cell>
          <cell r="P460">
            <v>-2.3953118823938127</v>
          </cell>
          <cell r="Q460">
            <v>-2.0337772668374896</v>
          </cell>
          <cell r="R460">
            <v>-2.5531802367009178</v>
          </cell>
          <cell r="S460">
            <v>-2.1709753594155359</v>
          </cell>
          <cell r="T460">
            <v>-2.4394253810741091</v>
          </cell>
          <cell r="U460">
            <v>-2.1067896645529558</v>
          </cell>
          <cell r="V460">
            <v>-4.579357752711573</v>
          </cell>
          <cell r="W460">
            <v>-4.4449576824413484</v>
          </cell>
          <cell r="X460">
            <v>8.6428057035863475</v>
          </cell>
          <cell r="Y460">
            <v>-1.231403912640431</v>
          </cell>
          <cell r="Z460">
            <v>-5.9105480186316299</v>
          </cell>
          <cell r="AA460">
            <v>-0.15581179495243447</v>
          </cell>
          <cell r="AB460">
            <v>-1.1963635325842148</v>
          </cell>
          <cell r="AC460">
            <v>-1.7442949199049096</v>
          </cell>
          <cell r="AD460">
            <v>-1.6967718767891782</v>
          </cell>
          <cell r="AE460">
            <v>-2.2532752094644337</v>
          </cell>
          <cell r="AF460">
            <v>-3.1916447201815785</v>
          </cell>
          <cell r="AG460">
            <v>-3.2956048350387164</v>
          </cell>
          <cell r="AH460">
            <v>-3.212723006950057</v>
          </cell>
          <cell r="AI460">
            <v>-2.5991930719568543</v>
          </cell>
          <cell r="AJ460">
            <v>5.2347850500134285</v>
          </cell>
          <cell r="AK460">
            <v>0.96014168219467422</v>
          </cell>
          <cell r="AL460">
            <v>-0.90740104663470333</v>
          </cell>
          <cell r="AM460">
            <v>-2.71534169824222</v>
          </cell>
          <cell r="AN460">
            <v>-1.9104679788771008</v>
          </cell>
          <cell r="AO460">
            <v>-1.9435944839333743</v>
          </cell>
          <cell r="AP460">
            <v>-1.5534675869826273</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G461">
            <v>451</v>
          </cell>
          <cell r="H461" t="str">
            <v>YTD %Var</v>
          </cell>
          <cell r="I461">
            <v>0</v>
          </cell>
          <cell r="J461">
            <v>0</v>
          </cell>
          <cell r="K461">
            <v>0</v>
          </cell>
          <cell r="L461">
            <v>-0.11800045020699741</v>
          </cell>
          <cell r="M461">
            <v>-0.92447062826412107</v>
          </cell>
          <cell r="N461">
            <v>-0.11480172590069668</v>
          </cell>
          <cell r="O461">
            <v>-0.10325235086076551</v>
          </cell>
          <cell r="P461">
            <v>-4.8816447076722974E-2</v>
          </cell>
          <cell r="Q461">
            <v>-4.1776080624108751E-2</v>
          </cell>
          <cell r="R461">
            <v>-5.3844753471956407E-2</v>
          </cell>
          <cell r="S461">
            <v>-4.7026032012418922E-2</v>
          </cell>
          <cell r="T461">
            <v>-5.2675131118999075E-2</v>
          </cell>
          <cell r="U461">
            <v>-4.6432789043040379E-2</v>
          </cell>
          <cell r="V461">
            <v>-9.6309511861168651E-2</v>
          </cell>
          <cell r="W461">
            <v>-8.797664218706816E-2</v>
          </cell>
          <cell r="X461">
            <v>9.8244788721940757E-2</v>
          </cell>
          <cell r="Y461">
            <v>-2.3758438241737415E-2</v>
          </cell>
          <cell r="Z461">
            <v>-0.10146838819966554</v>
          </cell>
          <cell r="AA461">
            <v>-2.9569004513667961E-3</v>
          </cell>
          <cell r="AB461">
            <v>-2.3680631499427975E-2</v>
          </cell>
          <cell r="AC461">
            <v>-3.3848719018458991E-2</v>
          </cell>
          <cell r="AD461">
            <v>-3.3731014636036227E-2</v>
          </cell>
          <cell r="AE461">
            <v>-4.5955663381930349E-2</v>
          </cell>
          <cell r="AF461">
            <v>-6.3804834485717721E-2</v>
          </cell>
          <cell r="AG461">
            <v>-6.6809976812330307E-2</v>
          </cell>
          <cell r="AH461">
            <v>-6.5864751461265705E-2</v>
          </cell>
          <cell r="AI461">
            <v>-4.9697593565534319E-2</v>
          </cell>
          <cell r="AJ461">
            <v>4.8423864520510278E-2</v>
          </cell>
          <cell r="AK461">
            <v>1.8233370780416154E-2</v>
          </cell>
          <cell r="AL461">
            <v>-1.7787247160073939E-2</v>
          </cell>
          <cell r="AM461">
            <v>-4.9744814579833194E-2</v>
          </cell>
          <cell r="AN461">
            <v>-3.7618547822625761E-2</v>
          </cell>
          <cell r="AO461">
            <v>-3.7959292814797228E-2</v>
          </cell>
          <cell r="AP461">
            <v>-3.1457478746369109E-2</v>
          </cell>
          <cell r="AQ461" t="e">
            <v>#DIV/0!</v>
          </cell>
          <cell r="AR461" t="e">
            <v>#DIV/0!</v>
          </cell>
          <cell r="AS461" t="e">
            <v>#DIV/0!</v>
          </cell>
          <cell r="AT461" t="e">
            <v>#DIV/0!</v>
          </cell>
          <cell r="AU461" t="e">
            <v>#DIV/0!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G462">
            <v>452</v>
          </cell>
          <cell r="H462" t="str">
            <v>4 Month Actual</v>
          </cell>
          <cell r="I462">
            <v>0</v>
          </cell>
          <cell r="J462">
            <v>0</v>
          </cell>
          <cell r="K462">
            <v>0</v>
          </cell>
          <cell r="L462">
            <v>78.748143113743382</v>
          </cell>
          <cell r="M462">
            <v>46.31605713187728</v>
          </cell>
          <cell r="N462">
            <v>47.432476702746975</v>
          </cell>
          <cell r="O462">
            <v>41.026736166883424</v>
          </cell>
          <cell r="P462">
            <v>39.486735634984164</v>
          </cell>
          <cell r="Q462">
            <v>42.411726064107469</v>
          </cell>
          <cell r="R462">
            <v>38.945212336225367</v>
          </cell>
          <cell r="S462">
            <v>42.100930686048571</v>
          </cell>
          <cell r="T462">
            <v>40.692463583980533</v>
          </cell>
          <cell r="U462">
            <v>38.561346063518442</v>
          </cell>
          <cell r="V462">
            <v>39.859364273584568</v>
          </cell>
          <cell r="W462">
            <v>50.749559903901208</v>
          </cell>
          <cell r="X462">
            <v>59.856549361406088</v>
          </cell>
          <cell r="Y462">
            <v>58.421723511916255</v>
          </cell>
          <cell r="Z462">
            <v>63.448263445818753</v>
          </cell>
          <cell r="AA462">
            <v>52.897540795219491</v>
          </cell>
          <cell r="AB462">
            <v>45.403432666918143</v>
          </cell>
          <cell r="AC462">
            <v>49.512632454305411</v>
          </cell>
          <cell r="AD462">
            <v>46.38542455463196</v>
          </cell>
          <cell r="AE462">
            <v>42.836838288614935</v>
          </cell>
          <cell r="AF462">
            <v>45.029983195649393</v>
          </cell>
          <cell r="AG462">
            <v>41.81167275318429</v>
          </cell>
          <cell r="AH462">
            <v>41.577206733766815</v>
          </cell>
          <cell r="AI462">
            <v>56.275020919172555</v>
          </cell>
          <cell r="AJ462">
            <v>67.202894764343185</v>
          </cell>
          <cell r="AK462">
            <v>64.931055309961963</v>
          </cell>
          <cell r="AL462">
            <v>66.137670713201814</v>
          </cell>
          <cell r="AM462">
            <v>52.331069315601354</v>
          </cell>
          <cell r="AN462">
            <v>43.651709765951281</v>
          </cell>
          <cell r="AO462">
            <v>47.789066362102176</v>
          </cell>
          <cell r="AP462">
            <v>46.480362550760546</v>
          </cell>
          <cell r="AQ462">
            <v>32.653281279855477</v>
          </cell>
          <cell r="AR462">
            <v>22.975412998491809</v>
          </cell>
          <cell r="AS462">
            <v>9.9730013280212475</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G463">
            <v>453</v>
          </cell>
          <cell r="H463" t="str">
            <v>4 Month Target (Budget)</v>
          </cell>
          <cell r="I463">
            <v>0</v>
          </cell>
          <cell r="J463">
            <v>0</v>
          </cell>
          <cell r="K463">
            <v>0</v>
          </cell>
          <cell r="L463">
            <v>89.283654546337203</v>
          </cell>
          <cell r="M463">
            <v>53.347607762761804</v>
          </cell>
          <cell r="N463">
            <v>53.764577845658927</v>
          </cell>
          <cell r="O463">
            <v>51.759213873790785</v>
          </cell>
          <cell r="P463">
            <v>45.800995371176001</v>
          </cell>
          <cell r="Q463">
            <v>47.375143563150388</v>
          </cell>
          <cell r="R463">
            <v>43.933198628459465</v>
          </cell>
          <cell r="S463">
            <v>41.698037215519363</v>
          </cell>
          <cell r="T463">
            <v>43.196692541641617</v>
          </cell>
          <cell r="U463">
            <v>40.843004444444446</v>
          </cell>
          <cell r="V463">
            <v>47.800391883369095</v>
          </cell>
          <cell r="W463">
            <v>62.47976821369619</v>
          </cell>
          <cell r="X463">
            <v>74.182747349468073</v>
          </cell>
          <cell r="Y463">
            <v>74.628414100137135</v>
          </cell>
          <cell r="Z463">
            <v>67.930146946393961</v>
          </cell>
          <cell r="AA463">
            <v>54.730926691748806</v>
          </cell>
          <cell r="AB463">
            <v>48.834277348855856</v>
          </cell>
          <cell r="AC463">
            <v>53.052257794663554</v>
          </cell>
          <cell r="AD463">
            <v>47.200361598423399</v>
          </cell>
          <cell r="AE463">
            <v>45.892032229980636</v>
          </cell>
          <cell r="AF463">
            <v>49.461904548308965</v>
          </cell>
          <cell r="AG463">
            <v>46.255581024516644</v>
          </cell>
          <cell r="AH463">
            <v>46.269741968217154</v>
          </cell>
          <cell r="AI463">
            <v>59.632265679489244</v>
          </cell>
          <cell r="AJ463">
            <v>67.037597347926749</v>
          </cell>
          <cell r="AK463">
            <v>64.108970802637188</v>
          </cell>
          <cell r="AL463">
            <v>65.648978455150768</v>
          </cell>
          <cell r="AM463">
            <v>55.760121022238607</v>
          </cell>
          <cell r="AN463">
            <v>46.640366862074302</v>
          </cell>
          <cell r="AO463">
            <v>50.693741319444442</v>
          </cell>
          <cell r="AP463">
            <v>48.403413818169078</v>
          </cell>
          <cell r="AQ463">
            <v>32.645193786119506</v>
          </cell>
          <cell r="AR463">
            <v>23.080147839035568</v>
          </cell>
          <cell r="AS463">
            <v>9.8393649238443039</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G464">
            <v>454</v>
          </cell>
          <cell r="H464" t="str">
            <v>4 Month Target (Budget) Var</v>
          </cell>
          <cell r="I464">
            <v>0</v>
          </cell>
          <cell r="J464">
            <v>0</v>
          </cell>
          <cell r="K464">
            <v>0</v>
          </cell>
          <cell r="L464">
            <v>-10.535511432593822</v>
          </cell>
          <cell r="M464">
            <v>-7.0315506308845244</v>
          </cell>
          <cell r="N464">
            <v>-6.3321011429119523</v>
          </cell>
          <cell r="O464">
            <v>-10.73247770690736</v>
          </cell>
          <cell r="P464">
            <v>-6.3142597361918362</v>
          </cell>
          <cell r="Q464">
            <v>-4.9634174990429187</v>
          </cell>
          <cell r="R464">
            <v>-4.9879862922340976</v>
          </cell>
          <cell r="S464">
            <v>0.40289347052920732</v>
          </cell>
          <cell r="T464">
            <v>-2.5042289576610841</v>
          </cell>
          <cell r="U464">
            <v>-2.2816583809260038</v>
          </cell>
          <cell r="V464">
            <v>-7.9410276097845269</v>
          </cell>
          <cell r="W464">
            <v>-11.730208309794982</v>
          </cell>
          <cell r="X464">
            <v>-14.326197988061985</v>
          </cell>
          <cell r="Y464">
            <v>-16.20669058822088</v>
          </cell>
          <cell r="Z464">
            <v>-4.4818835005752078</v>
          </cell>
          <cell r="AA464">
            <v>-1.8333858965293146</v>
          </cell>
          <cell r="AB464">
            <v>-3.4308446819377139</v>
          </cell>
          <cell r="AC464">
            <v>-3.5396253403581426</v>
          </cell>
          <cell r="AD464">
            <v>-0.8149370437914385</v>
          </cell>
          <cell r="AE464">
            <v>-3.055193941365701</v>
          </cell>
          <cell r="AF464">
            <v>-4.4319213526595718</v>
          </cell>
          <cell r="AG464">
            <v>-4.4439082713323543</v>
          </cell>
          <cell r="AH464">
            <v>-4.6925352344503395</v>
          </cell>
          <cell r="AI464">
            <v>-3.3572447603166893</v>
          </cell>
          <cell r="AJ464">
            <v>0.16529741641643625</v>
          </cell>
          <cell r="AK464">
            <v>0.82208450732477445</v>
          </cell>
          <cell r="AL464">
            <v>0.48869225805104577</v>
          </cell>
          <cell r="AM464">
            <v>-3.429051706637253</v>
          </cell>
          <cell r="AN464">
            <v>-2.9886570961230206</v>
          </cell>
          <cell r="AO464">
            <v>-2.9046749573422659</v>
          </cell>
          <cell r="AP464">
            <v>-1.9230512674085318</v>
          </cell>
          <cell r="AQ464">
            <v>8.087493735970952E-3</v>
          </cell>
          <cell r="AR464">
            <v>-0.10473484054375959</v>
          </cell>
          <cell r="AS464">
            <v>0.13363640417694356</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G465">
            <v>455</v>
          </cell>
          <cell r="H465" t="str">
            <v>4 Month Target (Budget) % Var</v>
          </cell>
          <cell r="I465">
            <v>0</v>
          </cell>
          <cell r="J465">
            <v>0</v>
          </cell>
          <cell r="K465">
            <v>0</v>
          </cell>
          <cell r="L465">
            <v>-0.11800045020699741</v>
          </cell>
          <cell r="M465">
            <v>-0.1318062969600064</v>
          </cell>
          <cell r="N465">
            <v>-0.11777459056945279</v>
          </cell>
          <cell r="O465">
            <v>-0.20735395504802953</v>
          </cell>
          <cell r="P465">
            <v>-0.13786293693009122</v>
          </cell>
          <cell r="Q465">
            <v>-0.10476838961821307</v>
          </cell>
          <cell r="R465">
            <v>-0.11353569619223974</v>
          </cell>
          <cell r="S465">
            <v>9.6621687118466238E-3</v>
          </cell>
          <cell r="T465">
            <v>-5.7972701387889986E-2</v>
          </cell>
          <cell r="U465">
            <v>-5.5864117049213798E-2</v>
          </cell>
          <cell r="V465">
            <v>-0.16612892273269</v>
          </cell>
          <cell r="W465">
            <v>-0.18774410733527022</v>
          </cell>
          <cell r="X465">
            <v>-0.19312034805845879</v>
          </cell>
          <cell r="Y465">
            <v>-0.21716514793513614</v>
          </cell>
          <cell r="Z465">
            <v>-6.5977827254105864E-2</v>
          </cell>
          <cell r="AA465">
            <v>-3.3498170181827276E-2</v>
          </cell>
          <cell r="AB465">
            <v>-7.0254846968020007E-2</v>
          </cell>
          <cell r="AC465">
            <v>-6.6719598514696735E-2</v>
          </cell>
          <cell r="AD465">
            <v>-1.7265483063982699E-2</v>
          </cell>
          <cell r="AE465">
            <v>-6.6573515987591952E-2</v>
          </cell>
          <cell r="AF465">
            <v>-8.9602723411731075E-2</v>
          </cell>
          <cell r="AG465">
            <v>-9.6072909969003931E-2</v>
          </cell>
          <cell r="AH465">
            <v>-0.10141693112690488</v>
          </cell>
          <cell r="AI465">
            <v>-5.6299131385702604E-2</v>
          </cell>
          <cell r="AJ465">
            <v>2.4657419560927679E-3</v>
          </cell>
          <cell r="AK465">
            <v>1.2823236702014832E-2</v>
          </cell>
          <cell r="AL465">
            <v>7.4440192300159599E-3</v>
          </cell>
          <cell r="AM465">
            <v>-6.1496489673500826E-2</v>
          </cell>
          <cell r="AN465">
            <v>-6.407876475245422E-2</v>
          </cell>
          <cell r="AO465">
            <v>-5.7298492510911375E-2</v>
          </cell>
          <cell r="AP465">
            <v>-3.9729661933197789E-2</v>
          </cell>
          <cell r="AQ465">
            <v>2.4773918601793366E-4</v>
          </cell>
          <cell r="AR465">
            <v>-4.5378756355546838E-3</v>
          </cell>
          <cell r="AS465">
            <v>1.3581811957507003E-2</v>
          </cell>
          <cell r="AT465" t="e">
            <v>#DIV/0!</v>
          </cell>
          <cell r="AU465" t="e">
            <v>#DIV/0!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G466">
            <v>456</v>
          </cell>
          <cell r="H466" t="str">
            <v>Actual</v>
          </cell>
          <cell r="I466">
            <v>0</v>
          </cell>
          <cell r="J466">
            <v>0</v>
          </cell>
          <cell r="K466">
            <v>0</v>
          </cell>
          <cell r="L466">
            <v>100.57221224331278</v>
          </cell>
          <cell r="M466">
            <v>42.764173598301603</v>
          </cell>
          <cell r="N466">
            <v>102.64119653360248</v>
          </cell>
          <cell r="O466">
            <v>52.691139108342327</v>
          </cell>
          <cell r="P466">
            <v>48.513590644903076</v>
          </cell>
          <cell r="Q466">
            <v>85.310044200048722</v>
          </cell>
          <cell r="R466">
            <v>40.375709072515086</v>
          </cell>
          <cell r="S466">
            <v>38.158091556165772</v>
          </cell>
          <cell r="T466">
            <v>80.055388951114651</v>
          </cell>
          <cell r="U466">
            <v>43.292932760053475</v>
          </cell>
          <cell r="V466">
            <v>40.530476568992306</v>
          </cell>
          <cell r="W466">
            <v>211.77843391425415</v>
          </cell>
          <cell r="X466">
            <v>114.86278745979163</v>
          </cell>
          <cell r="Y466">
            <v>41.399094681252357</v>
          </cell>
          <cell r="Z466">
            <v>113.98086485374301</v>
          </cell>
          <cell r="AA466">
            <v>56.935187407839237</v>
          </cell>
          <cell r="AB466">
            <v>42.462655601659748</v>
          </cell>
          <cell r="AC466">
            <v>87.673262233805431</v>
          </cell>
          <cell r="AD466">
            <v>41.117698405629284</v>
          </cell>
          <cell r="AE466">
            <v>37.770143404293222</v>
          </cell>
          <cell r="AF466">
            <v>78.321938184733227</v>
          </cell>
          <cell r="AG466">
            <v>41.457450788278258</v>
          </cell>
          <cell r="AH466">
            <v>40.097051750244944</v>
          </cell>
          <cell r="AI466">
            <v>241.63662634079444</v>
          </cell>
          <cell r="AJ466">
            <v>110.0077876279571</v>
          </cell>
          <cell r="AK466">
            <v>43.129042156043845</v>
          </cell>
          <cell r="AL466">
            <v>73.866832586127543</v>
          </cell>
          <cell r="AM466">
            <v>67.651330480882322</v>
          </cell>
          <cell r="AN466">
            <v>44.59475308115848</v>
          </cell>
          <cell r="AO466">
            <v>71.167533198097615</v>
          </cell>
          <cell r="AP466">
            <v>43.564993359893755</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G467">
            <v>457</v>
          </cell>
          <cell r="H467" t="str">
            <v>Target (Budget)</v>
          </cell>
          <cell r="I467">
            <v>0</v>
          </cell>
          <cell r="J467">
            <v>0</v>
          </cell>
          <cell r="K467">
            <v>0</v>
          </cell>
          <cell r="L467">
            <v>99.071799601922422</v>
          </cell>
          <cell r="M467">
            <v>45.670640030626807</v>
          </cell>
          <cell r="N467">
            <v>87.220582605366658</v>
          </cell>
          <cell r="O467">
            <v>53.700570772282738</v>
          </cell>
          <cell r="P467">
            <v>43.209341175651687</v>
          </cell>
          <cell r="Q467">
            <v>78.500643858977483</v>
          </cell>
          <cell r="R467">
            <v>47.772995555555553</v>
          </cell>
          <cell r="S467">
            <v>39.889013333333331</v>
          </cell>
          <cell r="T467">
            <v>73.562311111111114</v>
          </cell>
          <cell r="U467">
            <v>42.445155555555559</v>
          </cell>
          <cell r="V467">
            <v>105.19947766416043</v>
          </cell>
          <cell r="W467">
            <v>237.90308541995518</v>
          </cell>
          <cell r="X467">
            <v>120.93283402947813</v>
          </cell>
          <cell r="Y467">
            <v>40.319472280799594</v>
          </cell>
          <cell r="Z467">
            <v>110.86350406943306</v>
          </cell>
          <cell r="AA467">
            <v>48.502744906673172</v>
          </cell>
          <cell r="AB467">
            <v>45.715383676954986</v>
          </cell>
          <cell r="AC467">
            <v>82.507171613308003</v>
          </cell>
          <cell r="AD467">
            <v>41.629459836555711</v>
          </cell>
          <cell r="AE467">
            <v>38.853298784133948</v>
          </cell>
          <cell r="AF467">
            <v>83.823545400184827</v>
          </cell>
          <cell r="AG467">
            <v>41.90720640730607</v>
          </cell>
          <cell r="AH467">
            <v>38.652037617554861</v>
          </cell>
          <cell r="AI467">
            <v>211.76777569734506</v>
          </cell>
          <cell r="AJ467">
            <v>100.57640789284171</v>
          </cell>
          <cell r="AK467">
            <v>42.613608623149787</v>
          </cell>
          <cell r="AL467">
            <v>78.081607041551337</v>
          </cell>
          <cell r="AM467">
            <v>69.858034348192334</v>
          </cell>
          <cell r="AN467">
            <v>43.719317849713768</v>
          </cell>
          <cell r="AO467">
            <v>81.286279140500596</v>
          </cell>
          <cell r="AP467">
            <v>41.082604435735284</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G468">
            <v>458</v>
          </cell>
          <cell r="H468" t="str">
            <v>Target (Budget) Variance</v>
          </cell>
          <cell r="I468">
            <v>0</v>
          </cell>
          <cell r="J468">
            <v>0</v>
          </cell>
          <cell r="K468">
            <v>0</v>
          </cell>
          <cell r="L468">
            <v>1.5004126413903549</v>
          </cell>
          <cell r="M468">
            <v>-2.9064664323252032</v>
          </cell>
          <cell r="N468">
            <v>15.420613928235824</v>
          </cell>
          <cell r="O468">
            <v>-1.0094316639404113</v>
          </cell>
          <cell r="P468">
            <v>5.3042494692513884</v>
          </cell>
          <cell r="Q468">
            <v>6.8094003410712389</v>
          </cell>
          <cell r="R468">
            <v>-7.3972864830404674</v>
          </cell>
          <cell r="S468">
            <v>-1.7309217771675591</v>
          </cell>
          <cell r="T468">
            <v>6.4930778400035365</v>
          </cell>
          <cell r="U468">
            <v>0.84777720449791616</v>
          </cell>
          <cell r="V468">
            <v>-64.669001095168113</v>
          </cell>
          <cell r="W468">
            <v>-26.124651505701024</v>
          </cell>
          <cell r="X468">
            <v>-6.0700465696864967</v>
          </cell>
          <cell r="Y468">
            <v>1.079622400452763</v>
          </cell>
          <cell r="Z468">
            <v>3.1173607843099518</v>
          </cell>
          <cell r="AA468">
            <v>8.4324425011660651</v>
          </cell>
          <cell r="AB468">
            <v>-3.2527280752952379</v>
          </cell>
          <cell r="AC468">
            <v>5.1660906204974282</v>
          </cell>
          <cell r="AD468">
            <v>-0.5117614309264269</v>
          </cell>
          <cell r="AE468">
            <v>-1.0831553798407256</v>
          </cell>
          <cell r="AF468">
            <v>-5.5016072154515996</v>
          </cell>
          <cell r="AG468">
            <v>-0.4497556190278118</v>
          </cell>
          <cell r="AH468">
            <v>1.4450141326900834</v>
          </cell>
          <cell r="AI468">
            <v>29.868850643449377</v>
          </cell>
          <cell r="AJ468">
            <v>9.4313797351153852</v>
          </cell>
          <cell r="AK468">
            <v>0.51543353289405758</v>
          </cell>
          <cell r="AL468">
            <v>-4.2147744554237931</v>
          </cell>
          <cell r="AM468">
            <v>-2.2067038673100114</v>
          </cell>
          <cell r="AN468">
            <v>0.8754352314447118</v>
          </cell>
          <cell r="AO468">
            <v>-10.118745942402981</v>
          </cell>
          <cell r="AP468">
            <v>2.4823889241584709</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G469">
            <v>459</v>
          </cell>
          <cell r="H469" t="str">
            <v>Target (Budget) %Var</v>
          </cell>
          <cell r="I469">
            <v>0</v>
          </cell>
          <cell r="J469">
            <v>0</v>
          </cell>
          <cell r="K469">
            <v>0</v>
          </cell>
          <cell r="L469">
            <v>1.5144699575652409E-2</v>
          </cell>
          <cell r="M469">
            <v>-6.3639713180636881E-2</v>
          </cell>
          <cell r="N469">
            <v>0.17680017110189536</v>
          </cell>
          <cell r="O469">
            <v>-1.8797410333325992E-2</v>
          </cell>
          <cell r="P469">
            <v>0.12275700866830884</v>
          </cell>
          <cell r="Q469">
            <v>8.674324191918717E-2</v>
          </cell>
          <cell r="R469">
            <v>-0.15484242503566917</v>
          </cell>
          <cell r="S469">
            <v>-4.3393446779519888E-2</v>
          </cell>
          <cell r="T469">
            <v>8.8266365506055974E-2</v>
          </cell>
          <cell r="U469">
            <v>1.9973473848818358E-2</v>
          </cell>
          <cell r="V469">
            <v>-0.61472739723687508</v>
          </cell>
          <cell r="W469">
            <v>-0.10981215926470579</v>
          </cell>
          <cell r="X469">
            <v>-5.0193536092992617E-2</v>
          </cell>
          <cell r="Y469">
            <v>2.6776699678355824E-2</v>
          </cell>
          <cell r="Z469">
            <v>2.8118909017683311E-2</v>
          </cell>
          <cell r="AA469">
            <v>0.1738549543410666</v>
          </cell>
          <cell r="AB469">
            <v>-7.1151717729866282E-2</v>
          </cell>
          <cell r="AC469">
            <v>6.2613837312345377E-2</v>
          </cell>
          <cell r="AD469">
            <v>-1.2293251772559353E-2</v>
          </cell>
          <cell r="AE469">
            <v>-2.7878080207774807E-2</v>
          </cell>
          <cell r="AF469">
            <v>-6.5633196367275923E-2</v>
          </cell>
          <cell r="AG469">
            <v>-1.0732178486356984E-2</v>
          </cell>
          <cell r="AH469">
            <v>3.7385199377788857E-2</v>
          </cell>
          <cell r="AI469">
            <v>0.1410453056188182</v>
          </cell>
          <cell r="AJ469">
            <v>9.3773280759479591E-2</v>
          </cell>
          <cell r="AK469">
            <v>1.2095514779146138E-2</v>
          </cell>
          <cell r="AL469">
            <v>-5.3979094630837832E-2</v>
          </cell>
          <cell r="AM469">
            <v>-3.1588404796951075E-2</v>
          </cell>
          <cell r="AN469">
            <v>2.0023991098261001E-2</v>
          </cell>
          <cell r="AO469">
            <v>-0.12448282846005375</v>
          </cell>
          <cell r="AP469">
            <v>6.0424331861472495E-2</v>
          </cell>
          <cell r="AQ469" t="e">
            <v>#DIV/0!</v>
          </cell>
          <cell r="AR469" t="e">
            <v>#DIV/0!</v>
          </cell>
          <cell r="AS469" t="e">
            <v>#DIV/0!</v>
          </cell>
          <cell r="AT469" t="e">
            <v>#DIV/0!</v>
          </cell>
          <cell r="AU469" t="e">
            <v>#DIV/0!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G470">
            <v>460</v>
          </cell>
          <cell r="H470" t="str">
            <v>YTD Actual</v>
          </cell>
          <cell r="I470">
            <v>0</v>
          </cell>
          <cell r="J470">
            <v>0</v>
          </cell>
          <cell r="K470">
            <v>0</v>
          </cell>
          <cell r="L470">
            <v>100.57221224331278</v>
          </cell>
          <cell r="M470">
            <v>58.017972202651634</v>
          </cell>
          <cell r="N470">
            <v>76.938501154717372</v>
          </cell>
          <cell r="O470">
            <v>69.718705472105782</v>
          </cell>
          <cell r="P470">
            <v>64.855240095343419</v>
          </cell>
          <cell r="Q470">
            <v>68.671057289180297</v>
          </cell>
          <cell r="R470">
            <v>64.359650740607179</v>
          </cell>
          <cell r="S470">
            <v>60.895166934599665</v>
          </cell>
          <cell r="T470">
            <v>63.13275146574513</v>
          </cell>
          <cell r="U470">
            <v>61.058086880956651</v>
          </cell>
          <cell r="V470">
            <v>59.114718855342666</v>
          </cell>
          <cell r="W470">
            <v>64.366055739784116</v>
          </cell>
          <cell r="X470">
            <v>114.86278745979163</v>
          </cell>
          <cell r="Y470">
            <v>59.631009083902917</v>
          </cell>
          <cell r="Z470">
            <v>82.688571574054535</v>
          </cell>
          <cell r="AA470">
            <v>75.017339564340247</v>
          </cell>
          <cell r="AB470">
            <v>67.545764352640717</v>
          </cell>
          <cell r="AC470">
            <v>71.302900726221765</v>
          </cell>
          <cell r="AD470">
            <v>66.705597790403019</v>
          </cell>
          <cell r="AE470">
            <v>62.88111624665359</v>
          </cell>
          <cell r="AF470">
            <v>64.683720707755526</v>
          </cell>
          <cell r="AG470">
            <v>62.255680389735915</v>
          </cell>
          <cell r="AH470">
            <v>60.158485552524475</v>
          </cell>
          <cell r="AI470">
            <v>66.197691722178661</v>
          </cell>
          <cell r="AJ470">
            <v>110.0077876279571</v>
          </cell>
          <cell r="AK470">
            <v>60.225733434496711</v>
          </cell>
          <cell r="AL470">
            <v>66.03531213927387</v>
          </cell>
          <cell r="AM470">
            <v>66.517983157337355</v>
          </cell>
          <cell r="AN470">
            <v>61.475886916873471</v>
          </cell>
          <cell r="AO470">
            <v>63.288077084900486</v>
          </cell>
          <cell r="AP470">
            <v>60.279324810173769</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G471">
            <v>461</v>
          </cell>
          <cell r="H471" t="str">
            <v>YTD Target (Budget)</v>
          </cell>
          <cell r="I471">
            <v>0</v>
          </cell>
          <cell r="J471">
            <v>0</v>
          </cell>
          <cell r="K471">
            <v>0</v>
          </cell>
          <cell r="L471">
            <v>99.071799601922422</v>
          </cell>
          <cell r="M471">
            <v>60.623775059245503</v>
          </cell>
          <cell r="N471">
            <v>71.829079693944564</v>
          </cell>
          <cell r="O471">
            <v>66.703580884676967</v>
          </cell>
          <cell r="P471">
            <v>62.784702730543032</v>
          </cell>
          <cell r="Q471">
            <v>65.71762646584115</v>
          </cell>
          <cell r="R471">
            <v>62.930168955376338</v>
          </cell>
          <cell r="S471">
            <v>59.847448677422349</v>
          </cell>
          <cell r="T471">
            <v>61.465856477839388</v>
          </cell>
          <cell r="U471">
            <v>59.458244906920058</v>
          </cell>
          <cell r="V471">
            <v>61.144065098729762</v>
          </cell>
          <cell r="W471">
            <v>67.427059866761027</v>
          </cell>
          <cell r="X471">
            <v>120.93283402947813</v>
          </cell>
          <cell r="Y471">
            <v>55.483121931260229</v>
          </cell>
          <cell r="Z471">
            <v>78.919520307994134</v>
          </cell>
          <cell r="AA471">
            <v>69.875003886695069</v>
          </cell>
          <cell r="AB471">
            <v>64.337626076015098</v>
          </cell>
          <cell r="AC471">
            <v>67.725565766726021</v>
          </cell>
          <cell r="AD471">
            <v>63.783318775126681</v>
          </cell>
          <cell r="AE471">
            <v>60.492671574606909</v>
          </cell>
          <cell r="AF471">
            <v>63.213148525729743</v>
          </cell>
          <cell r="AG471">
            <v>60.988222649449732</v>
          </cell>
          <cell r="AH471">
            <v>58.876258226121756</v>
          </cell>
          <cell r="AI471">
            <v>64.144480949166905</v>
          </cell>
          <cell r="AJ471">
            <v>100.57640789284171</v>
          </cell>
          <cell r="AK471">
            <v>60.867642218790351</v>
          </cell>
          <cell r="AL471">
            <v>68.177878061049668</v>
          </cell>
          <cell r="AM471">
            <v>68.678210877667198</v>
          </cell>
          <cell r="AN471">
            <v>62.951168616003628</v>
          </cell>
          <cell r="AO471">
            <v>66.263421224442311</v>
          </cell>
          <cell r="AP471">
            <v>62.396396494981303</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G472">
            <v>462</v>
          </cell>
          <cell r="H472" t="str">
            <v>YTD Target (Budget) Var</v>
          </cell>
          <cell r="I472">
            <v>0</v>
          </cell>
          <cell r="J472">
            <v>0</v>
          </cell>
          <cell r="K472">
            <v>0</v>
          </cell>
          <cell r="L472">
            <v>1.5004126413903549</v>
          </cell>
          <cell r="M472">
            <v>-2.6058028565938685</v>
          </cell>
          <cell r="N472">
            <v>5.1094214607728077</v>
          </cell>
          <cell r="O472">
            <v>3.0151245874288151</v>
          </cell>
          <cell r="P472">
            <v>2.0705373648003871</v>
          </cell>
          <cell r="Q472">
            <v>2.9534308233391471</v>
          </cell>
          <cell r="R472">
            <v>1.4294817852308412</v>
          </cell>
          <cell r="S472">
            <v>1.0477182571773156</v>
          </cell>
          <cell r="T472">
            <v>1.6668949879057422</v>
          </cell>
          <cell r="U472">
            <v>1.5998419740365932</v>
          </cell>
          <cell r="V472">
            <v>-2.0293462433870957</v>
          </cell>
          <cell r="W472">
            <v>-3.0610041269769113</v>
          </cell>
          <cell r="X472">
            <v>-6.0700465696864967</v>
          </cell>
          <cell r="Y472">
            <v>4.1478871526426886</v>
          </cell>
          <cell r="Z472">
            <v>3.7690512660604014</v>
          </cell>
          <cell r="AA472">
            <v>5.1423356776451783</v>
          </cell>
          <cell r="AB472">
            <v>3.2081382766256183</v>
          </cell>
          <cell r="AC472">
            <v>3.5773349594957438</v>
          </cell>
          <cell r="AD472">
            <v>2.922279015276338</v>
          </cell>
          <cell r="AE472">
            <v>2.3884446720466812</v>
          </cell>
          <cell r="AF472">
            <v>1.4705721820257835</v>
          </cell>
          <cell r="AG472">
            <v>1.2674577402861829</v>
          </cell>
          <cell r="AH472">
            <v>1.2822273264027189</v>
          </cell>
          <cell r="AI472">
            <v>2.0532107730117559</v>
          </cell>
          <cell r="AJ472">
            <v>9.4313797351153852</v>
          </cell>
          <cell r="AK472">
            <v>-0.64190878429364062</v>
          </cell>
          <cell r="AL472">
            <v>-2.1425659217757982</v>
          </cell>
          <cell r="AM472">
            <v>-2.1602277203298428</v>
          </cell>
          <cell r="AN472">
            <v>-1.4752816991301572</v>
          </cell>
          <cell r="AO472">
            <v>-2.975344139541825</v>
          </cell>
          <cell r="AP472">
            <v>-2.1170716848075344</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G473">
            <v>463</v>
          </cell>
          <cell r="H473" t="str">
            <v>YTD %Var</v>
          </cell>
          <cell r="I473">
            <v>0</v>
          </cell>
          <cell r="J473">
            <v>0</v>
          </cell>
          <cell r="K473">
            <v>0</v>
          </cell>
          <cell r="L473">
            <v>1.5144699575652409E-2</v>
          </cell>
          <cell r="M473">
            <v>-4.2983183644491094E-2</v>
          </cell>
          <cell r="N473">
            <v>7.1133049212706939E-2</v>
          </cell>
          <cell r="O473">
            <v>4.5201839952814953E-2</v>
          </cell>
          <cell r="P473">
            <v>3.2978373309922954E-2</v>
          </cell>
          <cell r="Q473">
            <v>4.4941227828340508E-2</v>
          </cell>
          <cell r="R473">
            <v>2.2715365443313588E-2</v>
          </cell>
          <cell r="S473">
            <v>1.7506481568237191E-2</v>
          </cell>
          <cell r="T473">
            <v>2.7119039470420731E-2</v>
          </cell>
          <cell r="U473">
            <v>2.690698281695152E-2</v>
          </cell>
          <cell r="V473">
            <v>-3.3189586595367769E-2</v>
          </cell>
          <cell r="W473">
            <v>-4.5397265326793078E-2</v>
          </cell>
          <cell r="X473">
            <v>-5.0193536092992617E-2</v>
          </cell>
          <cell r="Y473">
            <v>7.4759440497628005E-2</v>
          </cell>
          <cell r="Z473">
            <v>4.7758162383034861E-2</v>
          </cell>
          <cell r="AA473">
            <v>7.3593350863832049E-2</v>
          </cell>
          <cell r="AB473">
            <v>4.9864107090852143E-2</v>
          </cell>
          <cell r="AC473">
            <v>5.2821042083539299E-2</v>
          </cell>
          <cell r="AD473">
            <v>4.5815725355701109E-2</v>
          </cell>
          <cell r="AE473">
            <v>3.948320697162401E-2</v>
          </cell>
          <cell r="AF473">
            <v>2.3263707255891775E-2</v>
          </cell>
          <cell r="AG473">
            <v>2.0782008152152941E-2</v>
          </cell>
          <cell r="AH473">
            <v>2.177834266366184E-2</v>
          </cell>
          <cell r="AI473">
            <v>3.2009157181252745E-2</v>
          </cell>
          <cell r="AJ473">
            <v>9.3773280759479591E-2</v>
          </cell>
          <cell r="AK473">
            <v>-1.054597748318035E-2</v>
          </cell>
          <cell r="AL473">
            <v>-3.1426116252213719E-2</v>
          </cell>
          <cell r="AM473">
            <v>-3.1454338904921976E-2</v>
          </cell>
          <cell r="AN473">
            <v>-2.3435334586546609E-2</v>
          </cell>
          <cell r="AO473">
            <v>-4.4901758535285559E-2</v>
          </cell>
          <cell r="AP473">
            <v>-3.3929390216914462E-2</v>
          </cell>
          <cell r="AQ473" t="e">
            <v>#DIV/0!</v>
          </cell>
          <cell r="AR473" t="e">
            <v>#DIV/0!</v>
          </cell>
          <cell r="AS473" t="e">
            <v>#DIV/0!</v>
          </cell>
          <cell r="AT473" t="e">
            <v>#DIV/0!</v>
          </cell>
          <cell r="AU473" t="e">
            <v>#DIV/0!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G474">
            <v>464</v>
          </cell>
          <cell r="H474" t="str">
            <v>4 Month Actual</v>
          </cell>
          <cell r="I474">
            <v>0</v>
          </cell>
          <cell r="J474">
            <v>0</v>
          </cell>
          <cell r="K474">
            <v>0</v>
          </cell>
          <cell r="L474">
            <v>100.57221224331278</v>
          </cell>
          <cell r="M474">
            <v>58.017972202651634</v>
          </cell>
          <cell r="N474">
            <v>76.938501154717372</v>
          </cell>
          <cell r="O474">
            <v>69.718705472105782</v>
          </cell>
          <cell r="P474">
            <v>61.65252497128737</v>
          </cell>
          <cell r="Q474">
            <v>72.288992621724148</v>
          </cell>
          <cell r="R474">
            <v>56.874209666654956</v>
          </cell>
          <cell r="S474">
            <v>53.348116468711218</v>
          </cell>
          <cell r="T474">
            <v>61.204739450986004</v>
          </cell>
          <cell r="U474">
            <v>50.470530584962241</v>
          </cell>
          <cell r="V474">
            <v>50.509222459081549</v>
          </cell>
          <cell r="W474">
            <v>72.140873557314151</v>
          </cell>
          <cell r="X474">
            <v>75.105804444561116</v>
          </cell>
          <cell r="Y474">
            <v>73.786885034828174</v>
          </cell>
          <cell r="Z474">
            <v>100.22412856438959</v>
          </cell>
          <cell r="AA474">
            <v>75.462197706785162</v>
          </cell>
          <cell r="AB474">
            <v>63.694450636123591</v>
          </cell>
          <cell r="AC474">
            <v>75.262992524261861</v>
          </cell>
          <cell r="AD474">
            <v>57.197948083305569</v>
          </cell>
          <cell r="AE474">
            <v>52.500747005425616</v>
          </cell>
          <cell r="AF474">
            <v>61.475920380016497</v>
          </cell>
          <cell r="AG474">
            <v>49.666807695733496</v>
          </cell>
          <cell r="AH474">
            <v>49.411646031887415</v>
          </cell>
          <cell r="AI474">
            <v>73.657513425342387</v>
          </cell>
          <cell r="AJ474">
            <v>76.794766955794756</v>
          </cell>
          <cell r="AK474">
            <v>76.850846869538401</v>
          </cell>
          <cell r="AL474">
            <v>88.788903641881632</v>
          </cell>
          <cell r="AM474">
            <v>66.586499394112195</v>
          </cell>
          <cell r="AN474">
            <v>57.310489576053051</v>
          </cell>
          <cell r="AO474">
            <v>64.320112336566496</v>
          </cell>
          <cell r="AP474">
            <v>56.86870225067107</v>
          </cell>
          <cell r="AQ474">
            <v>40.174816307387658</v>
          </cell>
          <cell r="AR474">
            <v>29.090675528743294</v>
          </cell>
          <cell r="AS474">
            <v>10.891248339973439</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G475">
            <v>465</v>
          </cell>
          <cell r="H475" t="str">
            <v>4 Month Target (Budget)</v>
          </cell>
          <cell r="I475">
            <v>0</v>
          </cell>
          <cell r="J475">
            <v>0</v>
          </cell>
          <cell r="K475">
            <v>0</v>
          </cell>
          <cell r="L475">
            <v>99.071799601922422</v>
          </cell>
          <cell r="M475">
            <v>59.761596105809261</v>
          </cell>
          <cell r="N475">
            <v>71.404379809785212</v>
          </cell>
          <cell r="O475">
            <v>66.132965797395812</v>
          </cell>
          <cell r="P475">
            <v>57.450283645981969</v>
          </cell>
          <cell r="Q475">
            <v>65.657784603069643</v>
          </cell>
          <cell r="R475">
            <v>55.838555333963122</v>
          </cell>
          <cell r="S475">
            <v>52.434019838896901</v>
          </cell>
          <cell r="T475">
            <v>60.031058811047849</v>
          </cell>
          <cell r="U475">
            <v>50.917368888888888</v>
          </cell>
          <cell r="V475">
            <v>57.705071945296837</v>
          </cell>
          <cell r="W475">
            <v>88.216224806410906</v>
          </cell>
          <cell r="X475">
            <v>100.99132041041524</v>
          </cell>
          <cell r="Y475">
            <v>99.410835939486716</v>
          </cell>
          <cell r="Z475">
            <v>102.86701481811676</v>
          </cell>
          <cell r="AA475">
            <v>72.430775369754258</v>
          </cell>
          <cell r="AB475">
            <v>61.350276233465202</v>
          </cell>
          <cell r="AC475">
            <v>71.897201066592302</v>
          </cell>
          <cell r="AD475">
            <v>54.713651000334323</v>
          </cell>
          <cell r="AE475">
            <v>52.408737984826679</v>
          </cell>
          <cell r="AF475">
            <v>61.907916928321519</v>
          </cell>
          <cell r="AG475">
            <v>51.553377607045135</v>
          </cell>
          <cell r="AH475">
            <v>50.809022052294928</v>
          </cell>
          <cell r="AI475">
            <v>72.33598369011213</v>
          </cell>
          <cell r="AJ475">
            <v>72.035097874131765</v>
          </cell>
          <cell r="AK475">
            <v>71.720605880759152</v>
          </cell>
          <cell r="AL475">
            <v>85.613161092685885</v>
          </cell>
          <cell r="AM475">
            <v>67.469375844698362</v>
          </cell>
          <cell r="AN475">
            <v>58.568141965651805</v>
          </cell>
          <cell r="AO475">
            <v>68.107395833333328</v>
          </cell>
          <cell r="AP475">
            <v>58.923775868561869</v>
          </cell>
          <cell r="AQ475">
            <v>41.499279819026917</v>
          </cell>
          <cell r="AR475">
            <v>30.537525969915023</v>
          </cell>
          <cell r="AS475">
            <v>10.270651108933821</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G476">
            <v>466</v>
          </cell>
          <cell r="H476" t="str">
            <v>4 Month Target (Budget) Var</v>
          </cell>
          <cell r="I476">
            <v>0</v>
          </cell>
          <cell r="J476">
            <v>0</v>
          </cell>
          <cell r="K476">
            <v>0</v>
          </cell>
          <cell r="L476">
            <v>1.5004126413903549</v>
          </cell>
          <cell r="M476">
            <v>-1.7436239031576264</v>
          </cell>
          <cell r="N476">
            <v>5.53412134493216</v>
          </cell>
          <cell r="O476">
            <v>3.5857396747099699</v>
          </cell>
          <cell r="P476">
            <v>4.2022413253054012</v>
          </cell>
          <cell r="Q476">
            <v>6.6312080186545046</v>
          </cell>
          <cell r="R476">
            <v>1.0356543326918342</v>
          </cell>
          <cell r="S476">
            <v>0.91409662981431694</v>
          </cell>
          <cell r="T476">
            <v>1.173680639938155</v>
          </cell>
          <cell r="U476">
            <v>-0.44683830392664703</v>
          </cell>
          <cell r="V476">
            <v>-7.1958494862152875</v>
          </cell>
          <cell r="W476">
            <v>-16.075351249096755</v>
          </cell>
          <cell r="X476">
            <v>-25.885515965854125</v>
          </cell>
          <cell r="Y476">
            <v>-25.623950904658543</v>
          </cell>
          <cell r="Z476">
            <v>-2.6428862537271698</v>
          </cell>
          <cell r="AA476">
            <v>3.0314223370309037</v>
          </cell>
          <cell r="AB476">
            <v>2.3441744026583891</v>
          </cell>
          <cell r="AC476">
            <v>3.3657914576695589</v>
          </cell>
          <cell r="AD476">
            <v>2.4842970829712456</v>
          </cell>
          <cell r="AE476">
            <v>9.2009020598936786E-2</v>
          </cell>
          <cell r="AF476">
            <v>-0.43199654830502254</v>
          </cell>
          <cell r="AG476">
            <v>-1.8865699113116392</v>
          </cell>
          <cell r="AH476">
            <v>-1.3973760204075134</v>
          </cell>
          <cell r="AI476">
            <v>1.3215297352302571</v>
          </cell>
          <cell r="AJ476">
            <v>4.7596690816629916</v>
          </cell>
          <cell r="AK476">
            <v>5.1302409887792493</v>
          </cell>
          <cell r="AL476">
            <v>3.1757425491957463</v>
          </cell>
          <cell r="AM476">
            <v>-0.88287645058616704</v>
          </cell>
          <cell r="AN476">
            <v>-1.2576523895987535</v>
          </cell>
          <cell r="AO476">
            <v>-3.7872834967668325</v>
          </cell>
          <cell r="AP476">
            <v>-2.0550736178907982</v>
          </cell>
          <cell r="AQ476">
            <v>-1.3244635116392587</v>
          </cell>
          <cell r="AR476">
            <v>-1.4468504411717298</v>
          </cell>
          <cell r="AS476">
            <v>0.62059723103961772</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G477">
            <v>467</v>
          </cell>
          <cell r="H477" t="str">
            <v>4 Month Target (Budget) % Var</v>
          </cell>
          <cell r="I477">
            <v>0</v>
          </cell>
          <cell r="J477">
            <v>0</v>
          </cell>
          <cell r="K477">
            <v>0</v>
          </cell>
          <cell r="L477">
            <v>1.5144699575652409E-2</v>
          </cell>
          <cell r="M477">
            <v>-2.9176327554413052E-2</v>
          </cell>
          <cell r="N477">
            <v>7.7503948072577017E-2</v>
          </cell>
          <cell r="O477">
            <v>5.4220155280729439E-2</v>
          </cell>
          <cell r="P477">
            <v>7.3145701963810983E-2</v>
          </cell>
          <cell r="Q477">
            <v>0.10099652400310323</v>
          </cell>
          <cell r="R477">
            <v>1.8547298125779231E-2</v>
          </cell>
          <cell r="S477">
            <v>1.7433273905431462E-2</v>
          </cell>
          <cell r="T477">
            <v>1.9551223369762654E-2</v>
          </cell>
          <cell r="U477">
            <v>-8.7757540045270369E-3</v>
          </cell>
          <cell r="V477">
            <v>-0.12470046815012721</v>
          </cell>
          <cell r="W477">
            <v>-0.18222669678252335</v>
          </cell>
          <cell r="X477">
            <v>-0.25631426404426483</v>
          </cell>
          <cell r="Y477">
            <v>-0.25775812729566355</v>
          </cell>
          <cell r="Z477">
            <v>-2.5692261590366569E-2</v>
          </cell>
          <cell r="AA477">
            <v>4.1852683773654163E-2</v>
          </cell>
          <cell r="AB477">
            <v>3.8209679671820193E-2</v>
          </cell>
          <cell r="AC477">
            <v>4.6813942792461566E-2</v>
          </cell>
          <cell r="AD477">
            <v>4.5405434248137921E-2</v>
          </cell>
          <cell r="AE477">
            <v>1.7556045830673338E-3</v>
          </cell>
          <cell r="AF477">
            <v>-6.9780501386470257E-3</v>
          </cell>
          <cell r="AG477">
            <v>-3.6594496789165293E-2</v>
          </cell>
          <cell r="AH477">
            <v>-2.7502517544409164E-2</v>
          </cell>
          <cell r="AI477">
            <v>1.8269326935425389E-2</v>
          </cell>
          <cell r="AJ477">
            <v>6.6074305749950504E-2</v>
          </cell>
          <cell r="AK477">
            <v>7.153092093656678E-2</v>
          </cell>
          <cell r="AL477">
            <v>3.7094092878519544E-2</v>
          </cell>
          <cell r="AM477">
            <v>-1.308558793575296E-2</v>
          </cell>
          <cell r="AN477">
            <v>-2.1473318896411693E-2</v>
          </cell>
          <cell r="AO477">
            <v>-5.5607521773916493E-2</v>
          </cell>
          <cell r="AP477">
            <v>-3.4876814793317751E-2</v>
          </cell>
          <cell r="AQ477">
            <v>-3.1915337264045919E-2</v>
          </cell>
          <cell r="AR477">
            <v>-4.7379425648205381E-2</v>
          </cell>
          <cell r="AS477">
            <v>6.0424331861472495E-2</v>
          </cell>
          <cell r="AT477" t="e">
            <v>#DIV/0!</v>
          </cell>
          <cell r="AU477" t="e">
            <v>#DIV/0!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G478">
            <v>468</v>
          </cell>
          <cell r="H478" t="str">
            <v>Actual</v>
          </cell>
          <cell r="I478">
            <v>0</v>
          </cell>
          <cell r="J478">
            <v>0</v>
          </cell>
          <cell r="K478">
            <v>0</v>
          </cell>
          <cell r="L478">
            <v>24.660857323171026</v>
          </cell>
          <cell r="M478">
            <v>10.712717084884975</v>
          </cell>
          <cell r="N478">
            <v>17.413044234851913</v>
          </cell>
          <cell r="O478">
            <v>17.176312950266244</v>
          </cell>
          <cell r="P478">
            <v>20.286586851355583</v>
          </cell>
          <cell r="Q478">
            <v>15.132617547767376</v>
          </cell>
          <cell r="R478">
            <v>11.303067528995195</v>
          </cell>
          <cell r="S478">
            <v>12.038461538461538</v>
          </cell>
          <cell r="T478">
            <v>14.253676337753369</v>
          </cell>
          <cell r="U478">
            <v>13.002312389348557</v>
          </cell>
          <cell r="V478">
            <v>15.483162915055823</v>
          </cell>
          <cell r="W478">
            <v>37.272264631043257</v>
          </cell>
          <cell r="X478">
            <v>27.829180469537665</v>
          </cell>
          <cell r="Y478">
            <v>11.248431123761188</v>
          </cell>
          <cell r="Z478">
            <v>18.460838105689106</v>
          </cell>
          <cell r="AA478">
            <v>25.023627447618395</v>
          </cell>
          <cell r="AB478">
            <v>17.132865813929563</v>
          </cell>
          <cell r="AC478">
            <v>21.925414080449915</v>
          </cell>
          <cell r="AD478">
            <v>13.978569519907365</v>
          </cell>
          <cell r="AE478">
            <v>13.915436002493987</v>
          </cell>
          <cell r="AF478">
            <v>13.373652801282622</v>
          </cell>
          <cell r="AG478">
            <v>15.568557940678721</v>
          </cell>
          <cell r="AH478">
            <v>17.429856595706777</v>
          </cell>
          <cell r="AI478">
            <v>49.92711955723172</v>
          </cell>
          <cell r="AJ478">
            <v>38.450653866875641</v>
          </cell>
          <cell r="AK478">
            <v>12.550210524521418</v>
          </cell>
          <cell r="AL478">
            <v>14.616299882379012</v>
          </cell>
          <cell r="AM478">
            <v>31.440857099023233</v>
          </cell>
          <cell r="AN478">
            <v>15.451886197432794</v>
          </cell>
          <cell r="AO478">
            <v>17.54414196341817</v>
          </cell>
          <cell r="AP478">
            <v>13.162301903497122</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G479">
            <v>469</v>
          </cell>
          <cell r="H479" t="str">
            <v>Target (Budget)</v>
          </cell>
          <cell r="I479">
            <v>0</v>
          </cell>
          <cell r="J479">
            <v>0</v>
          </cell>
          <cell r="K479">
            <v>0</v>
          </cell>
          <cell r="L479">
            <v>28.038739744647799</v>
          </cell>
          <cell r="M479">
            <v>10.995371175999722</v>
          </cell>
          <cell r="N479">
            <v>16.764278007865521</v>
          </cell>
          <cell r="O479">
            <v>18.220878432464414</v>
          </cell>
          <cell r="P479">
            <v>16.304649705913061</v>
          </cell>
          <cell r="Q479">
            <v>14.548811471130756</v>
          </cell>
          <cell r="R479">
            <v>11.372142222222223</v>
          </cell>
          <cell r="S479">
            <v>12.193351111111111</v>
          </cell>
          <cell r="T479">
            <v>13.043431111111111</v>
          </cell>
          <cell r="U479">
            <v>12.005066666666666</v>
          </cell>
          <cell r="V479">
            <v>36.915737304105676</v>
          </cell>
          <cell r="W479">
            <v>36.729153763961278</v>
          </cell>
          <cell r="X479">
            <v>26.773296845743914</v>
          </cell>
          <cell r="Y479">
            <v>12.136583070461318</v>
          </cell>
          <cell r="Z479">
            <v>19.340298715557957</v>
          </cell>
          <cell r="AA479">
            <v>19.163927569319785</v>
          </cell>
          <cell r="AB479">
            <v>19.432405583924432</v>
          </cell>
          <cell r="AC479">
            <v>17.099234911727287</v>
          </cell>
          <cell r="AD479">
            <v>12.889611683911067</v>
          </cell>
          <cell r="AE479">
            <v>13.675992534473698</v>
          </cell>
          <cell r="AF479">
            <v>14.596245492597895</v>
          </cell>
          <cell r="AG479">
            <v>13.720840052911011</v>
          </cell>
          <cell r="AH479">
            <v>15.049232609128962</v>
          </cell>
          <cell r="AI479">
            <v>35.274137020500262</v>
          </cell>
          <cell r="AJ479">
            <v>37.632387536607617</v>
          </cell>
          <cell r="AK479">
            <v>11.466038611631625</v>
          </cell>
          <cell r="AL479">
            <v>15.010950850109165</v>
          </cell>
          <cell r="AM479">
            <v>34.51446646839382</v>
          </cell>
          <cell r="AN479">
            <v>15.956110643126063</v>
          </cell>
          <cell r="AO479">
            <v>18.384037357093018</v>
          </cell>
          <cell r="AP479">
            <v>13.801638906208249</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G480">
            <v>470</v>
          </cell>
          <cell r="H480" t="str">
            <v>Target (Budget) Variance</v>
          </cell>
          <cell r="I480">
            <v>0</v>
          </cell>
          <cell r="J480">
            <v>0</v>
          </cell>
          <cell r="K480">
            <v>0</v>
          </cell>
          <cell r="L480">
            <v>-3.3778824214767731</v>
          </cell>
          <cell r="M480">
            <v>-0.28265409111474682</v>
          </cell>
          <cell r="N480">
            <v>0.64876622698639252</v>
          </cell>
          <cell r="O480">
            <v>-1.0445654821981698</v>
          </cell>
          <cell r="P480">
            <v>3.9819371454425223</v>
          </cell>
          <cell r="Q480">
            <v>0.58380607663661976</v>
          </cell>
          <cell r="R480">
            <v>-6.9074693227028305E-2</v>
          </cell>
          <cell r="S480">
            <v>-0.15488957264957293</v>
          </cell>
          <cell r="T480">
            <v>1.2102452266422574</v>
          </cell>
          <cell r="U480">
            <v>0.99724572268189071</v>
          </cell>
          <cell r="V480">
            <v>-21.432574389049854</v>
          </cell>
          <cell r="W480">
            <v>0.5431108670819782</v>
          </cell>
          <cell r="X480">
            <v>1.0558836237937506</v>
          </cell>
          <cell r="Y480">
            <v>-0.88815194670013042</v>
          </cell>
          <cell r="Z480">
            <v>-0.87946060986885044</v>
          </cell>
          <cell r="AA480">
            <v>5.8596998782986098</v>
          </cell>
          <cell r="AB480">
            <v>-2.299539769994869</v>
          </cell>
          <cell r="AC480">
            <v>4.8261791687226285</v>
          </cell>
          <cell r="AD480">
            <v>1.0889578359962986</v>
          </cell>
          <cell r="AE480">
            <v>0.23944346802028882</v>
          </cell>
          <cell r="AF480">
            <v>-1.2225926913152723</v>
          </cell>
          <cell r="AG480">
            <v>1.8477178877677094</v>
          </cell>
          <cell r="AH480">
            <v>2.3806239865778149</v>
          </cell>
          <cell r="AI480">
            <v>14.652982536731457</v>
          </cell>
          <cell r="AJ480">
            <v>0.81826633026802398</v>
          </cell>
          <cell r="AK480">
            <v>1.0841719128897935</v>
          </cell>
          <cell r="AL480">
            <v>-0.3946509677301524</v>
          </cell>
          <cell r="AM480">
            <v>-3.0736093693705868</v>
          </cell>
          <cell r="AN480">
            <v>-0.50422444569326963</v>
          </cell>
          <cell r="AO480">
            <v>-0.83989539367484767</v>
          </cell>
          <cell r="AP480">
            <v>-0.6393370027111267</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G481">
            <v>471</v>
          </cell>
          <cell r="H481" t="str">
            <v>Target (Budget) %Var</v>
          </cell>
          <cell r="I481">
            <v>0</v>
          </cell>
          <cell r="J481">
            <v>0</v>
          </cell>
          <cell r="K481">
            <v>0</v>
          </cell>
          <cell r="L481">
            <v>-0.12047197742265014</v>
          </cell>
          <cell r="M481">
            <v>-2.5706643876808218E-2</v>
          </cell>
          <cell r="N481">
            <v>3.8699324043779411E-2</v>
          </cell>
          <cell r="O481">
            <v>-5.7327943110418417E-2</v>
          </cell>
          <cell r="P481">
            <v>0.24422095643051006</v>
          </cell>
          <cell r="Q481">
            <v>4.0127406819111491E-2</v>
          </cell>
          <cell r="R481">
            <v>-6.0740265006578916E-3</v>
          </cell>
          <cell r="S481">
            <v>-1.2702789515216273E-2</v>
          </cell>
          <cell r="T481">
            <v>9.2785802779400892E-2</v>
          </cell>
          <cell r="U481">
            <v>8.3068736756860218E-2</v>
          </cell>
          <cell r="V481">
            <v>-0.58058096503645285</v>
          </cell>
          <cell r="W481">
            <v>1.4786914791782645E-2</v>
          </cell>
          <cell r="X481">
            <v>3.9437938102180409E-2</v>
          </cell>
          <cell r="Y481">
            <v>-7.3179736136916765E-2</v>
          </cell>
          <cell r="Z481">
            <v>-4.5472958965281342E-2</v>
          </cell>
          <cell r="AA481">
            <v>0.30576716892207484</v>
          </cell>
          <cell r="AB481">
            <v>-0.11833531160430165</v>
          </cell>
          <cell r="AC481">
            <v>0.28224532814697206</v>
          </cell>
          <cell r="AD481">
            <v>8.4483370228720378E-2</v>
          </cell>
          <cell r="AE481">
            <v>1.7508306429439235E-2</v>
          </cell>
          <cell r="AF481">
            <v>-8.3760765186861125E-2</v>
          </cell>
          <cell r="AG481">
            <v>0.13466507011541889</v>
          </cell>
          <cell r="AH481">
            <v>0.15818906175546207</v>
          </cell>
          <cell r="AI481">
            <v>0.41540300555660897</v>
          </cell>
          <cell r="AJ481">
            <v>2.174367303886951E-2</v>
          </cell>
          <cell r="AK481">
            <v>9.4555055116416986E-2</v>
          </cell>
          <cell r="AL481">
            <v>-2.6290870689732647E-2</v>
          </cell>
          <cell r="AM481">
            <v>-8.9052785219357375E-2</v>
          </cell>
          <cell r="AN481">
            <v>-3.1600711286775322E-2</v>
          </cell>
          <cell r="AO481">
            <v>-4.5686123094761617E-2</v>
          </cell>
          <cell r="AP481">
            <v>-4.6323266900102737E-2</v>
          </cell>
          <cell r="AQ481" t="e">
            <v>#DIV/0!</v>
          </cell>
          <cell r="AR481" t="e">
            <v>#DIV/0!</v>
          </cell>
          <cell r="AS481" t="e">
            <v>#DIV/0!</v>
          </cell>
          <cell r="AT481" t="e">
            <v>#DIV/0!</v>
          </cell>
          <cell r="AU481" t="e">
            <v>#DIV/0!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G482">
            <v>472</v>
          </cell>
          <cell r="H482" t="str">
            <v>YTD Actual</v>
          </cell>
          <cell r="I482">
            <v>0</v>
          </cell>
          <cell r="J482">
            <v>0</v>
          </cell>
          <cell r="K482">
            <v>0</v>
          </cell>
          <cell r="L482">
            <v>24.660857323171026</v>
          </cell>
          <cell r="M482">
            <v>14.393210785883559</v>
          </cell>
          <cell r="N482">
            <v>15.673639241206809</v>
          </cell>
          <cell r="O482">
            <v>16.12106923941823</v>
          </cell>
          <cell r="P482">
            <v>17.076801763134675</v>
          </cell>
          <cell r="Q482">
            <v>16.713976273751417</v>
          </cell>
          <cell r="R482">
            <v>15.889507629038517</v>
          </cell>
          <cell r="S482">
            <v>15.380305610827518</v>
          </cell>
          <cell r="T482">
            <v>15.248734680616298</v>
          </cell>
          <cell r="U482">
            <v>15.013824632328632</v>
          </cell>
          <cell r="V482">
            <v>15.058257325564094</v>
          </cell>
          <cell r="W482">
            <v>15.82237650447213</v>
          </cell>
          <cell r="X482">
            <v>27.829180469537665</v>
          </cell>
          <cell r="Y482">
            <v>15.611742113176081</v>
          </cell>
          <cell r="Z482">
            <v>16.624158925752692</v>
          </cell>
          <cell r="AA482">
            <v>19.126137031078425</v>
          </cell>
          <cell r="AB482">
            <v>18.668664434099252</v>
          </cell>
          <cell r="AC482">
            <v>19.276588390053739</v>
          </cell>
          <cell r="AD482">
            <v>18.469683157249289</v>
          </cell>
          <cell r="AE482">
            <v>17.867735319948483</v>
          </cell>
          <cell r="AF482">
            <v>17.343084243538446</v>
          </cell>
          <cell r="AG482">
            <v>17.157575994591966</v>
          </cell>
          <cell r="AH482">
            <v>17.183347552072622</v>
          </cell>
          <cell r="AI482">
            <v>18.272988650940214</v>
          </cell>
          <cell r="AJ482">
            <v>38.450653866875641</v>
          </cell>
          <cell r="AK482">
            <v>18.854324734446131</v>
          </cell>
          <cell r="AL482">
            <v>17.049396339559905</v>
          </cell>
          <cell r="AM482">
            <v>21.347876337790087</v>
          </cell>
          <cell r="AN482">
            <v>19.991864946347849</v>
          </cell>
          <cell r="AO482">
            <v>19.534178853288793</v>
          </cell>
          <cell r="AP482">
            <v>18.562153065717286</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G483">
            <v>473</v>
          </cell>
          <cell r="H483" t="str">
            <v>YTD Target (Budget)</v>
          </cell>
          <cell r="I483">
            <v>0</v>
          </cell>
          <cell r="J483">
            <v>0</v>
          </cell>
          <cell r="K483">
            <v>0</v>
          </cell>
          <cell r="L483">
            <v>28.038739744647799</v>
          </cell>
          <cell r="M483">
            <v>15.528482674694166</v>
          </cell>
          <cell r="N483">
            <v>16.052467701116349</v>
          </cell>
          <cell r="O483">
            <v>16.838023388964594</v>
          </cell>
          <cell r="P483">
            <v>16.596662980160744</v>
          </cell>
          <cell r="Q483">
            <v>16.214491002796098</v>
          </cell>
          <cell r="R483">
            <v>15.466556281389098</v>
          </cell>
          <cell r="S483">
            <v>15.028627901500609</v>
          </cell>
          <cell r="T483">
            <v>14.794366859039311</v>
          </cell>
          <cell r="U483">
            <v>14.499959656914898</v>
          </cell>
          <cell r="V483">
            <v>15.32610640230993</v>
          </cell>
          <cell r="W483">
            <v>16.086889271262237</v>
          </cell>
          <cell r="X483">
            <v>26.773296845743914</v>
          </cell>
          <cell r="Y483">
            <v>16.034753477905074</v>
          </cell>
          <cell r="Z483">
            <v>17.771947163076106</v>
          </cell>
          <cell r="AA483">
            <v>18.185856575769826</v>
          </cell>
          <cell r="AB483">
            <v>18.471565239968843</v>
          </cell>
          <cell r="AC483">
            <v>18.215677035265369</v>
          </cell>
          <cell r="AD483">
            <v>17.405755130045659</v>
          </cell>
          <cell r="AE483">
            <v>16.913443738070978</v>
          </cell>
          <cell r="AF483">
            <v>16.643248782446094</v>
          </cell>
          <cell r="AG483">
            <v>16.338068998925202</v>
          </cell>
          <cell r="AH483">
            <v>16.216205010117211</v>
          </cell>
          <cell r="AI483">
            <v>16.872889122695572</v>
          </cell>
          <cell r="AJ483">
            <v>37.632387536607617</v>
          </cell>
          <cell r="AK483">
            <v>18.365186460416719</v>
          </cell>
          <cell r="AL483">
            <v>16.942741329911712</v>
          </cell>
          <cell r="AM483">
            <v>22.175415693983698</v>
          </cell>
          <cell r="AN483">
            <v>20.748340269422695</v>
          </cell>
          <cell r="AO483">
            <v>20.321227027970444</v>
          </cell>
          <cell r="AP483">
            <v>19.320012146646132</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G484">
            <v>474</v>
          </cell>
          <cell r="H484" t="str">
            <v>YTD Target (Budget) Var</v>
          </cell>
          <cell r="I484">
            <v>0</v>
          </cell>
          <cell r="J484">
            <v>0</v>
          </cell>
          <cell r="K484">
            <v>0</v>
          </cell>
          <cell r="L484">
            <v>-3.3778824214767731</v>
          </cell>
          <cell r="M484">
            <v>-1.1352718888106068</v>
          </cell>
          <cell r="N484">
            <v>-0.37882845990954017</v>
          </cell>
          <cell r="O484">
            <v>-0.71695414954636405</v>
          </cell>
          <cell r="P484">
            <v>0.4801387829739312</v>
          </cell>
          <cell r="Q484">
            <v>0.49948527095531858</v>
          </cell>
          <cell r="R484">
            <v>0.42295134764941977</v>
          </cell>
          <cell r="S484">
            <v>0.35167770932690878</v>
          </cell>
          <cell r="T484">
            <v>0.4543678215769873</v>
          </cell>
          <cell r="U484">
            <v>0.51386497541373366</v>
          </cell>
          <cell r="V484">
            <v>-0.26784907674583636</v>
          </cell>
          <cell r="W484">
            <v>-0.26451276679010682</v>
          </cell>
          <cell r="X484">
            <v>1.0558836237937506</v>
          </cell>
          <cell r="Y484">
            <v>-0.42301136472899259</v>
          </cell>
          <cell r="Z484">
            <v>-1.1477882373234145</v>
          </cell>
          <cell r="AA484">
            <v>0.94028045530859927</v>
          </cell>
          <cell r="AB484">
            <v>0.19709919413040922</v>
          </cell>
          <cell r="AC484">
            <v>1.0609113547883702</v>
          </cell>
          <cell r="AD484">
            <v>1.0639280272036302</v>
          </cell>
          <cell r="AE484">
            <v>0.95429158187750573</v>
          </cell>
          <cell r="AF484">
            <v>0.69983546109235206</v>
          </cell>
          <cell r="AG484">
            <v>0.81950699566676377</v>
          </cell>
          <cell r="AH484">
            <v>0.96714254195541116</v>
          </cell>
          <cell r="AI484">
            <v>1.4000995282446418</v>
          </cell>
          <cell r="AJ484">
            <v>0.81826633026802398</v>
          </cell>
          <cell r="AK484">
            <v>0.48913827402941124</v>
          </cell>
          <cell r="AL484">
            <v>0.1066550096481933</v>
          </cell>
          <cell r="AM484">
            <v>-0.8275393561936113</v>
          </cell>
          <cell r="AN484">
            <v>-0.75647532307484511</v>
          </cell>
          <cell r="AO484">
            <v>-0.78704817468165089</v>
          </cell>
          <cell r="AP484">
            <v>-0.75785908092884569</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G485">
            <v>475</v>
          </cell>
          <cell r="H485" t="str">
            <v>YTD %Var</v>
          </cell>
          <cell r="I485">
            <v>0</v>
          </cell>
          <cell r="J485">
            <v>0</v>
          </cell>
          <cell r="K485">
            <v>0</v>
          </cell>
          <cell r="L485">
            <v>-0.12047197742265014</v>
          </cell>
          <cell r="M485">
            <v>-7.3109003152039512E-2</v>
          </cell>
          <cell r="N485">
            <v>-2.3599390882636382E-2</v>
          </cell>
          <cell r="O485">
            <v>-4.2579472244719994E-2</v>
          </cell>
          <cell r="P485">
            <v>2.8929838699977079E-2</v>
          </cell>
          <cell r="Q485">
            <v>3.0804868982269328E-2</v>
          </cell>
          <cell r="R485">
            <v>2.7346187474089304E-2</v>
          </cell>
          <cell r="S485">
            <v>2.340052010282281E-2</v>
          </cell>
          <cell r="T485">
            <v>3.0712218096671708E-2</v>
          </cell>
          <cell r="U485">
            <v>3.5439062423092756E-2</v>
          </cell>
          <cell r="V485">
            <v>-1.7476655173519252E-2</v>
          </cell>
          <cell r="W485">
            <v>-1.6442754241034953E-2</v>
          </cell>
          <cell r="X485">
            <v>3.9437938102180409E-2</v>
          </cell>
          <cell r="Y485">
            <v>-2.6380908525464816E-2</v>
          </cell>
          <cell r="Z485">
            <v>-6.4584270186674717E-2</v>
          </cell>
          <cell r="AA485">
            <v>5.1703940993430841E-2</v>
          </cell>
          <cell r="AB485">
            <v>1.0670411065323539E-2</v>
          </cell>
          <cell r="AC485">
            <v>5.8241664733869422E-2</v>
          </cell>
          <cell r="AD485">
            <v>6.1125071521148037E-2</v>
          </cell>
          <cell r="AE485">
            <v>5.6422074454858785E-2</v>
          </cell>
          <cell r="AF485">
            <v>4.2049209877249444E-2</v>
          </cell>
          <cell r="AG485">
            <v>5.0159354555344024E-2</v>
          </cell>
          <cell r="AH485">
            <v>5.9640497968052063E-2</v>
          </cell>
          <cell r="AI485">
            <v>8.2979240725370523E-2</v>
          </cell>
          <cell r="AJ485">
            <v>2.174367303886951E-2</v>
          </cell>
          <cell r="AK485">
            <v>2.6633994437446747E-2</v>
          </cell>
          <cell r="AL485">
            <v>6.2950267357206402E-3</v>
          </cell>
          <cell r="AM485">
            <v>-3.7317873433061588E-2</v>
          </cell>
          <cell r="AN485">
            <v>-3.645955836716637E-2</v>
          </cell>
          <cell r="AO485">
            <v>-3.873034702079485E-2</v>
          </cell>
          <cell r="AP485">
            <v>-3.9226635841448303E-2</v>
          </cell>
          <cell r="AQ485" t="e">
            <v>#DIV/0!</v>
          </cell>
          <cell r="AR485" t="e">
            <v>#DIV/0!</v>
          </cell>
          <cell r="AS485" t="e">
            <v>#DIV/0!</v>
          </cell>
          <cell r="AT485" t="e">
            <v>#DIV/0!</v>
          </cell>
          <cell r="AU485" t="e">
            <v>#DIV/0!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G486">
            <v>476</v>
          </cell>
          <cell r="H486" t="str">
            <v>4 Month Actual</v>
          </cell>
          <cell r="I486">
            <v>0</v>
          </cell>
          <cell r="J486">
            <v>0</v>
          </cell>
          <cell r="K486">
            <v>0</v>
          </cell>
          <cell r="L486">
            <v>24.660857323171026</v>
          </cell>
          <cell r="M486">
            <v>14.393210785883559</v>
          </cell>
          <cell r="N486">
            <v>15.673639241206809</v>
          </cell>
          <cell r="O486">
            <v>16.12106923941823</v>
          </cell>
          <cell r="P486">
            <v>16.397165280339678</v>
          </cell>
          <cell r="Q486">
            <v>17.50214039606028</v>
          </cell>
          <cell r="R486">
            <v>16.017966911377286</v>
          </cell>
          <cell r="S486">
            <v>14.746707144123382</v>
          </cell>
          <cell r="T486">
            <v>13.200386528757024</v>
          </cell>
          <cell r="U486">
            <v>12.649379448639666</v>
          </cell>
          <cell r="V486">
            <v>13.694403295154821</v>
          </cell>
          <cell r="W486">
            <v>16.81261805009337</v>
          </cell>
          <cell r="X486">
            <v>19.248277174697765</v>
          </cell>
          <cell r="Y486">
            <v>18.470418581894499</v>
          </cell>
          <cell r="Z486">
            <v>19.511452792763201</v>
          </cell>
          <cell r="AA486">
            <v>19.26395464644143</v>
          </cell>
          <cell r="AB486">
            <v>17.966440622749563</v>
          </cell>
          <cell r="AC486">
            <v>20.635686361921746</v>
          </cell>
          <cell r="AD486">
            <v>19.567513771035173</v>
          </cell>
          <cell r="AE486">
            <v>16.791402011235661</v>
          </cell>
          <cell r="AF486">
            <v>15.857370317606637</v>
          </cell>
          <cell r="AG486">
            <v>14.209054066090674</v>
          </cell>
          <cell r="AH486">
            <v>15.071875835040528</v>
          </cell>
          <cell r="AI486">
            <v>19.184512397919733</v>
          </cell>
          <cell r="AJ486">
            <v>23.884255146828298</v>
          </cell>
          <cell r="AK486">
            <v>22.611461653130462</v>
          </cell>
          <cell r="AL486">
            <v>21.485065756196256</v>
          </cell>
          <cell r="AM486">
            <v>21.50204678064825</v>
          </cell>
          <cell r="AN486">
            <v>18.514813425839115</v>
          </cell>
          <cell r="AO486">
            <v>19.763296285563303</v>
          </cell>
          <cell r="AP486">
            <v>19.458505402987129</v>
          </cell>
          <cell r="AQ486">
            <v>11.633808994424083</v>
          </cell>
          <cell r="AR486">
            <v>7.7712681070464029</v>
          </cell>
          <cell r="AS486">
            <v>3.2905754758742805</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G487">
            <v>477</v>
          </cell>
          <cell r="H487" t="str">
            <v>4 Month Target (Budget)</v>
          </cell>
          <cell r="I487">
            <v>0</v>
          </cell>
          <cell r="J487">
            <v>0</v>
          </cell>
          <cell r="K487">
            <v>0</v>
          </cell>
          <cell r="L487">
            <v>28.038739744647799</v>
          </cell>
          <cell r="M487">
            <v>15.492602318580669</v>
          </cell>
          <cell r="N487">
            <v>16.031800842611652</v>
          </cell>
          <cell r="O487">
            <v>16.683611662357446</v>
          </cell>
          <cell r="P487">
            <v>15.571294330560679</v>
          </cell>
          <cell r="Q487">
            <v>16.459654404343439</v>
          </cell>
          <cell r="R487">
            <v>15.131507819880341</v>
          </cell>
          <cell r="S487">
            <v>13.624221745400822</v>
          </cell>
          <cell r="T487">
            <v>12.79889132510521</v>
          </cell>
          <cell r="U487">
            <v>12.153497777777778</v>
          </cell>
          <cell r="V487">
            <v>15.055681941405076</v>
          </cell>
          <cell r="W487">
            <v>18.989461661278696</v>
          </cell>
          <cell r="X487">
            <v>23.20270254906842</v>
          </cell>
          <cell r="Y487">
            <v>23.159878118244936</v>
          </cell>
          <cell r="Z487">
            <v>19.956345688142985</v>
          </cell>
          <cell r="AA487">
            <v>17.948135941046608</v>
          </cell>
          <cell r="AB487">
            <v>17.518303734815873</v>
          </cell>
          <cell r="AC487">
            <v>18.758966695132365</v>
          </cell>
          <cell r="AD487">
            <v>17.187340535975085</v>
          </cell>
          <cell r="AE487">
            <v>15.82282838512517</v>
          </cell>
          <cell r="AF487">
            <v>14.590185700188391</v>
          </cell>
          <cell r="AG487">
            <v>13.720672440973418</v>
          </cell>
          <cell r="AH487">
            <v>14.260577672277892</v>
          </cell>
          <cell r="AI487">
            <v>16.781919630881486</v>
          </cell>
          <cell r="AJ487">
            <v>20.431909071774363</v>
          </cell>
          <cell r="AK487">
            <v>19.456694234069182</v>
          </cell>
          <cell r="AL487">
            <v>19.359414162383857</v>
          </cell>
          <cell r="AM487">
            <v>22.175415693983698</v>
          </cell>
          <cell r="AN487">
            <v>19.236891643315168</v>
          </cell>
          <cell r="AO487">
            <v>20.991901041666665</v>
          </cell>
          <cell r="AP487">
            <v>20.747909058266117</v>
          </cell>
          <cell r="AQ487">
            <v>12.063892865348249</v>
          </cell>
          <cell r="AR487">
            <v>8.035265584178191</v>
          </cell>
          <cell r="AS487">
            <v>3.4504097265520621</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G488">
            <v>478</v>
          </cell>
          <cell r="H488" t="str">
            <v>4 Month Target (Budget) Var</v>
          </cell>
          <cell r="I488">
            <v>0</v>
          </cell>
          <cell r="J488">
            <v>0</v>
          </cell>
          <cell r="K488">
            <v>0</v>
          </cell>
          <cell r="L488">
            <v>-3.3778824214767731</v>
          </cell>
          <cell r="M488">
            <v>-1.0993915326971102</v>
          </cell>
          <cell r="N488">
            <v>-0.35816160140484321</v>
          </cell>
          <cell r="O488">
            <v>-0.56254242293921664</v>
          </cell>
          <cell r="P488">
            <v>0.82587094977899866</v>
          </cell>
          <cell r="Q488">
            <v>1.0424859917168412</v>
          </cell>
          <cell r="R488">
            <v>0.88645909149694546</v>
          </cell>
          <cell r="S488">
            <v>1.12248539872256</v>
          </cell>
          <cell r="T488">
            <v>0.40149520365181424</v>
          </cell>
          <cell r="U488">
            <v>0.49588167086188761</v>
          </cell>
          <cell r="V488">
            <v>-1.3612786462502555</v>
          </cell>
          <cell r="W488">
            <v>-2.1768436111853262</v>
          </cell>
          <cell r="X488">
            <v>-3.9544253743706541</v>
          </cell>
          <cell r="Y488">
            <v>-4.6894595363504372</v>
          </cell>
          <cell r="Z488">
            <v>-0.44489289537978394</v>
          </cell>
          <cell r="AA488">
            <v>1.3158187053948218</v>
          </cell>
          <cell r="AB488">
            <v>0.44813688793368911</v>
          </cell>
          <cell r="AC488">
            <v>1.8767196667893806</v>
          </cell>
          <cell r="AD488">
            <v>2.3801732350600879</v>
          </cell>
          <cell r="AE488">
            <v>0.96857362611049069</v>
          </cell>
          <cell r="AF488">
            <v>1.2671846174182466</v>
          </cell>
          <cell r="AG488">
            <v>0.48838162511725614</v>
          </cell>
          <cell r="AH488">
            <v>0.81129816276263611</v>
          </cell>
          <cell r="AI488">
            <v>2.4025927670382465</v>
          </cell>
          <cell r="AJ488">
            <v>3.452346075053935</v>
          </cell>
          <cell r="AK488">
            <v>3.1547674190612796</v>
          </cell>
          <cell r="AL488">
            <v>2.1256515938123997</v>
          </cell>
          <cell r="AM488">
            <v>-0.67336891333544813</v>
          </cell>
          <cell r="AN488">
            <v>-0.72207821747605294</v>
          </cell>
          <cell r="AO488">
            <v>-1.228604756103362</v>
          </cell>
          <cell r="AP488">
            <v>-1.2894036552789885</v>
          </cell>
          <cell r="AQ488">
            <v>-0.43008387092416633</v>
          </cell>
          <cell r="AR488">
            <v>-0.26399747713178812</v>
          </cell>
          <cell r="AS488">
            <v>-0.15983425067778168</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G489">
            <v>479</v>
          </cell>
          <cell r="H489" t="str">
            <v>4 Month Target (Budget) % Var</v>
          </cell>
          <cell r="I489">
            <v>0</v>
          </cell>
          <cell r="J489">
            <v>0</v>
          </cell>
          <cell r="K489">
            <v>0</v>
          </cell>
          <cell r="L489">
            <v>-0.12047197742265014</v>
          </cell>
          <cell r="M489">
            <v>-7.0962354166838854E-2</v>
          </cell>
          <cell r="N489">
            <v>-2.234069677642634E-2</v>
          </cell>
          <cell r="O489">
            <v>-3.3718264026035692E-2</v>
          </cell>
          <cell r="P489">
            <v>5.3038041170291164E-2</v>
          </cell>
          <cell r="Q489">
            <v>6.333583719970122E-2</v>
          </cell>
          <cell r="R489">
            <v>5.8583658816359491E-2</v>
          </cell>
          <cell r="S489">
            <v>8.2388955472005698E-2</v>
          </cell>
          <cell r="T489">
            <v>3.1369529864221569E-2</v>
          </cell>
          <cell r="U489">
            <v>4.0801560170487625E-2</v>
          </cell>
          <cell r="V489">
            <v>-9.0416272842916728E-2</v>
          </cell>
          <cell r="W489">
            <v>-0.11463429822363609</v>
          </cell>
          <cell r="X489">
            <v>-0.17042951638965104</v>
          </cell>
          <cell r="Y489">
            <v>-0.20248204728919386</v>
          </cell>
          <cell r="Z489">
            <v>-2.2293304712802001E-2</v>
          </cell>
          <cell r="AA489">
            <v>7.3312276534835102E-2</v>
          </cell>
          <cell r="AB489">
            <v>2.5581066221786186E-2</v>
          </cell>
          <cell r="AC489">
            <v>0.10004387220732994</v>
          </cell>
          <cell r="AD489">
            <v>0.13848409124600231</v>
          </cell>
          <cell r="AE489">
            <v>6.1213684591373933E-2</v>
          </cell>
          <cell r="AF489">
            <v>8.6851849829566216E-2</v>
          </cell>
          <cell r="AG489">
            <v>3.5594583809086817E-2</v>
          </cell>
          <cell r="AH489">
            <v>5.6890974644019779E-2</v>
          </cell>
          <cell r="AI489">
            <v>0.14316555077627005</v>
          </cell>
          <cell r="AJ489">
            <v>0.16896835547409392</v>
          </cell>
          <cell r="AK489">
            <v>0.16214303319508402</v>
          </cell>
          <cell r="AL489">
            <v>0.10979937595129448</v>
          </cell>
          <cell r="AM489">
            <v>-3.0365559889735754E-2</v>
          </cell>
          <cell r="AN489">
            <v>-3.7536117105851433E-2</v>
          </cell>
          <cell r="AO489">
            <v>-5.8527560398875439E-2</v>
          </cell>
          <cell r="AP489">
            <v>-6.2146197559376747E-2</v>
          </cell>
          <cell r="AQ489">
            <v>-3.5650504834929257E-2</v>
          </cell>
          <cell r="AR489">
            <v>-3.2854853939316121E-2</v>
          </cell>
          <cell r="AS489">
            <v>-4.6323266900102737E-2</v>
          </cell>
          <cell r="AT489" t="e">
            <v>#DIV/0!</v>
          </cell>
          <cell r="AU489" t="e">
            <v>#DIV/0!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G490">
            <v>480</v>
          </cell>
          <cell r="H490" t="str">
            <v>Actual</v>
          </cell>
          <cell r="I490">
            <v>0</v>
          </cell>
          <cell r="J490">
            <v>0</v>
          </cell>
          <cell r="K490">
            <v>0</v>
          </cell>
          <cell r="L490">
            <v>20599</v>
          </cell>
          <cell r="M490">
            <v>57466</v>
          </cell>
          <cell r="N490">
            <v>57466</v>
          </cell>
          <cell r="O490">
            <v>57466</v>
          </cell>
          <cell r="P490">
            <v>57466</v>
          </cell>
          <cell r="Q490">
            <v>57466</v>
          </cell>
          <cell r="R490">
            <v>55354</v>
          </cell>
          <cell r="S490">
            <v>55354</v>
          </cell>
          <cell r="T490">
            <v>55354</v>
          </cell>
          <cell r="U490">
            <v>55354</v>
          </cell>
          <cell r="V490">
            <v>55354</v>
          </cell>
          <cell r="W490">
            <v>20829</v>
          </cell>
          <cell r="X490">
            <v>20829</v>
          </cell>
          <cell r="Y490">
            <v>58322</v>
          </cell>
          <cell r="Z490">
            <v>58322</v>
          </cell>
          <cell r="AA490">
            <v>58322</v>
          </cell>
          <cell r="AB490">
            <v>58322</v>
          </cell>
          <cell r="AC490">
            <v>58322</v>
          </cell>
          <cell r="AD490">
            <v>56135</v>
          </cell>
          <cell r="AE490">
            <v>56135</v>
          </cell>
          <cell r="AF490">
            <v>56135</v>
          </cell>
          <cell r="AG490">
            <v>56135</v>
          </cell>
          <cell r="AH490">
            <v>56135</v>
          </cell>
          <cell r="AI490">
            <v>20417</v>
          </cell>
          <cell r="AJ490">
            <v>20417</v>
          </cell>
          <cell r="AK490">
            <v>58663</v>
          </cell>
          <cell r="AL490">
            <v>58663</v>
          </cell>
          <cell r="AM490">
            <v>58663</v>
          </cell>
          <cell r="AN490">
            <v>58663</v>
          </cell>
          <cell r="AO490">
            <v>58663</v>
          </cell>
          <cell r="AP490">
            <v>56475</v>
          </cell>
          <cell r="AQ490">
            <v>56475</v>
          </cell>
          <cell r="AR490">
            <v>56475</v>
          </cell>
          <cell r="AS490">
            <v>56475</v>
          </cell>
          <cell r="AT490">
            <v>56475</v>
          </cell>
          <cell r="AU490">
            <v>56475</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G491">
            <v>481</v>
          </cell>
          <cell r="H491" t="str">
            <v>Target (Budget)</v>
          </cell>
          <cell r="I491">
            <v>0</v>
          </cell>
          <cell r="J491">
            <v>0</v>
          </cell>
          <cell r="K491">
            <v>0</v>
          </cell>
          <cell r="L491">
            <v>20599</v>
          </cell>
          <cell r="M491">
            <v>57466</v>
          </cell>
          <cell r="N491">
            <v>57466</v>
          </cell>
          <cell r="O491">
            <v>57466</v>
          </cell>
          <cell r="P491">
            <v>57466</v>
          </cell>
          <cell r="Q491">
            <v>57466</v>
          </cell>
          <cell r="R491">
            <v>56250</v>
          </cell>
          <cell r="S491">
            <v>56250</v>
          </cell>
          <cell r="T491">
            <v>56250</v>
          </cell>
          <cell r="U491">
            <v>56250</v>
          </cell>
          <cell r="V491">
            <v>20393.009999999998</v>
          </cell>
          <cell r="W491">
            <v>20393.009999999998</v>
          </cell>
          <cell r="X491">
            <v>20829</v>
          </cell>
          <cell r="Y491">
            <v>57379</v>
          </cell>
          <cell r="Z491">
            <v>57379</v>
          </cell>
          <cell r="AA491">
            <v>57379</v>
          </cell>
          <cell r="AB491">
            <v>57379</v>
          </cell>
          <cell r="AC491">
            <v>57379</v>
          </cell>
          <cell r="AD491">
            <v>55187</v>
          </cell>
          <cell r="AE491">
            <v>55187</v>
          </cell>
          <cell r="AF491">
            <v>55187</v>
          </cell>
          <cell r="AG491">
            <v>55187</v>
          </cell>
          <cell r="AH491">
            <v>55187</v>
          </cell>
          <cell r="AI491">
            <v>20829</v>
          </cell>
          <cell r="AJ491">
            <v>20829</v>
          </cell>
          <cell r="AK491">
            <v>58169</v>
          </cell>
          <cell r="AL491">
            <v>58169</v>
          </cell>
          <cell r="AM491">
            <v>58169</v>
          </cell>
          <cell r="AN491">
            <v>58169</v>
          </cell>
          <cell r="AO491">
            <v>55893</v>
          </cell>
          <cell r="AP491">
            <v>56135</v>
          </cell>
          <cell r="AQ491">
            <v>56135</v>
          </cell>
          <cell r="AR491">
            <v>56135</v>
          </cell>
          <cell r="AS491">
            <v>56135</v>
          </cell>
          <cell r="AT491">
            <v>56135</v>
          </cell>
          <cell r="AU491">
            <v>56135</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G492">
            <v>482</v>
          </cell>
          <cell r="H492" t="str">
            <v>Target (Budget) Variance</v>
          </cell>
          <cell r="I492">
            <v>0</v>
          </cell>
          <cell r="J492">
            <v>0</v>
          </cell>
          <cell r="K492">
            <v>0</v>
          </cell>
          <cell r="L492">
            <v>0</v>
          </cell>
          <cell r="M492">
            <v>0</v>
          </cell>
          <cell r="N492">
            <v>0</v>
          </cell>
          <cell r="O492">
            <v>0</v>
          </cell>
          <cell r="P492">
            <v>0</v>
          </cell>
          <cell r="Q492">
            <v>0</v>
          </cell>
          <cell r="R492">
            <v>-896</v>
          </cell>
          <cell r="S492">
            <v>-896</v>
          </cell>
          <cell r="T492">
            <v>-896</v>
          </cell>
          <cell r="U492">
            <v>-896</v>
          </cell>
          <cell r="V492">
            <v>34960.990000000005</v>
          </cell>
          <cell r="W492">
            <v>435.9900000000016</v>
          </cell>
          <cell r="X492">
            <v>0</v>
          </cell>
          <cell r="Y492">
            <v>943</v>
          </cell>
          <cell r="Z492">
            <v>943</v>
          </cell>
          <cell r="AA492">
            <v>943</v>
          </cell>
          <cell r="AB492">
            <v>943</v>
          </cell>
          <cell r="AC492">
            <v>943</v>
          </cell>
          <cell r="AD492">
            <v>948</v>
          </cell>
          <cell r="AE492">
            <v>948</v>
          </cell>
          <cell r="AF492">
            <v>948</v>
          </cell>
          <cell r="AG492">
            <v>948</v>
          </cell>
          <cell r="AH492">
            <v>948</v>
          </cell>
          <cell r="AI492">
            <v>-412</v>
          </cell>
          <cell r="AJ492">
            <v>-412</v>
          </cell>
          <cell r="AK492">
            <v>494</v>
          </cell>
          <cell r="AL492">
            <v>494</v>
          </cell>
          <cell r="AM492">
            <v>494</v>
          </cell>
          <cell r="AN492">
            <v>494</v>
          </cell>
          <cell r="AO492">
            <v>2770</v>
          </cell>
          <cell r="AP492">
            <v>340</v>
          </cell>
          <cell r="AQ492">
            <v>340</v>
          </cell>
          <cell r="AR492">
            <v>340</v>
          </cell>
          <cell r="AS492">
            <v>340</v>
          </cell>
          <cell r="AT492">
            <v>340</v>
          </cell>
          <cell r="AU492">
            <v>340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G493">
            <v>483</v>
          </cell>
          <cell r="H493" t="str">
            <v>Target (Budget) %Var</v>
          </cell>
          <cell r="I493">
            <v>0</v>
          </cell>
          <cell r="J493">
            <v>0</v>
          </cell>
          <cell r="K493">
            <v>0</v>
          </cell>
          <cell r="L493">
            <v>0</v>
          </cell>
          <cell r="M493">
            <v>0</v>
          </cell>
          <cell r="N493">
            <v>0</v>
          </cell>
          <cell r="O493">
            <v>0</v>
          </cell>
          <cell r="P493">
            <v>0</v>
          </cell>
          <cell r="Q493">
            <v>0</v>
          </cell>
          <cell r="R493">
            <v>-1.5928888888888888E-2</v>
          </cell>
          <cell r="S493">
            <v>-1.5928888888888888E-2</v>
          </cell>
          <cell r="T493">
            <v>-1.5928888888888888E-2</v>
          </cell>
          <cell r="U493">
            <v>-1.5928888888888888E-2</v>
          </cell>
          <cell r="V493">
            <v>1.7143614405131959</v>
          </cell>
          <cell r="W493">
            <v>2.1379384406715912E-2</v>
          </cell>
          <cell r="X493">
            <v>0</v>
          </cell>
          <cell r="Y493">
            <v>1.6434584081284093E-2</v>
          </cell>
          <cell r="Z493">
            <v>1.6434584081284093E-2</v>
          </cell>
          <cell r="AA493">
            <v>1.6434584081284093E-2</v>
          </cell>
          <cell r="AB493">
            <v>1.6434584081284093E-2</v>
          </cell>
          <cell r="AC493">
            <v>1.6434584081284093E-2</v>
          </cell>
          <cell r="AD493">
            <v>1.7177958577201152E-2</v>
          </cell>
          <cell r="AE493">
            <v>1.7177958577201152E-2</v>
          </cell>
          <cell r="AF493">
            <v>1.7177958577201152E-2</v>
          </cell>
          <cell r="AG493">
            <v>1.7177958577201152E-2</v>
          </cell>
          <cell r="AH493">
            <v>1.7177958577201152E-2</v>
          </cell>
          <cell r="AI493">
            <v>-1.9780114263766864E-2</v>
          </cell>
          <cell r="AJ493">
            <v>-1.9780114263766864E-2</v>
          </cell>
          <cell r="AK493">
            <v>8.4924960030256669E-3</v>
          </cell>
          <cell r="AL493">
            <v>8.4924960030256669E-3</v>
          </cell>
          <cell r="AM493">
            <v>8.4924960030256669E-3</v>
          </cell>
          <cell r="AN493">
            <v>8.4924960030256669E-3</v>
          </cell>
          <cell r="AO493">
            <v>4.9558978762993575E-2</v>
          </cell>
          <cell r="AP493">
            <v>6.0568272913512069E-3</v>
          </cell>
          <cell r="AQ493">
            <v>6.0568272913512069E-3</v>
          </cell>
          <cell r="AR493">
            <v>6.0568272913512069E-3</v>
          </cell>
          <cell r="AS493">
            <v>6.0568272913512069E-3</v>
          </cell>
          <cell r="AT493">
            <v>6.0568272913512069E-3</v>
          </cell>
          <cell r="AU493">
            <v>6.0568272913512069E-3</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G494">
            <v>484</v>
          </cell>
          <cell r="H494" t="str">
            <v>YTD Actual (Average)</v>
          </cell>
          <cell r="I494">
            <v>0</v>
          </cell>
          <cell r="J494">
            <v>0</v>
          </cell>
          <cell r="K494">
            <v>0</v>
          </cell>
          <cell r="L494">
            <v>20599</v>
          </cell>
          <cell r="M494">
            <v>39032.5</v>
          </cell>
          <cell r="N494">
            <v>45177</v>
          </cell>
          <cell r="O494">
            <v>48249.25</v>
          </cell>
          <cell r="P494">
            <v>50092.6</v>
          </cell>
          <cell r="Q494">
            <v>51321.5</v>
          </cell>
          <cell r="R494">
            <v>51897.571428571428</v>
          </cell>
          <cell r="S494">
            <v>52329.625</v>
          </cell>
          <cell r="T494">
            <v>52665.666666666664</v>
          </cell>
          <cell r="U494">
            <v>52934.5</v>
          </cell>
          <cell r="V494">
            <v>53154.454545454544</v>
          </cell>
          <cell r="W494">
            <v>50460.666666666664</v>
          </cell>
          <cell r="X494">
            <v>20829</v>
          </cell>
          <cell r="Y494">
            <v>39575.5</v>
          </cell>
          <cell r="Z494">
            <v>45824.333333333336</v>
          </cell>
          <cell r="AA494">
            <v>48948.75</v>
          </cell>
          <cell r="AB494">
            <v>50823.4</v>
          </cell>
          <cell r="AC494">
            <v>52073.166666666664</v>
          </cell>
          <cell r="AD494">
            <v>52653.428571428572</v>
          </cell>
          <cell r="AE494">
            <v>53088.625</v>
          </cell>
          <cell r="AF494">
            <v>53427.111111111109</v>
          </cell>
          <cell r="AG494">
            <v>53697.9</v>
          </cell>
          <cell r="AH494">
            <v>53919.454545454544</v>
          </cell>
          <cell r="AI494">
            <v>51127.583333333336</v>
          </cell>
          <cell r="AJ494">
            <v>20417</v>
          </cell>
          <cell r="AK494">
            <v>39540</v>
          </cell>
          <cell r="AL494">
            <v>45914.333333333336</v>
          </cell>
          <cell r="AM494">
            <v>49101.5</v>
          </cell>
          <cell r="AN494">
            <v>51013.8</v>
          </cell>
          <cell r="AO494">
            <v>52288.666666666664</v>
          </cell>
          <cell r="AP494">
            <v>52886.714285714283</v>
          </cell>
          <cell r="AQ494">
            <v>53335.25</v>
          </cell>
          <cell r="AR494">
            <v>53684.111111111109</v>
          </cell>
          <cell r="AS494">
            <v>53963.199999999997</v>
          </cell>
          <cell r="AT494">
            <v>54191.545454545456</v>
          </cell>
          <cell r="AU494">
            <v>54381.833333333336</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G495">
            <v>485</v>
          </cell>
          <cell r="H495" t="str">
            <v>YTD Target (Budget) (Average)</v>
          </cell>
          <cell r="I495">
            <v>0</v>
          </cell>
          <cell r="J495">
            <v>0</v>
          </cell>
          <cell r="K495">
            <v>0</v>
          </cell>
          <cell r="L495">
            <v>20599</v>
          </cell>
          <cell r="M495">
            <v>39032.5</v>
          </cell>
          <cell r="N495">
            <v>45177</v>
          </cell>
          <cell r="O495">
            <v>48249.25</v>
          </cell>
          <cell r="P495">
            <v>50092.6</v>
          </cell>
          <cell r="Q495">
            <v>51321.5</v>
          </cell>
          <cell r="R495">
            <v>52025.571428571428</v>
          </cell>
          <cell r="S495">
            <v>52553.625</v>
          </cell>
          <cell r="T495">
            <v>52964.333333333336</v>
          </cell>
          <cell r="U495">
            <v>53292.9</v>
          </cell>
          <cell r="V495">
            <v>50302.000909090908</v>
          </cell>
          <cell r="W495">
            <v>47809.584999999999</v>
          </cell>
          <cell r="X495">
            <v>20829</v>
          </cell>
          <cell r="Y495">
            <v>39104</v>
          </cell>
          <cell r="Z495">
            <v>45195.666666666664</v>
          </cell>
          <cell r="AA495">
            <v>48241.5</v>
          </cell>
          <cell r="AB495">
            <v>50069</v>
          </cell>
          <cell r="AC495">
            <v>51287.333333333336</v>
          </cell>
          <cell r="AD495">
            <v>51844.428571428572</v>
          </cell>
          <cell r="AE495">
            <v>52262.25</v>
          </cell>
          <cell r="AF495">
            <v>52587.222222222219</v>
          </cell>
          <cell r="AG495">
            <v>52847.199999999997</v>
          </cell>
          <cell r="AH495">
            <v>53059.909090909088</v>
          </cell>
          <cell r="AI495">
            <v>50374</v>
          </cell>
          <cell r="AJ495">
            <v>20829</v>
          </cell>
          <cell r="AK495">
            <v>39499</v>
          </cell>
          <cell r="AL495">
            <v>45722.333333333336</v>
          </cell>
          <cell r="AM495">
            <v>48834</v>
          </cell>
          <cell r="AN495">
            <v>50701</v>
          </cell>
          <cell r="AO495">
            <v>51566.333333333336</v>
          </cell>
          <cell r="AP495">
            <v>52219</v>
          </cell>
          <cell r="AQ495">
            <v>52708.5</v>
          </cell>
          <cell r="AR495">
            <v>53089.222222222219</v>
          </cell>
          <cell r="AS495">
            <v>53393.8</v>
          </cell>
          <cell r="AT495">
            <v>53643</v>
          </cell>
          <cell r="AU495">
            <v>53850.666666666664</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G496">
            <v>486</v>
          </cell>
          <cell r="H496" t="str">
            <v>YTD Target (Budget) Var</v>
          </cell>
          <cell r="I496">
            <v>0</v>
          </cell>
          <cell r="J496">
            <v>0</v>
          </cell>
          <cell r="K496">
            <v>0</v>
          </cell>
          <cell r="L496">
            <v>0</v>
          </cell>
          <cell r="M496">
            <v>0</v>
          </cell>
          <cell r="N496">
            <v>0</v>
          </cell>
          <cell r="O496">
            <v>0</v>
          </cell>
          <cell r="P496">
            <v>0</v>
          </cell>
          <cell r="Q496">
            <v>0</v>
          </cell>
          <cell r="R496">
            <v>-128</v>
          </cell>
          <cell r="S496">
            <v>-224</v>
          </cell>
          <cell r="T496">
            <v>-298.66666666667152</v>
          </cell>
          <cell r="U496">
            <v>-358.40000000000146</v>
          </cell>
          <cell r="V496">
            <v>2852.4536363636362</v>
          </cell>
          <cell r="W496">
            <v>2651.0816666666651</v>
          </cell>
          <cell r="X496">
            <v>0</v>
          </cell>
          <cell r="Y496">
            <v>471.5</v>
          </cell>
          <cell r="Z496">
            <v>628.66666666667152</v>
          </cell>
          <cell r="AA496">
            <v>707.25</v>
          </cell>
          <cell r="AB496">
            <v>754.40000000000146</v>
          </cell>
          <cell r="AC496">
            <v>785.83333333332848</v>
          </cell>
          <cell r="AD496">
            <v>809</v>
          </cell>
          <cell r="AE496">
            <v>826.375</v>
          </cell>
          <cell r="AF496">
            <v>839.88888888889051</v>
          </cell>
          <cell r="AG496">
            <v>850.70000000000437</v>
          </cell>
          <cell r="AH496">
            <v>859.54545454545587</v>
          </cell>
          <cell r="AI496">
            <v>753.58333333333576</v>
          </cell>
          <cell r="AJ496">
            <v>-412</v>
          </cell>
          <cell r="AK496">
            <v>41</v>
          </cell>
          <cell r="AL496">
            <v>192</v>
          </cell>
          <cell r="AM496">
            <v>267.5</v>
          </cell>
          <cell r="AN496">
            <v>312.80000000000291</v>
          </cell>
          <cell r="AO496">
            <v>722.33333333332848</v>
          </cell>
          <cell r="AP496">
            <v>667.7142857142826</v>
          </cell>
          <cell r="AQ496">
            <v>626.75</v>
          </cell>
          <cell r="AR496">
            <v>594.88888888889051</v>
          </cell>
          <cell r="AS496">
            <v>569.39999999999418</v>
          </cell>
          <cell r="AT496">
            <v>548.54545454545587</v>
          </cell>
          <cell r="AU496">
            <v>531.16666666667152</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G497">
            <v>487</v>
          </cell>
          <cell r="H497" t="str">
            <v>YTD %Var</v>
          </cell>
          <cell r="I497">
            <v>0</v>
          </cell>
          <cell r="J497">
            <v>0</v>
          </cell>
          <cell r="K497">
            <v>0</v>
          </cell>
          <cell r="L497">
            <v>0</v>
          </cell>
          <cell r="M497">
            <v>0</v>
          </cell>
          <cell r="N497">
            <v>0</v>
          </cell>
          <cell r="O497">
            <v>0</v>
          </cell>
          <cell r="P497">
            <v>0</v>
          </cell>
          <cell r="Q497">
            <v>0</v>
          </cell>
          <cell r="R497">
            <v>-2.4603285746844271E-3</v>
          </cell>
          <cell r="S497">
            <v>-4.2623130183693323E-3</v>
          </cell>
          <cell r="T497">
            <v>-5.6390149345787073E-3</v>
          </cell>
          <cell r="U497">
            <v>-6.7250984652740126E-3</v>
          </cell>
          <cell r="V497">
            <v>5.6706564049385996E-2</v>
          </cell>
          <cell r="W497">
            <v>5.5450840384133539E-2</v>
          </cell>
          <cell r="X497">
            <v>0</v>
          </cell>
          <cell r="Y497">
            <v>1.2057590016366613E-2</v>
          </cell>
          <cell r="Z497">
            <v>1.3909888116117436E-2</v>
          </cell>
          <cell r="AA497">
            <v>1.4660613786884736E-2</v>
          </cell>
          <cell r="AB497">
            <v>1.5067207253989523E-2</v>
          </cell>
          <cell r="AC497">
            <v>1.5322171816302825E-2</v>
          </cell>
          <cell r="AD497">
            <v>1.5604376830683005E-2</v>
          </cell>
          <cell r="AE497">
            <v>1.5812082334763621E-2</v>
          </cell>
          <cell r="AF497">
            <v>1.5971349187064908E-2</v>
          </cell>
          <cell r="AG497">
            <v>1.6097352366823681E-2</v>
          </cell>
          <cell r="AH497">
            <v>1.6199527463810232E-2</v>
          </cell>
          <cell r="AI497">
            <v>1.4959767604981454E-2</v>
          </cell>
          <cell r="AJ497">
            <v>-1.9780114263766864E-2</v>
          </cell>
          <cell r="AK497">
            <v>1.0380009620496722E-3</v>
          </cell>
          <cell r="AL497">
            <v>4.1992607551378973E-3</v>
          </cell>
          <cell r="AM497">
            <v>5.4777409182127203E-3</v>
          </cell>
          <cell r="AN497">
            <v>6.1695035600876297E-3</v>
          </cell>
          <cell r="AO497">
            <v>1.4007847497398078E-2</v>
          </cell>
          <cell r="AP497">
            <v>1.2786807210292855E-2</v>
          </cell>
          <cell r="AQ497">
            <v>1.1890871491315442E-2</v>
          </cell>
          <cell r="AR497">
            <v>1.1205454967842426E-2</v>
          </cell>
          <cell r="AS497">
            <v>1.0664159509156385E-2</v>
          </cell>
          <cell r="AT497">
            <v>1.0225853411357603E-2</v>
          </cell>
          <cell r="AU497">
            <v>9.8636971377637824E-3</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G498">
            <v>488</v>
          </cell>
          <cell r="H498" t="str">
            <v>4 Month Actual</v>
          </cell>
          <cell r="I498">
            <v>0</v>
          </cell>
          <cell r="J498">
            <v>0</v>
          </cell>
          <cell r="K498">
            <v>0</v>
          </cell>
          <cell r="L498">
            <v>20599</v>
          </cell>
          <cell r="M498">
            <v>39032.5</v>
          </cell>
          <cell r="N498">
            <v>45177</v>
          </cell>
          <cell r="O498">
            <v>48249.25</v>
          </cell>
          <cell r="P498">
            <v>57466</v>
          </cell>
          <cell r="Q498">
            <v>57466</v>
          </cell>
          <cell r="R498">
            <v>56938</v>
          </cell>
          <cell r="S498">
            <v>56410</v>
          </cell>
          <cell r="T498">
            <v>55882</v>
          </cell>
          <cell r="U498">
            <v>55354</v>
          </cell>
          <cell r="V498">
            <v>55354</v>
          </cell>
          <cell r="W498">
            <v>46722.75</v>
          </cell>
          <cell r="X498">
            <v>38091.5</v>
          </cell>
          <cell r="Y498">
            <v>38833.5</v>
          </cell>
          <cell r="Z498">
            <v>39575.5</v>
          </cell>
          <cell r="AA498">
            <v>48948.75</v>
          </cell>
          <cell r="AB498">
            <v>58322</v>
          </cell>
          <cell r="AC498">
            <v>58322</v>
          </cell>
          <cell r="AD498">
            <v>57775.25</v>
          </cell>
          <cell r="AE498">
            <v>57228.5</v>
          </cell>
          <cell r="AF498">
            <v>56681.75</v>
          </cell>
          <cell r="AG498">
            <v>56135</v>
          </cell>
          <cell r="AH498">
            <v>56135</v>
          </cell>
          <cell r="AI498">
            <v>47205.5</v>
          </cell>
          <cell r="AJ498">
            <v>38276</v>
          </cell>
          <cell r="AK498">
            <v>38908</v>
          </cell>
          <cell r="AL498">
            <v>39540</v>
          </cell>
          <cell r="AM498">
            <v>49101.5</v>
          </cell>
          <cell r="AN498">
            <v>58663</v>
          </cell>
          <cell r="AO498">
            <v>58663</v>
          </cell>
          <cell r="AP498">
            <v>58116</v>
          </cell>
          <cell r="AQ498">
            <v>57569</v>
          </cell>
          <cell r="AR498">
            <v>57022</v>
          </cell>
          <cell r="AS498">
            <v>56475</v>
          </cell>
          <cell r="AT498">
            <v>56475</v>
          </cell>
          <cell r="AU498">
            <v>56475</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G499">
            <v>489</v>
          </cell>
          <cell r="H499" t="str">
            <v>4 Month Target (Budget)</v>
          </cell>
          <cell r="I499">
            <v>0</v>
          </cell>
          <cell r="J499">
            <v>0</v>
          </cell>
          <cell r="K499">
            <v>0</v>
          </cell>
          <cell r="L499">
            <v>20599</v>
          </cell>
          <cell r="M499">
            <v>39032.5</v>
          </cell>
          <cell r="N499">
            <v>45177</v>
          </cell>
          <cell r="O499">
            <v>48249.25</v>
          </cell>
          <cell r="P499">
            <v>57466</v>
          </cell>
          <cell r="Q499">
            <v>57466</v>
          </cell>
          <cell r="R499">
            <v>57162</v>
          </cell>
          <cell r="S499">
            <v>56858</v>
          </cell>
          <cell r="T499">
            <v>56554</v>
          </cell>
          <cell r="U499">
            <v>56250</v>
          </cell>
          <cell r="V499">
            <v>47285.752500000002</v>
          </cell>
          <cell r="W499">
            <v>38321.505000000005</v>
          </cell>
          <cell r="X499">
            <v>29466.254999999997</v>
          </cell>
          <cell r="Y499">
            <v>29748.504999999997</v>
          </cell>
          <cell r="Z499">
            <v>38995.002500000002</v>
          </cell>
          <cell r="AA499">
            <v>48241.5</v>
          </cell>
          <cell r="AB499">
            <v>57379</v>
          </cell>
          <cell r="AC499">
            <v>57379</v>
          </cell>
          <cell r="AD499">
            <v>56831</v>
          </cell>
          <cell r="AE499">
            <v>56283</v>
          </cell>
          <cell r="AF499">
            <v>55735</v>
          </cell>
          <cell r="AG499">
            <v>55187</v>
          </cell>
          <cell r="AH499">
            <v>55187</v>
          </cell>
          <cell r="AI499">
            <v>46597.5</v>
          </cell>
          <cell r="AJ499">
            <v>38008</v>
          </cell>
          <cell r="AK499">
            <v>38753.5</v>
          </cell>
          <cell r="AL499">
            <v>39499</v>
          </cell>
          <cell r="AM499">
            <v>48834</v>
          </cell>
          <cell r="AN499">
            <v>58169</v>
          </cell>
          <cell r="AO499">
            <v>57600</v>
          </cell>
          <cell r="AP499">
            <v>57091.5</v>
          </cell>
          <cell r="AQ499">
            <v>56583</v>
          </cell>
          <cell r="AR499">
            <v>56074.5</v>
          </cell>
          <cell r="AS499">
            <v>56135</v>
          </cell>
          <cell r="AT499">
            <v>56135</v>
          </cell>
          <cell r="AU499">
            <v>56135</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G500">
            <v>490</v>
          </cell>
          <cell r="H500" t="str">
            <v>4 Month Target (Budget) Var</v>
          </cell>
          <cell r="I500">
            <v>0</v>
          </cell>
          <cell r="J500">
            <v>0</v>
          </cell>
          <cell r="K500">
            <v>0</v>
          </cell>
          <cell r="L500">
            <v>0</v>
          </cell>
          <cell r="M500">
            <v>0</v>
          </cell>
          <cell r="N500">
            <v>0</v>
          </cell>
          <cell r="O500">
            <v>0</v>
          </cell>
          <cell r="P500">
            <v>0</v>
          </cell>
          <cell r="Q500">
            <v>0</v>
          </cell>
          <cell r="R500">
            <v>-224</v>
          </cell>
          <cell r="S500">
            <v>-448</v>
          </cell>
          <cell r="T500">
            <v>-672</v>
          </cell>
          <cell r="U500">
            <v>-896</v>
          </cell>
          <cell r="V500">
            <v>8068.2474999999977</v>
          </cell>
          <cell r="W500">
            <v>8401.2449999999953</v>
          </cell>
          <cell r="X500">
            <v>8625.2450000000026</v>
          </cell>
          <cell r="Y500">
            <v>9084.9950000000026</v>
          </cell>
          <cell r="Z500">
            <v>580.49749999999767</v>
          </cell>
          <cell r="AA500">
            <v>707.25</v>
          </cell>
          <cell r="AB500">
            <v>943</v>
          </cell>
          <cell r="AC500">
            <v>943</v>
          </cell>
          <cell r="AD500">
            <v>944.25</v>
          </cell>
          <cell r="AE500">
            <v>945.5</v>
          </cell>
          <cell r="AF500">
            <v>946.75</v>
          </cell>
          <cell r="AG500">
            <v>948</v>
          </cell>
          <cell r="AH500">
            <v>948</v>
          </cell>
          <cell r="AI500">
            <v>608</v>
          </cell>
          <cell r="AJ500">
            <v>268</v>
          </cell>
          <cell r="AK500">
            <v>154.5</v>
          </cell>
          <cell r="AL500">
            <v>41</v>
          </cell>
          <cell r="AM500">
            <v>267.5</v>
          </cell>
          <cell r="AN500">
            <v>494</v>
          </cell>
          <cell r="AO500">
            <v>1063</v>
          </cell>
          <cell r="AP500">
            <v>1024.5</v>
          </cell>
          <cell r="AQ500">
            <v>986</v>
          </cell>
          <cell r="AR500">
            <v>947.5</v>
          </cell>
          <cell r="AS500">
            <v>340</v>
          </cell>
          <cell r="AT500">
            <v>340</v>
          </cell>
          <cell r="AU500">
            <v>340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G501">
            <v>491</v>
          </cell>
          <cell r="H501" t="str">
            <v>4 Month Target (Budget) % Var</v>
          </cell>
          <cell r="I501">
            <v>0</v>
          </cell>
          <cell r="J501">
            <v>0</v>
          </cell>
          <cell r="K501">
            <v>0</v>
          </cell>
          <cell r="L501">
            <v>0</v>
          </cell>
          <cell r="M501">
            <v>0</v>
          </cell>
          <cell r="N501">
            <v>0</v>
          </cell>
          <cell r="O501">
            <v>0</v>
          </cell>
          <cell r="P501">
            <v>0</v>
          </cell>
          <cell r="Q501">
            <v>0</v>
          </cell>
          <cell r="R501">
            <v>-3.9186872397746755E-3</v>
          </cell>
          <cell r="S501">
            <v>-7.8792782018361537E-3</v>
          </cell>
          <cell r="T501">
            <v>-1.1882448633164762E-2</v>
          </cell>
          <cell r="U501">
            <v>-1.5928888888888888E-2</v>
          </cell>
          <cell r="V501">
            <v>0.17062745274065369</v>
          </cell>
          <cell r="W501">
            <v>0.21923055996887372</v>
          </cell>
          <cell r="X501">
            <v>0.29271602380417883</v>
          </cell>
          <cell r="Y501">
            <v>0.30539332984968498</v>
          </cell>
          <cell r="Z501">
            <v>1.4886458848156188E-2</v>
          </cell>
          <cell r="AA501">
            <v>1.4660613786884736E-2</v>
          </cell>
          <cell r="AB501">
            <v>1.6434584081284093E-2</v>
          </cell>
          <cell r="AC501">
            <v>1.6434584081284093E-2</v>
          </cell>
          <cell r="AD501">
            <v>1.6615051644349035E-2</v>
          </cell>
          <cell r="AE501">
            <v>1.6799033455928078E-2</v>
          </cell>
          <cell r="AF501">
            <v>1.698663317484525E-2</v>
          </cell>
          <cell r="AG501">
            <v>1.7177958577201152E-2</v>
          </cell>
          <cell r="AH501">
            <v>1.7177958577201152E-2</v>
          </cell>
          <cell r="AI501">
            <v>1.3047910295616718E-2</v>
          </cell>
          <cell r="AJ501">
            <v>7.0511471269206483E-3</v>
          </cell>
          <cell r="AK501">
            <v>3.9867366818480913E-3</v>
          </cell>
          <cell r="AL501">
            <v>1.0380009620496722E-3</v>
          </cell>
          <cell r="AM501">
            <v>5.4777409182127203E-3</v>
          </cell>
          <cell r="AN501">
            <v>8.4924960030256669E-3</v>
          </cell>
          <cell r="AO501">
            <v>1.8454861111111109E-2</v>
          </cell>
          <cell r="AP501">
            <v>1.794487795906571E-2</v>
          </cell>
          <cell r="AQ501">
            <v>1.7425728575720622E-2</v>
          </cell>
          <cell r="AR501">
            <v>1.6897163594860407E-2</v>
          </cell>
          <cell r="AS501">
            <v>6.0568272913512069E-3</v>
          </cell>
          <cell r="AT501">
            <v>6.0568272913512069E-3</v>
          </cell>
          <cell r="AU501">
            <v>6.0568272913512069E-3</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G502">
            <v>492</v>
          </cell>
          <cell r="H502" t="str">
            <v>Actual</v>
          </cell>
          <cell r="I502">
            <v>0</v>
          </cell>
          <cell r="J502">
            <v>0</v>
          </cell>
          <cell r="K502">
            <v>0</v>
          </cell>
          <cell r="L502">
            <v>0</v>
          </cell>
          <cell r="M502">
            <v>1.2057590016366613E-2</v>
          </cell>
          <cell r="N502">
            <v>1.3909888116117436E-2</v>
          </cell>
          <cell r="O502">
            <v>1.4660613786884736E-2</v>
          </cell>
          <cell r="P502">
            <v>1.6434584081284093E-2</v>
          </cell>
          <cell r="Q502">
            <v>1.6434584081284093E-2</v>
          </cell>
          <cell r="R502">
            <v>1.6615051644349035E-2</v>
          </cell>
          <cell r="S502">
            <v>1.6799033455928078E-2</v>
          </cell>
          <cell r="T502">
            <v>1.698663317484525E-2</v>
          </cell>
          <cell r="U502">
            <v>1.7177958577201152E-2</v>
          </cell>
          <cell r="V502">
            <v>1.7177958577201152E-2</v>
          </cell>
          <cell r="W502">
            <v>1.3047910295616718E-2</v>
          </cell>
          <cell r="X502">
            <v>33334.060000000005</v>
          </cell>
          <cell r="Y502">
            <v>33662.130000000005</v>
          </cell>
          <cell r="Z502">
            <v>47474.81</v>
          </cell>
          <cell r="AA502">
            <v>39655.599999999999</v>
          </cell>
          <cell r="AB502">
            <v>44281.85</v>
          </cell>
          <cell r="AC502">
            <v>34756.959999999999</v>
          </cell>
          <cell r="AD502">
            <v>33353.5</v>
          </cell>
          <cell r="AE502">
            <v>29968.699999999997</v>
          </cell>
          <cell r="AF502">
            <v>37059.9</v>
          </cell>
          <cell r="AG502">
            <v>34806.899999999994</v>
          </cell>
          <cell r="AH502">
            <v>35456.400000000001</v>
          </cell>
          <cell r="AI502">
            <v>39403.200000000004</v>
          </cell>
          <cell r="AJ502">
            <v>31596.899999999994</v>
          </cell>
          <cell r="AK502">
            <v>35024.5</v>
          </cell>
          <cell r="AL502">
            <v>43517.900000000009</v>
          </cell>
          <cell r="AM502">
            <v>41061.399999999994</v>
          </cell>
          <cell r="AN502">
            <v>39420.500000000007</v>
          </cell>
          <cell r="AO502">
            <v>32664.199999999997</v>
          </cell>
          <cell r="AP502">
            <v>29200.5</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G503">
            <v>493</v>
          </cell>
          <cell r="H503" t="str">
            <v>Target (Budget)</v>
          </cell>
          <cell r="I503">
            <v>0</v>
          </cell>
          <cell r="J503">
            <v>0</v>
          </cell>
          <cell r="K503">
            <v>0</v>
          </cell>
          <cell r="L503">
            <v>33334.060000000005</v>
          </cell>
          <cell r="M503">
            <v>33662.130000000005</v>
          </cell>
          <cell r="N503">
            <v>47474.81</v>
          </cell>
          <cell r="O503">
            <v>39655.599999999999</v>
          </cell>
          <cell r="P503">
            <v>44281.85</v>
          </cell>
          <cell r="Q503">
            <v>34756.959999999999</v>
          </cell>
          <cell r="R503">
            <v>33353.5</v>
          </cell>
          <cell r="S503">
            <v>29968.699999999997</v>
          </cell>
          <cell r="T503">
            <v>37059.9</v>
          </cell>
          <cell r="U503">
            <v>34806.899999999994</v>
          </cell>
          <cell r="V503">
            <v>35456.400000000001</v>
          </cell>
          <cell r="W503">
            <v>39403.200000000004</v>
          </cell>
          <cell r="X503">
            <v>29843.242294269141</v>
          </cell>
          <cell r="Y503">
            <v>33193.018991132245</v>
          </cell>
          <cell r="Z503">
            <v>31285.000145769591</v>
          </cell>
          <cell r="AA503">
            <v>34060.859278126249</v>
          </cell>
          <cell r="AB503">
            <v>30266.876195418401</v>
          </cell>
          <cell r="AC503">
            <v>28863.842050530053</v>
          </cell>
          <cell r="AD503">
            <v>31663.119790668927</v>
          </cell>
          <cell r="AE503">
            <v>29099.122583441091</v>
          </cell>
          <cell r="AF503">
            <v>31442.3123135145</v>
          </cell>
          <cell r="AG503">
            <v>31747.395583601501</v>
          </cell>
          <cell r="AH503">
            <v>30253.862885551207</v>
          </cell>
          <cell r="AI503">
            <v>30252.344315290964</v>
          </cell>
          <cell r="AJ503">
            <v>27979.1</v>
          </cell>
          <cell r="AK503">
            <v>28254.400000000001</v>
          </cell>
          <cell r="AL503">
            <v>39177.165739690274</v>
          </cell>
          <cell r="AM503">
            <v>32724.596764196878</v>
          </cell>
          <cell r="AN503">
            <v>36542.271084604734</v>
          </cell>
          <cell r="AO503">
            <v>28682.140750595638</v>
          </cell>
          <cell r="AP503">
            <v>27523.977399778105</v>
          </cell>
          <cell r="AQ503">
            <v>24730.772527642675</v>
          </cell>
          <cell r="AR503">
            <v>30582.573044449204</v>
          </cell>
          <cell r="AS503">
            <v>28723.35224058454</v>
          </cell>
          <cell r="AT503">
            <v>29259.332672058175</v>
          </cell>
          <cell r="AU503">
            <v>32516.311220079955</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G504">
            <v>494</v>
          </cell>
          <cell r="H504" t="str">
            <v>Target (Budget) Variance</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3490.817705730864</v>
          </cell>
          <cell r="Y504">
            <v>469.11100886775967</v>
          </cell>
          <cell r="Z504">
            <v>16189.809854230407</v>
          </cell>
          <cell r="AA504">
            <v>5594.7407218737499</v>
          </cell>
          <cell r="AB504">
            <v>14014.973804581598</v>
          </cell>
          <cell r="AC504">
            <v>5893.1179494699463</v>
          </cell>
          <cell r="AD504">
            <v>1690.3802093310733</v>
          </cell>
          <cell r="AE504">
            <v>869.57741655890641</v>
          </cell>
          <cell r="AF504">
            <v>5617.5876864855018</v>
          </cell>
          <cell r="AG504">
            <v>3059.504416398493</v>
          </cell>
          <cell r="AH504">
            <v>5202.5371144487945</v>
          </cell>
          <cell r="AI504">
            <v>9150.8556847090404</v>
          </cell>
          <cell r="AJ504">
            <v>3617.7999999999956</v>
          </cell>
          <cell r="AK504">
            <v>6770.0999999999985</v>
          </cell>
          <cell r="AL504">
            <v>4340.734260309735</v>
          </cell>
          <cell r="AM504">
            <v>8336.803235803116</v>
          </cell>
          <cell r="AN504">
            <v>2878.2289153952734</v>
          </cell>
          <cell r="AO504">
            <v>3982.0592494043594</v>
          </cell>
          <cell r="AP504">
            <v>1676.5226002218951</v>
          </cell>
          <cell r="AQ504">
            <v>-24730.772527642675</v>
          </cell>
          <cell r="AR504">
            <v>-30582.573044449204</v>
          </cell>
          <cell r="AS504">
            <v>-28723.35224058454</v>
          </cell>
          <cell r="AT504">
            <v>-29259.332672058175</v>
          </cell>
          <cell r="AU504">
            <v>-32516.311220079955</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G505">
            <v>495</v>
          </cell>
          <cell r="H505" t="str">
            <v>Target (Budget) %Var</v>
          </cell>
          <cell r="I505">
            <v>0</v>
          </cell>
          <cell r="J505">
            <v>0</v>
          </cell>
          <cell r="K505">
            <v>0</v>
          </cell>
          <cell r="L505" t="e">
            <v>#DIV/0!</v>
          </cell>
          <cell r="M505" t="e">
            <v>#DIV/0!</v>
          </cell>
          <cell r="N505" t="e">
            <v>#DIV/0!</v>
          </cell>
          <cell r="O505" t="e">
            <v>#DIV/0!</v>
          </cell>
          <cell r="P505" t="e">
            <v>#DIV/0!</v>
          </cell>
          <cell r="Q505" t="e">
            <v>#DIV/0!</v>
          </cell>
          <cell r="R505" t="e">
            <v>#DIV/0!</v>
          </cell>
          <cell r="S505" t="e">
            <v>#DIV/0!</v>
          </cell>
          <cell r="T505" t="e">
            <v>#DIV/0!</v>
          </cell>
          <cell r="U505" t="e">
            <v>#DIV/0!</v>
          </cell>
          <cell r="V505" t="e">
            <v>#DIV/0!</v>
          </cell>
          <cell r="W505" t="e">
            <v>#DIV/0!</v>
          </cell>
          <cell r="X505">
            <v>0.11697179788005853</v>
          </cell>
          <cell r="Y505">
            <v>1.413282139214532E-2</v>
          </cell>
          <cell r="Z505">
            <v>0.51749431928385714</v>
          </cell>
          <cell r="AA505">
            <v>0.16425718083591245</v>
          </cell>
          <cell r="AB505">
            <v>0.4630465897469489</v>
          </cell>
          <cell r="AC505">
            <v>0.20416956062721128</v>
          </cell>
          <cell r="AD505">
            <v>5.3386407293611847E-2</v>
          </cell>
          <cell r="AE505">
            <v>2.9883286482793849E-2</v>
          </cell>
          <cell r="AF505">
            <v>0.17866331300548008</v>
          </cell>
          <cell r="AG505">
            <v>9.6370248965518934E-2</v>
          </cell>
          <cell r="AH505">
            <v>0.17196273858084576</v>
          </cell>
          <cell r="AI505">
            <v>0.30248418401359284</v>
          </cell>
          <cell r="AJ505">
            <v>0.12930365880246311</v>
          </cell>
          <cell r="AK505">
            <v>0.23961223738603538</v>
          </cell>
          <cell r="AL505">
            <v>0.11079755715743748</v>
          </cell>
          <cell r="AM505">
            <v>0.25475648472845946</v>
          </cell>
          <cell r="AN505">
            <v>7.8764368769840137E-2</v>
          </cell>
          <cell r="AO505">
            <v>0.13883410182071798</v>
          </cell>
          <cell r="AP505">
            <v>6.091134925272141E-2</v>
          </cell>
          <cell r="AQ505">
            <v>-1</v>
          </cell>
          <cell r="AR505">
            <v>-1</v>
          </cell>
          <cell r="AS505">
            <v>-1</v>
          </cell>
          <cell r="AT505">
            <v>-1</v>
          </cell>
          <cell r="AU505">
            <v>-1</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G506">
            <v>496</v>
          </cell>
          <cell r="H506" t="str">
            <v>YTD Actual</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33334.060000000005</v>
          </cell>
          <cell r="Y506">
            <v>66996.19</v>
          </cell>
          <cell r="Z506">
            <v>114471</v>
          </cell>
          <cell r="AA506">
            <v>154126.6</v>
          </cell>
          <cell r="AB506">
            <v>198408.45</v>
          </cell>
          <cell r="AC506">
            <v>233165.41</v>
          </cell>
          <cell r="AD506">
            <v>266518.91000000003</v>
          </cell>
          <cell r="AE506">
            <v>296487.61000000004</v>
          </cell>
          <cell r="AF506">
            <v>333547.51000000007</v>
          </cell>
          <cell r="AG506">
            <v>368354.41000000003</v>
          </cell>
          <cell r="AH506">
            <v>403810.81000000006</v>
          </cell>
          <cell r="AI506">
            <v>443214.01000000007</v>
          </cell>
          <cell r="AJ506">
            <v>31596.899999999994</v>
          </cell>
          <cell r="AK506">
            <v>66621.399999999994</v>
          </cell>
          <cell r="AL506">
            <v>110139.3</v>
          </cell>
          <cell r="AM506">
            <v>151200.70000000001</v>
          </cell>
          <cell r="AN506">
            <v>190621.2</v>
          </cell>
          <cell r="AO506">
            <v>223285.40000000002</v>
          </cell>
          <cell r="AP506">
            <v>252485.90000000002</v>
          </cell>
          <cell r="AQ506">
            <v>252485.90000000002</v>
          </cell>
          <cell r="AR506">
            <v>252485.90000000002</v>
          </cell>
          <cell r="AS506">
            <v>252485.90000000002</v>
          </cell>
          <cell r="AT506">
            <v>252485.90000000002</v>
          </cell>
          <cell r="AU506">
            <v>252485.90000000002</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G507">
            <v>497</v>
          </cell>
          <cell r="H507" t="str">
            <v>YTD Target (Budget)</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29843.242294269141</v>
          </cell>
          <cell r="Y507">
            <v>63036.261285401386</v>
          </cell>
          <cell r="Z507">
            <v>94321.261431170977</v>
          </cell>
          <cell r="AA507">
            <v>128382.12070929722</v>
          </cell>
          <cell r="AB507">
            <v>158648.9969047156</v>
          </cell>
          <cell r="AC507">
            <v>187512.83895524565</v>
          </cell>
          <cell r="AD507">
            <v>219175.95874591457</v>
          </cell>
          <cell r="AE507">
            <v>248275.08132935566</v>
          </cell>
          <cell r="AF507">
            <v>279717.39364287013</v>
          </cell>
          <cell r="AG507">
            <v>311464.78922647162</v>
          </cell>
          <cell r="AH507">
            <v>341718.65211202286</v>
          </cell>
          <cell r="AI507">
            <v>371970.99642731383</v>
          </cell>
          <cell r="AJ507">
            <v>27979.1</v>
          </cell>
          <cell r="AK507">
            <v>56233.5</v>
          </cell>
          <cell r="AL507">
            <v>95410.665739690274</v>
          </cell>
          <cell r="AM507">
            <v>128135.26250388715</v>
          </cell>
          <cell r="AN507">
            <v>164677.53358849187</v>
          </cell>
          <cell r="AO507">
            <v>193359.67433908751</v>
          </cell>
          <cell r="AP507">
            <v>220883.65173886562</v>
          </cell>
          <cell r="AQ507">
            <v>245614.42426650829</v>
          </cell>
          <cell r="AR507">
            <v>276196.99731095746</v>
          </cell>
          <cell r="AS507">
            <v>304920.34955154202</v>
          </cell>
          <cell r="AT507">
            <v>334179.68222360022</v>
          </cell>
          <cell r="AU507">
            <v>366695.99344368017</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G508">
            <v>498</v>
          </cell>
          <cell r="H508" t="str">
            <v>YTD Target (Budget) Var</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3490.817705730864</v>
          </cell>
          <cell r="Y508">
            <v>3959.9287145986164</v>
          </cell>
          <cell r="Z508">
            <v>20149.738568829023</v>
          </cell>
          <cell r="AA508">
            <v>25744.479290702788</v>
          </cell>
          <cell r="AB508">
            <v>39759.453095284407</v>
          </cell>
          <cell r="AC508">
            <v>45652.571044754353</v>
          </cell>
          <cell r="AD508">
            <v>47342.951254085463</v>
          </cell>
          <cell r="AE508">
            <v>48212.528670644388</v>
          </cell>
          <cell r="AF508">
            <v>53830.11635712994</v>
          </cell>
          <cell r="AG508">
            <v>56889.620773528412</v>
          </cell>
          <cell r="AH508">
            <v>62092.157887977199</v>
          </cell>
          <cell r="AI508">
            <v>71243.013572686235</v>
          </cell>
          <cell r="AJ508">
            <v>3617.7999999999956</v>
          </cell>
          <cell r="AK508">
            <v>10387.899999999994</v>
          </cell>
          <cell r="AL508">
            <v>14728.634260309729</v>
          </cell>
          <cell r="AM508">
            <v>23065.437496112863</v>
          </cell>
          <cell r="AN508">
            <v>25943.666411508137</v>
          </cell>
          <cell r="AO508">
            <v>29925.725660912518</v>
          </cell>
          <cell r="AP508">
            <v>31602.248261134402</v>
          </cell>
          <cell r="AQ508">
            <v>6871.4757334917376</v>
          </cell>
          <cell r="AR508">
            <v>-23711.097310957441</v>
          </cell>
          <cell r="AS508">
            <v>-52434.449551541999</v>
          </cell>
          <cell r="AT508">
            <v>-81693.782223600196</v>
          </cell>
          <cell r="AU508">
            <v>-114210.09344368015</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G509">
            <v>499</v>
          </cell>
          <cell r="H509" t="str">
            <v>YTD %Var</v>
          </cell>
          <cell r="I509">
            <v>0</v>
          </cell>
          <cell r="J509">
            <v>0</v>
          </cell>
          <cell r="K509">
            <v>0</v>
          </cell>
          <cell r="L509" t="e">
            <v>#DIV/0!</v>
          </cell>
          <cell r="M509" t="e">
            <v>#DIV/0!</v>
          </cell>
          <cell r="N509" t="e">
            <v>#DIV/0!</v>
          </cell>
          <cell r="O509" t="e">
            <v>#DIV/0!</v>
          </cell>
          <cell r="P509" t="e">
            <v>#DIV/0!</v>
          </cell>
          <cell r="Q509" t="e">
            <v>#DIV/0!</v>
          </cell>
          <cell r="R509" t="e">
            <v>#DIV/0!</v>
          </cell>
          <cell r="S509" t="e">
            <v>#DIV/0!</v>
          </cell>
          <cell r="T509" t="e">
            <v>#DIV/0!</v>
          </cell>
          <cell r="U509" t="e">
            <v>#DIV/0!</v>
          </cell>
          <cell r="V509" t="e">
            <v>#DIV/0!</v>
          </cell>
          <cell r="W509" t="e">
            <v>#DIV/0!</v>
          </cell>
          <cell r="X509">
            <v>0.11697179788005853</v>
          </cell>
          <cell r="Y509">
            <v>6.2819853745287063E-2</v>
          </cell>
          <cell r="Z509">
            <v>0.21362880715429028</v>
          </cell>
          <cell r="AA509">
            <v>0.20053009833820587</v>
          </cell>
          <cell r="AB509">
            <v>0.25061269765962585</v>
          </cell>
          <cell r="AC509">
            <v>0.24346370786722724</v>
          </cell>
          <cell r="AD509">
            <v>0.216004307794401</v>
          </cell>
          <cell r="AE509">
            <v>0.19418996224871568</v>
          </cell>
          <cell r="AF509">
            <v>0.19244465156806687</v>
          </cell>
          <cell r="AG509">
            <v>0.18265185260528102</v>
          </cell>
          <cell r="AH509">
            <v>0.18170549808800612</v>
          </cell>
          <cell r="AI509">
            <v>0.19152841016358033</v>
          </cell>
          <cell r="AJ509">
            <v>0.12930365880246311</v>
          </cell>
          <cell r="AK509">
            <v>0.18472796464740759</v>
          </cell>
          <cell r="AL509">
            <v>0.1543709410905274</v>
          </cell>
          <cell r="AM509">
            <v>0.18000850855097864</v>
          </cell>
          <cell r="AN509">
            <v>0.15754223327353228</v>
          </cell>
          <cell r="AO509">
            <v>0.15476714968206304</v>
          </cell>
          <cell r="AP509">
            <v>0.14307192049910239</v>
          </cell>
          <cell r="AQ509">
            <v>2.7976678299787967E-2</v>
          </cell>
          <cell r="AR509">
            <v>-8.5848497781683741E-2</v>
          </cell>
          <cell r="AS509">
            <v>-0.17196113551837175</v>
          </cell>
          <cell r="AT509">
            <v>-0.24446064967210884</v>
          </cell>
          <cell r="AU509">
            <v>-0.31145716202438234</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G510">
            <v>500</v>
          </cell>
          <cell r="H510" t="str">
            <v>4 Month Actual</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33334.060000000005</v>
          </cell>
          <cell r="Y510">
            <v>66996.19</v>
          </cell>
          <cell r="Z510">
            <v>114471</v>
          </cell>
          <cell r="AA510">
            <v>154126.6</v>
          </cell>
          <cell r="AB510">
            <v>165074.39000000001</v>
          </cell>
          <cell r="AC510">
            <v>166169.22</v>
          </cell>
          <cell r="AD510">
            <v>152047.91</v>
          </cell>
          <cell r="AE510">
            <v>142361.01</v>
          </cell>
          <cell r="AF510">
            <v>135139.06</v>
          </cell>
          <cell r="AG510">
            <v>135189</v>
          </cell>
          <cell r="AH510">
            <v>137291.9</v>
          </cell>
          <cell r="AI510">
            <v>146726.39999999999</v>
          </cell>
          <cell r="AJ510">
            <v>141263.4</v>
          </cell>
          <cell r="AK510">
            <v>141481</v>
          </cell>
          <cell r="AL510">
            <v>149542.5</v>
          </cell>
          <cell r="AM510">
            <v>151200.70000000001</v>
          </cell>
          <cell r="AN510">
            <v>159024.30000000002</v>
          </cell>
          <cell r="AO510">
            <v>156664</v>
          </cell>
          <cell r="AP510">
            <v>142346.59999999998</v>
          </cell>
          <cell r="AQ510">
            <v>101285.20000000001</v>
          </cell>
          <cell r="AR510">
            <v>61864.7</v>
          </cell>
          <cell r="AS510">
            <v>29200.5</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G511">
            <v>501</v>
          </cell>
          <cell r="H511" t="str">
            <v>4 Month Target (Budget)</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29843.242294269141</v>
          </cell>
          <cell r="Y511">
            <v>63036.261285401386</v>
          </cell>
          <cell r="Z511">
            <v>94321.261431170977</v>
          </cell>
          <cell r="AA511">
            <v>128382.12070929722</v>
          </cell>
          <cell r="AB511">
            <v>128805.75461044649</v>
          </cell>
          <cell r="AC511">
            <v>124476.57766984429</v>
          </cell>
          <cell r="AD511">
            <v>124854.69731474362</v>
          </cell>
          <cell r="AE511">
            <v>119892.96062005847</v>
          </cell>
          <cell r="AF511">
            <v>121068.39673815457</v>
          </cell>
          <cell r="AG511">
            <v>123951.95027122603</v>
          </cell>
          <cell r="AH511">
            <v>122542.69336610829</v>
          </cell>
          <cell r="AI511">
            <v>123695.91509795816</v>
          </cell>
          <cell r="AJ511">
            <v>120232.70278444368</v>
          </cell>
          <cell r="AK511">
            <v>116739.70720084215</v>
          </cell>
          <cell r="AL511">
            <v>125663.01005498125</v>
          </cell>
          <cell r="AM511">
            <v>128135.26250388715</v>
          </cell>
          <cell r="AN511">
            <v>136698.43358849187</v>
          </cell>
          <cell r="AO511">
            <v>137126.17433908751</v>
          </cell>
          <cell r="AP511">
            <v>125472.98599917536</v>
          </cell>
          <cell r="AQ511">
            <v>117479.16176262115</v>
          </cell>
          <cell r="AR511">
            <v>111519.46372246563</v>
          </cell>
          <cell r="AS511">
            <v>111560.67521245453</v>
          </cell>
          <cell r="AT511">
            <v>113296.0304847346</v>
          </cell>
          <cell r="AU511">
            <v>121081.56917717187</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G512">
            <v>502</v>
          </cell>
          <cell r="H512" t="str">
            <v>4 Month Target (Budget) Var</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3490.817705730864</v>
          </cell>
          <cell r="Y512">
            <v>3959.9287145986164</v>
          </cell>
          <cell r="Z512">
            <v>20149.738568829023</v>
          </cell>
          <cell r="AA512">
            <v>25744.479290702788</v>
          </cell>
          <cell r="AB512">
            <v>36268.635389553529</v>
          </cell>
          <cell r="AC512">
            <v>41692.642330155708</v>
          </cell>
          <cell r="AD512">
            <v>27193.212685256382</v>
          </cell>
          <cell r="AE512">
            <v>22468.049379941542</v>
          </cell>
          <cell r="AF512">
            <v>14070.663261845431</v>
          </cell>
          <cell r="AG512">
            <v>11237.049728773971</v>
          </cell>
          <cell r="AH512">
            <v>14749.206633891707</v>
          </cell>
          <cell r="AI512">
            <v>23030.484902041833</v>
          </cell>
          <cell r="AJ512">
            <v>21030.697215556313</v>
          </cell>
          <cell r="AK512">
            <v>24741.292799157847</v>
          </cell>
          <cell r="AL512">
            <v>23879.489945018751</v>
          </cell>
          <cell r="AM512">
            <v>23065.437496112863</v>
          </cell>
          <cell r="AN512">
            <v>22325.866411508148</v>
          </cell>
          <cell r="AO512">
            <v>19537.825660912495</v>
          </cell>
          <cell r="AP512">
            <v>16873.614000824615</v>
          </cell>
          <cell r="AQ512">
            <v>-16193.96176262114</v>
          </cell>
          <cell r="AR512">
            <v>-49654.763722465636</v>
          </cell>
          <cell r="AS512">
            <v>-82360.175212454531</v>
          </cell>
          <cell r="AT512">
            <v>-113296.0304847346</v>
          </cell>
          <cell r="AU512">
            <v>-121081.56917717187</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G513">
            <v>503</v>
          </cell>
          <cell r="H513" t="str">
            <v>4 Month Target (Budget) % Var</v>
          </cell>
          <cell r="I513">
            <v>0</v>
          </cell>
          <cell r="J513">
            <v>0</v>
          </cell>
          <cell r="K513">
            <v>0</v>
          </cell>
          <cell r="L513" t="e">
            <v>#DIV/0!</v>
          </cell>
          <cell r="M513" t="e">
            <v>#DIV/0!</v>
          </cell>
          <cell r="N513" t="e">
            <v>#DIV/0!</v>
          </cell>
          <cell r="O513" t="e">
            <v>#DIV/0!</v>
          </cell>
          <cell r="P513" t="e">
            <v>#DIV/0!</v>
          </cell>
          <cell r="Q513" t="e">
            <v>#DIV/0!</v>
          </cell>
          <cell r="R513" t="e">
            <v>#DIV/0!</v>
          </cell>
          <cell r="S513" t="e">
            <v>#DIV/0!</v>
          </cell>
          <cell r="T513" t="e">
            <v>#DIV/0!</v>
          </cell>
          <cell r="U513" t="e">
            <v>#DIV/0!</v>
          </cell>
          <cell r="V513" t="e">
            <v>#DIV/0!</v>
          </cell>
          <cell r="W513" t="e">
            <v>#DIV/0!</v>
          </cell>
          <cell r="X513">
            <v>0.11697179788005853</v>
          </cell>
          <cell r="Y513">
            <v>6.2819853745287063E-2</v>
          </cell>
          <cell r="Z513">
            <v>0.21362880715429028</v>
          </cell>
          <cell r="AA513">
            <v>0.20053009833820587</v>
          </cell>
          <cell r="AB513">
            <v>0.28157620363502023</v>
          </cell>
          <cell r="AC513">
            <v>0.33494367463041341</v>
          </cell>
          <cell r="AD513">
            <v>0.21779887557378458</v>
          </cell>
          <cell r="AE513">
            <v>0.18740090547219806</v>
          </cell>
          <cell r="AF513">
            <v>0.11622077801424356</v>
          </cell>
          <cell r="AG513">
            <v>9.0656497975107039E-2</v>
          </cell>
          <cell r="AH513">
            <v>0.12035973935897597</v>
          </cell>
          <cell r="AI513">
            <v>0.18618630117092683</v>
          </cell>
          <cell r="AJ513">
            <v>0.17491661360437596</v>
          </cell>
          <cell r="AK513">
            <v>0.21193553926422187</v>
          </cell>
          <cell r="AL513">
            <v>0.19002799578468457</v>
          </cell>
          <cell r="AM513">
            <v>0.18000850855097864</v>
          </cell>
          <cell r="AN513">
            <v>0.16332203541348903</v>
          </cell>
          <cell r="AO513">
            <v>0.14248064423207119</v>
          </cell>
          <cell r="AP513">
            <v>0.13448005454286002</v>
          </cell>
          <cell r="AQ513">
            <v>-0.13784539759776906</v>
          </cell>
          <cell r="AR513">
            <v>-0.44525647869003038</v>
          </cell>
          <cell r="AS513">
            <v>-0.73825454225343301</v>
          </cell>
          <cell r="AT513">
            <v>-1</v>
          </cell>
          <cell r="AU513">
            <v>-1</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G514">
            <v>504</v>
          </cell>
          <cell r="H514" t="str">
            <v>Actual</v>
          </cell>
          <cell r="I514">
            <v>0</v>
          </cell>
          <cell r="J514">
            <v>0</v>
          </cell>
          <cell r="K514">
            <v>0</v>
          </cell>
          <cell r="L514">
            <v>0.11697179788005853</v>
          </cell>
          <cell r="M514">
            <v>6.2819853745287063E-2</v>
          </cell>
          <cell r="N514">
            <v>0.21362880715429028</v>
          </cell>
          <cell r="O514">
            <v>0.20053009833820587</v>
          </cell>
          <cell r="P514">
            <v>0.28157620363502023</v>
          </cell>
          <cell r="Q514">
            <v>0.33494367463041341</v>
          </cell>
          <cell r="R514">
            <v>0.21779887557378458</v>
          </cell>
          <cell r="S514">
            <v>0.18740090547219806</v>
          </cell>
          <cell r="T514">
            <v>0.11622077801424356</v>
          </cell>
          <cell r="U514">
            <v>9.0656497975107039E-2</v>
          </cell>
          <cell r="V514">
            <v>0.12035973935897597</v>
          </cell>
          <cell r="W514">
            <v>0.18618630117092683</v>
          </cell>
          <cell r="X514">
            <v>38084.420000000006</v>
          </cell>
          <cell r="Y514">
            <v>37303.58</v>
          </cell>
          <cell r="Z514">
            <v>50410.45</v>
          </cell>
          <cell r="AA514">
            <v>42569.4</v>
          </cell>
          <cell r="AB514">
            <v>48408.54</v>
          </cell>
          <cell r="AC514">
            <v>39595.94</v>
          </cell>
          <cell r="AD514">
            <v>37541.4</v>
          </cell>
          <cell r="AE514">
            <v>32513.499999999996</v>
          </cell>
          <cell r="AF514">
            <v>39540</v>
          </cell>
          <cell r="AG514">
            <v>37846.800000000003</v>
          </cell>
          <cell r="AH514">
            <v>38867.399999999994</v>
          </cell>
          <cell r="AI514">
            <v>42974.2</v>
          </cell>
          <cell r="AJ514">
            <v>36402.799999999996</v>
          </cell>
          <cell r="AK514">
            <v>38264.299999999996</v>
          </cell>
          <cell r="AL514">
            <v>47060.5</v>
          </cell>
          <cell r="AM514">
            <v>44168.4</v>
          </cell>
          <cell r="AN514">
            <v>43577.499999999993</v>
          </cell>
          <cell r="AO514">
            <v>37256.1</v>
          </cell>
          <cell r="AP514">
            <v>33022.199999999997</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G515">
            <v>505</v>
          </cell>
          <cell r="H515" t="str">
            <v>Target (Budget)</v>
          </cell>
          <cell r="I515">
            <v>0</v>
          </cell>
          <cell r="J515">
            <v>0</v>
          </cell>
          <cell r="K515">
            <v>0</v>
          </cell>
          <cell r="L515">
            <v>38084.420000000006</v>
          </cell>
          <cell r="M515">
            <v>37303.58</v>
          </cell>
          <cell r="N515">
            <v>50410.45</v>
          </cell>
          <cell r="O515">
            <v>42569.4</v>
          </cell>
          <cell r="P515">
            <v>48408.54</v>
          </cell>
          <cell r="Q515">
            <v>39595.94</v>
          </cell>
          <cell r="R515">
            <v>37541.4</v>
          </cell>
          <cell r="S515">
            <v>32513.499999999996</v>
          </cell>
          <cell r="T515">
            <v>39540</v>
          </cell>
          <cell r="U515">
            <v>37846.800000000003</v>
          </cell>
          <cell r="V515">
            <v>38867.399999999994</v>
          </cell>
          <cell r="W515">
            <v>42974.2</v>
          </cell>
          <cell r="X515">
            <v>34736.669365658003</v>
          </cell>
          <cell r="Y515">
            <v>36050.762552803579</v>
          </cell>
          <cell r="Z515">
            <v>34122.092642163538</v>
          </cell>
          <cell r="AA515">
            <v>36857.796306386459</v>
          </cell>
          <cell r="AB515">
            <v>33469.52008121759</v>
          </cell>
          <cell r="AC515">
            <v>32872.578642678833</v>
          </cell>
          <cell r="AD515">
            <v>35322.053364238527</v>
          </cell>
          <cell r="AE515">
            <v>31154.425754807176</v>
          </cell>
          <cell r="AF515">
            <v>34134.925810973378</v>
          </cell>
          <cell r="AG515">
            <v>34152.831498902597</v>
          </cell>
          <cell r="AH515">
            <v>32982.656560167925</v>
          </cell>
          <cell r="AI515">
            <v>33271.287420002373</v>
          </cell>
          <cell r="AJ515">
            <v>31966.3</v>
          </cell>
          <cell r="AK515">
            <v>31310.9</v>
          </cell>
          <cell r="AL515">
            <v>41599.714767944723</v>
          </cell>
          <cell r="AM515">
            <v>35129.122986256742</v>
          </cell>
          <cell r="AN515">
            <v>39947.698469913339</v>
          </cell>
          <cell r="AO515">
            <v>32675.364135187312</v>
          </cell>
          <cell r="AP515">
            <v>30979.916505195255</v>
          </cell>
          <cell r="AQ515">
            <v>26830.79254614015</v>
          </cell>
          <cell r="AR515">
            <v>32629.201324815276</v>
          </cell>
          <cell r="AS515">
            <v>31231.938712696483</v>
          </cell>
          <cell r="AT515">
            <v>32074.158309866594</v>
          </cell>
          <cell r="AU515">
            <v>35463.17206810513</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G516">
            <v>506</v>
          </cell>
          <cell r="H516" t="str">
            <v>Actual</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1.6003677564933509</v>
          </cell>
          <cell r="Y516">
            <v>0.57717722300332641</v>
          </cell>
          <cell r="Z516">
            <v>0.81401203662425836</v>
          </cell>
          <cell r="AA516">
            <v>0.67994238880696822</v>
          </cell>
          <cell r="AB516">
            <v>0.75926494290319257</v>
          </cell>
          <cell r="AC516">
            <v>0.59594938445183632</v>
          </cell>
          <cell r="AD516">
            <v>0.59416585018259549</v>
          </cell>
          <cell r="AE516">
            <v>0.53386835307740266</v>
          </cell>
          <cell r="AF516">
            <v>0.66019239333749002</v>
          </cell>
          <cell r="AG516">
            <v>0.62005700543333031</v>
          </cell>
          <cell r="AH516">
            <v>0.63162732697960278</v>
          </cell>
          <cell r="AI516">
            <v>1.9299211441445856</v>
          </cell>
          <cell r="AJ516">
            <v>1.5475779987265512</v>
          </cell>
          <cell r="AK516">
            <v>0.5970458380921535</v>
          </cell>
          <cell r="AL516">
            <v>0.74182875066055276</v>
          </cell>
          <cell r="AM516">
            <v>0.69995397439612694</v>
          </cell>
          <cell r="AN516">
            <v>0.67198233980532884</v>
          </cell>
          <cell r="AO516">
            <v>0.55681093704720175</v>
          </cell>
          <cell r="AP516">
            <v>0.5170517928286853</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G517">
            <v>507</v>
          </cell>
          <cell r="H517" t="str">
            <v>Target (Budget)</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1.4327736470435037</v>
          </cell>
          <cell r="Y517">
            <v>0.57848723385092538</v>
          </cell>
          <cell r="Z517">
            <v>0.54523432171647446</v>
          </cell>
          <cell r="AA517">
            <v>0.59361193604151774</v>
          </cell>
          <cell r="AB517">
            <v>0.52749047901529134</v>
          </cell>
          <cell r="AC517">
            <v>0.50303842957406109</v>
          </cell>
          <cell r="AD517">
            <v>0.57374236306863802</v>
          </cell>
          <cell r="AE517">
            <v>0.52728219659414521</v>
          </cell>
          <cell r="AF517">
            <v>0.56974128533014112</v>
          </cell>
          <cell r="AG517">
            <v>0.57526945808979468</v>
          </cell>
          <cell r="AH517">
            <v>0.54820633275139452</v>
          </cell>
          <cell r="AI517">
            <v>1.4524146293768767</v>
          </cell>
          <cell r="AJ517">
            <v>1.3432762014499016</v>
          </cell>
          <cell r="AK517">
            <v>0.4857295122831749</v>
          </cell>
          <cell r="AL517">
            <v>0.67350591792346914</v>
          </cell>
          <cell r="AM517">
            <v>0.56257794983920784</v>
          </cell>
          <cell r="AN517">
            <v>0.62820868649288686</v>
          </cell>
          <cell r="AO517">
            <v>0.51316159001298267</v>
          </cell>
          <cell r="AP517">
            <v>0.49031758082797017</v>
          </cell>
          <cell r="AQ517">
            <v>0.44055887641654362</v>
          </cell>
          <cell r="AR517">
            <v>0.54480400898635795</v>
          </cell>
          <cell r="AS517">
            <v>0.51168348161725374</v>
          </cell>
          <cell r="AT517">
            <v>0.5212315431024882</v>
          </cell>
          <cell r="AU517">
            <v>0.57925200356426387</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G518">
            <v>508</v>
          </cell>
          <cell r="H518" t="str">
            <v>Target (Budget) Variance</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0.16759410944984721</v>
          </cell>
          <cell r="Y518">
            <v>-1.3100108475989636E-3</v>
          </cell>
          <cell r="Z518">
            <v>0.2687777149077839</v>
          </cell>
          <cell r="AA518">
            <v>8.6330452765450483E-2</v>
          </cell>
          <cell r="AB518">
            <v>0.23177446388790124</v>
          </cell>
          <cell r="AC518">
            <v>9.2910954877775231E-2</v>
          </cell>
          <cell r="AD518">
            <v>2.0423487113957473E-2</v>
          </cell>
          <cell r="AE518">
            <v>6.5861564832574437E-3</v>
          </cell>
          <cell r="AF518">
            <v>9.0451108007348902E-2</v>
          </cell>
          <cell r="AG518">
            <v>4.4787547343535627E-2</v>
          </cell>
          <cell r="AH518">
            <v>8.3420994228208256E-2</v>
          </cell>
          <cell r="AI518">
            <v>0.47750651476770889</v>
          </cell>
          <cell r="AJ518">
            <v>0.20430179727664965</v>
          </cell>
          <cell r="AK518">
            <v>0.1113163258089786</v>
          </cell>
          <cell r="AL518">
            <v>6.8322832737083616E-2</v>
          </cell>
          <cell r="AM518">
            <v>0.13737602455691911</v>
          </cell>
          <cell r="AN518">
            <v>4.3773653312441985E-2</v>
          </cell>
          <cell r="AO518">
            <v>4.3649347034219077E-2</v>
          </cell>
          <cell r="AP518">
            <v>2.673421200071513E-2</v>
          </cell>
          <cell r="AQ518">
            <v>-0.44055887641654362</v>
          </cell>
          <cell r="AR518">
            <v>-0.54480400898635795</v>
          </cell>
          <cell r="AS518">
            <v>-0.51168348161725374</v>
          </cell>
          <cell r="AT518">
            <v>-0.5212315431024882</v>
          </cell>
          <cell r="AU518">
            <v>-0.57925200356426387</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G519">
            <v>509</v>
          </cell>
          <cell r="H519" t="str">
            <v>Target (Budget) %Var</v>
          </cell>
          <cell r="I519">
            <v>0</v>
          </cell>
          <cell r="J519">
            <v>0</v>
          </cell>
          <cell r="K519">
            <v>0</v>
          </cell>
          <cell r="L519" t="e">
            <v>#DIV/0!</v>
          </cell>
          <cell r="M519" t="e">
            <v>#DIV/0!</v>
          </cell>
          <cell r="N519" t="e">
            <v>#DIV/0!</v>
          </cell>
          <cell r="O519" t="e">
            <v>#DIV/0!</v>
          </cell>
          <cell r="P519" t="e">
            <v>#DIV/0!</v>
          </cell>
          <cell r="Q519" t="e">
            <v>#DIV/0!</v>
          </cell>
          <cell r="R519" t="e">
            <v>#DIV/0!</v>
          </cell>
          <cell r="S519" t="e">
            <v>#DIV/0!</v>
          </cell>
          <cell r="T519" t="e">
            <v>#DIV/0!</v>
          </cell>
          <cell r="U519" t="e">
            <v>#DIV/0!</v>
          </cell>
          <cell r="V519" t="e">
            <v>#DIV/0!</v>
          </cell>
          <cell r="W519" t="e">
            <v>#DIV/0!</v>
          </cell>
          <cell r="X519">
            <v>0.11697179788005865</v>
          </cell>
          <cell r="Y519">
            <v>-2.2645458204468344E-3</v>
          </cell>
          <cell r="Z519">
            <v>0.49295817266534836</v>
          </cell>
          <cell r="AA519">
            <v>0.145432474523916</v>
          </cell>
          <cell r="AB519">
            <v>0.43939080060852126</v>
          </cell>
          <cell r="AC519">
            <v>0.18469951680718696</v>
          </cell>
          <cell r="AD519">
            <v>3.559696551728074E-2</v>
          </cell>
          <cell r="AE519">
            <v>1.2490762111444622E-2</v>
          </cell>
          <cell r="AF519">
            <v>0.15875821243134292</v>
          </cell>
          <cell r="AG519">
            <v>7.7854902104927445E-2</v>
          </cell>
          <cell r="AH519">
            <v>0.15217079636699263</v>
          </cell>
          <cell r="AI519">
            <v>0.32876735410780838</v>
          </cell>
          <cell r="AJ519">
            <v>0.15209217363944286</v>
          </cell>
          <cell r="AK519">
            <v>0.22917348646520458</v>
          </cell>
          <cell r="AL519">
            <v>0.10144355219288093</v>
          </cell>
          <cell r="AM519">
            <v>0.24419020439066796</v>
          </cell>
          <cell r="AN519">
            <v>6.9680114671476501E-2</v>
          </cell>
          <cell r="AO519">
            <v>8.5059653496503462E-2</v>
          </cell>
          <cell r="AP519">
            <v>5.452427782738415E-2</v>
          </cell>
          <cell r="AQ519">
            <v>-1</v>
          </cell>
          <cell r="AR519">
            <v>-1</v>
          </cell>
          <cell r="AS519">
            <v>-1</v>
          </cell>
          <cell r="AT519">
            <v>-1</v>
          </cell>
          <cell r="AU519">
            <v>-1</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G520">
            <v>510</v>
          </cell>
          <cell r="H520" t="str">
            <v>YTD Actual</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1.6003677564933509</v>
          </cell>
          <cell r="Y520">
            <v>0.8464351682227641</v>
          </cell>
          <cell r="Z520">
            <v>0.83267987168389435</v>
          </cell>
          <cell r="AA520">
            <v>0.78718353379810524</v>
          </cell>
          <cell r="AB520">
            <v>0.78077598114254465</v>
          </cell>
          <cell r="AC520">
            <v>0.74627498487704802</v>
          </cell>
          <cell r="AD520">
            <v>0.72310827676396061</v>
          </cell>
          <cell r="AE520">
            <v>0.69809589624896118</v>
          </cell>
          <cell r="AF520">
            <v>0.69367094109524097</v>
          </cell>
          <cell r="AG520">
            <v>0.68597544782943098</v>
          </cell>
          <cell r="AH520">
            <v>0.68083169508728514</v>
          </cell>
          <cell r="AI520">
            <v>0.72239872149899531</v>
          </cell>
          <cell r="AJ520">
            <v>1.5475779987265512</v>
          </cell>
          <cell r="AK520">
            <v>9.6188769742322877E-2</v>
          </cell>
          <cell r="AL520">
            <v>0.14660336974259724</v>
          </cell>
          <cell r="AM520">
            <v>0.18668205057924259</v>
          </cell>
          <cell r="AN520">
            <v>0.21945797835597514</v>
          </cell>
          <cell r="AO520">
            <v>0.24080050643668519</v>
          </cell>
          <cell r="AP520">
            <v>0.25665970004208438</v>
          </cell>
          <cell r="AQ520">
            <v>0.24272519185974414</v>
          </cell>
          <cell r="AR520">
            <v>0.23022582539427808</v>
          </cell>
          <cell r="AS520">
            <v>0.21895074677213891</v>
          </cell>
          <cell r="AT520">
            <v>0.20872847909870559</v>
          </cell>
          <cell r="AU520">
            <v>0.19941814040294983</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G521">
            <v>511</v>
          </cell>
          <cell r="H521" t="str">
            <v>YTD Target (Budget)</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1.4327736470435037</v>
          </cell>
          <cell r="Y521">
            <v>0.80600784172209217</v>
          </cell>
          <cell r="Z521">
            <v>0.69565121605442248</v>
          </cell>
          <cell r="AA521">
            <v>0.66530954007077525</v>
          </cell>
          <cell r="AB521">
            <v>0.63372145201508157</v>
          </cell>
          <cell r="AC521">
            <v>0.60935396314634427</v>
          </cell>
          <cell r="AD521">
            <v>0.60393859305977105</v>
          </cell>
          <cell r="AE521">
            <v>0.5938203036832409</v>
          </cell>
          <cell r="AF521">
            <v>0.59101258996771533</v>
          </cell>
          <cell r="AG521">
            <v>0.58936857435487899</v>
          </cell>
          <cell r="AH521">
            <v>0.58547654043203801</v>
          </cell>
          <cell r="AI521">
            <v>0.61534885130443251</v>
          </cell>
          <cell r="AJ521">
            <v>1.3432762014499016</v>
          </cell>
          <cell r="AK521">
            <v>8.2274545491787685E-2</v>
          </cell>
          <cell r="AL521">
            <v>0.12864561789469534</v>
          </cell>
          <cell r="AM521">
            <v>0.16020432308093674</v>
          </cell>
          <cell r="AN521">
            <v>0.19193342321964385</v>
          </cell>
          <cell r="AO521">
            <v>0.21157964378389374</v>
          </cell>
          <cell r="AP521">
            <v>0.22771017507751443</v>
          </cell>
          <cell r="AQ521">
            <v>0.23935388407465169</v>
          </cell>
          <cell r="AR521">
            <v>0.25519661284345657</v>
          </cell>
          <cell r="AS521">
            <v>0.26784380324372603</v>
          </cell>
          <cell r="AT521">
            <v>0.27975104010896074</v>
          </cell>
          <cell r="AU521">
            <v>0.29319354458931679</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G522">
            <v>512</v>
          </cell>
          <cell r="H522" t="str">
            <v>YTD Target (Budget) Var</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0.16759410944984721</v>
          </cell>
          <cell r="Y522">
            <v>4.0427326500671934E-2</v>
          </cell>
          <cell r="Z522">
            <v>0.13702865562947186</v>
          </cell>
          <cell r="AA522">
            <v>0.12187399372732999</v>
          </cell>
          <cell r="AB522">
            <v>0.14705452912746309</v>
          </cell>
          <cell r="AC522">
            <v>0.13692102173070375</v>
          </cell>
          <cell r="AD522">
            <v>0.11916968370418957</v>
          </cell>
          <cell r="AE522">
            <v>0.10427559256572028</v>
          </cell>
          <cell r="AF522">
            <v>0.10265835112752564</v>
          </cell>
          <cell r="AG522">
            <v>9.6606873474551991E-2</v>
          </cell>
          <cell r="AH522">
            <v>9.5355154655247132E-2</v>
          </cell>
          <cell r="AI522">
            <v>0.1070498701945628</v>
          </cell>
          <cell r="AJ522">
            <v>0.20430179727664965</v>
          </cell>
          <cell r="AK522">
            <v>1.3914224250535193E-2</v>
          </cell>
          <cell r="AL522">
            <v>1.7957751847901909E-2</v>
          </cell>
          <cell r="AM522">
            <v>2.6477727498305847E-2</v>
          </cell>
          <cell r="AN522">
            <v>2.7524555136331286E-2</v>
          </cell>
          <cell r="AO522">
            <v>2.9220862652791446E-2</v>
          </cell>
          <cell r="AP522">
            <v>2.8949524964569956E-2</v>
          </cell>
          <cell r="AQ522">
            <v>3.3713077850924533E-3</v>
          </cell>
          <cell r="AR522">
            <v>-2.4970787449178494E-2</v>
          </cell>
          <cell r="AS522">
            <v>-4.8893056471587121E-2</v>
          </cell>
          <cell r="AT522">
            <v>-7.1022561010255142E-2</v>
          </cell>
          <cell r="AU522">
            <v>-9.3775404186366956E-2</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G523">
            <v>513</v>
          </cell>
          <cell r="H523" t="str">
            <v>YTD %Var</v>
          </cell>
          <cell r="I523">
            <v>0</v>
          </cell>
          <cell r="J523">
            <v>0</v>
          </cell>
          <cell r="K523">
            <v>0</v>
          </cell>
          <cell r="L523" t="e">
            <v>#DIV/0!</v>
          </cell>
          <cell r="M523" t="e">
            <v>#DIV/0!</v>
          </cell>
          <cell r="N523" t="e">
            <v>#DIV/0!</v>
          </cell>
          <cell r="O523" t="e">
            <v>#DIV/0!</v>
          </cell>
          <cell r="P523" t="e">
            <v>#DIV/0!</v>
          </cell>
          <cell r="Q523" t="e">
            <v>#DIV/0!</v>
          </cell>
          <cell r="R523" t="e">
            <v>#DIV/0!</v>
          </cell>
          <cell r="S523" t="e">
            <v>#DIV/0!</v>
          </cell>
          <cell r="T523" t="e">
            <v>#DIV/0!</v>
          </cell>
          <cell r="U523" t="e">
            <v>#DIV/0!</v>
          </cell>
          <cell r="V523" t="e">
            <v>#DIV/0!</v>
          </cell>
          <cell r="W523" t="e">
            <v>#DIV/0!</v>
          </cell>
          <cell r="X523">
            <v>0.11697179788005865</v>
          </cell>
          <cell r="Y523">
            <v>5.0157485334505085E-2</v>
          </cell>
          <cell r="Z523">
            <v>0.1969789636919887</v>
          </cell>
          <cell r="AA523">
            <v>0.18318389619719733</v>
          </cell>
          <cell r="AB523">
            <v>0.23204915765414774</v>
          </cell>
          <cell r="AC523">
            <v>0.22469866450646253</v>
          </cell>
          <cell r="AD523">
            <v>0.19732086187841202</v>
          </cell>
          <cell r="AE523">
            <v>0.1756012583586963</v>
          </cell>
          <cell r="AF523">
            <v>0.17369909350515436</v>
          </cell>
          <cell r="AG523">
            <v>0.16391588842397573</v>
          </cell>
          <cell r="AH523">
            <v>0.16286759258514807</v>
          </cell>
          <cell r="AI523">
            <v>0.17396614939255303</v>
          </cell>
          <cell r="AJ523">
            <v>0.15209217363944286</v>
          </cell>
          <cell r="AK523">
            <v>0.1691194301635377</v>
          </cell>
          <cell r="AL523">
            <v>0.13959085541958746</v>
          </cell>
          <cell r="AM523">
            <v>0.1652747378416814</v>
          </cell>
          <cell r="AN523">
            <v>0.14340678488724118</v>
          </cell>
          <cell r="AO523">
            <v>0.13810810024161621</v>
          </cell>
          <cell r="AP523">
            <v>0.12713320761672287</v>
          </cell>
          <cell r="AQ523">
            <v>1.4085034793256087E-2</v>
          </cell>
          <cell r="AR523">
            <v>-9.7849211911351444E-2</v>
          </cell>
          <cell r="AS523">
            <v>-0.18254316836703741</v>
          </cell>
          <cell r="AT523">
            <v>-0.2538777370857761</v>
          </cell>
          <cell r="AU523">
            <v>-0.3198412990904026</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G524">
            <v>514</v>
          </cell>
          <cell r="H524" t="str">
            <v>4 Month Actual</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0.21877623616817404</v>
          </cell>
          <cell r="Y524">
            <v>0.43130409311548018</v>
          </cell>
          <cell r="Z524">
            <v>0.72311783805637331</v>
          </cell>
          <cell r="AA524">
            <v>0.78718353379810524</v>
          </cell>
          <cell r="AB524">
            <v>0.70759914783443645</v>
          </cell>
          <cell r="AC524">
            <v>0.71229218819656392</v>
          </cell>
          <cell r="AD524">
            <v>0.65792839494420186</v>
          </cell>
          <cell r="AE524">
            <v>0.6218973500965429</v>
          </cell>
          <cell r="AF524">
            <v>0.59604308265005934</v>
          </cell>
          <cell r="AG524">
            <v>0.60207090050770462</v>
          </cell>
          <cell r="AH524">
            <v>0.61143626970695641</v>
          </cell>
          <cell r="AI524">
            <v>0.77706199489466266</v>
          </cell>
          <cell r="AJ524">
            <v>0.92266302643954434</v>
          </cell>
          <cell r="AK524">
            <v>0.90907396936362705</v>
          </cell>
          <cell r="AL524">
            <v>0.94551403641881637</v>
          </cell>
          <cell r="AM524">
            <v>0.76983747950673609</v>
          </cell>
          <cell r="AN524">
            <v>0.67770272573854051</v>
          </cell>
          <cell r="AO524">
            <v>0.66764400047730255</v>
          </cell>
          <cell r="AP524">
            <v>0.61233825452543178</v>
          </cell>
          <cell r="AQ524">
            <v>0.43984262363424764</v>
          </cell>
          <cell r="AR524">
            <v>0.27123171758268738</v>
          </cell>
          <cell r="AS524">
            <v>0.12926294820717132</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G525">
            <v>515</v>
          </cell>
          <cell r="H525" t="str">
            <v>4 Month Target (Budget)</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0.25319846629873005</v>
          </cell>
          <cell r="Y525">
            <v>0.52974310209371356</v>
          </cell>
          <cell r="Z525">
            <v>0.60470095771356192</v>
          </cell>
          <cell r="AA525">
            <v>0.66530954007077525</v>
          </cell>
          <cell r="AB525">
            <v>0.5612059926560522</v>
          </cell>
          <cell r="AC525">
            <v>0.54234379158683621</v>
          </cell>
          <cell r="AD525">
            <v>0.54923676037173208</v>
          </cell>
          <cell r="AE525">
            <v>0.53254517625241404</v>
          </cell>
          <cell r="AF525">
            <v>0.54305372180028066</v>
          </cell>
          <cell r="AG525">
            <v>0.56150882577067984</v>
          </cell>
          <cell r="AH525">
            <v>0.55512481819136883</v>
          </cell>
          <cell r="AI525">
            <v>0.66364029775180089</v>
          </cell>
          <cell r="AJ525">
            <v>0.79083813134368874</v>
          </cell>
          <cell r="AK525">
            <v>0.75309138013884003</v>
          </cell>
          <cell r="AL525">
            <v>0.79535564226297661</v>
          </cell>
          <cell r="AM525">
            <v>0.65597361727427173</v>
          </cell>
          <cell r="AN525">
            <v>0.58750551663468453</v>
          </cell>
          <cell r="AO525">
            <v>0.5951656872356228</v>
          </cell>
          <cell r="AP525">
            <v>0.54943812125787272</v>
          </cell>
          <cell r="AQ525">
            <v>0.51905679162743734</v>
          </cell>
          <cell r="AR525">
            <v>0.49719330409752038</v>
          </cell>
          <cell r="AS525">
            <v>0.49684098696203138</v>
          </cell>
          <cell r="AT525">
            <v>0.50456947753066095</v>
          </cell>
          <cell r="AU525">
            <v>0.53924275931759091</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G526">
            <v>516</v>
          </cell>
          <cell r="H526" t="str">
            <v>4 Month Target (Budget) Var</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-3.4422230130556009E-2</v>
          </cell>
          <cell r="Y526">
            <v>-9.8439008978233378E-2</v>
          </cell>
          <cell r="Z526">
            <v>0.11841688034281139</v>
          </cell>
          <cell r="AA526">
            <v>0.12187399372732999</v>
          </cell>
          <cell r="AB526">
            <v>0.14639315517838425</v>
          </cell>
          <cell r="AC526">
            <v>0.16994839660972771</v>
          </cell>
          <cell r="AD526">
            <v>0.10869163457246978</v>
          </cell>
          <cell r="AE526">
            <v>8.9352173844128857E-2</v>
          </cell>
          <cell r="AF526">
            <v>5.2989360849778677E-2</v>
          </cell>
          <cell r="AG526">
            <v>4.0562074737024778E-2</v>
          </cell>
          <cell r="AH526">
            <v>5.6311451515587585E-2</v>
          </cell>
          <cell r="AI526">
            <v>0.11342169714286177</v>
          </cell>
          <cell r="AJ526">
            <v>0.1318248950958556</v>
          </cell>
          <cell r="AK526">
            <v>0.15598258922478703</v>
          </cell>
          <cell r="AL526">
            <v>0.15015839415583976</v>
          </cell>
          <cell r="AM526">
            <v>0.11386386223246436</v>
          </cell>
          <cell r="AN526">
            <v>9.019720910385598E-2</v>
          </cell>
          <cell r="AO526">
            <v>7.2478313241679748E-2</v>
          </cell>
          <cell r="AP526">
            <v>6.2900133267559055E-2</v>
          </cell>
          <cell r="AQ526">
            <v>-7.9214167993189699E-2</v>
          </cell>
          <cell r="AR526">
            <v>-0.225961586514833</v>
          </cell>
          <cell r="AS526">
            <v>-0.36757803875486006</v>
          </cell>
          <cell r="AT526">
            <v>-0.50456947753066095</v>
          </cell>
          <cell r="AU526">
            <v>-0.53924275931759091</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G527">
            <v>517</v>
          </cell>
          <cell r="H527" t="str">
            <v>4 Month Target (Budget) % Var</v>
          </cell>
          <cell r="I527">
            <v>0</v>
          </cell>
          <cell r="J527">
            <v>0</v>
          </cell>
          <cell r="K527">
            <v>0</v>
          </cell>
          <cell r="L527" t="e">
            <v>#DIV/0!</v>
          </cell>
          <cell r="M527" t="e">
            <v>#DIV/0!</v>
          </cell>
          <cell r="N527" t="e">
            <v>#DIV/0!</v>
          </cell>
          <cell r="O527" t="e">
            <v>#DIV/0!</v>
          </cell>
          <cell r="P527" t="e">
            <v>#DIV/0!</v>
          </cell>
          <cell r="Q527" t="e">
            <v>#DIV/0!</v>
          </cell>
          <cell r="R527" t="e">
            <v>#DIV/0!</v>
          </cell>
          <cell r="S527" t="e">
            <v>#DIV/0!</v>
          </cell>
          <cell r="T527" t="e">
            <v>#DIV/0!</v>
          </cell>
          <cell r="U527" t="e">
            <v>#DIV/0!</v>
          </cell>
          <cell r="V527" t="e">
            <v>#DIV/0!</v>
          </cell>
          <cell r="W527" t="e">
            <v>#DIV/0!</v>
          </cell>
          <cell r="X527">
            <v>-0.13594959967073331</v>
          </cell>
          <cell r="Y527">
            <v>-0.18582405054293494</v>
          </cell>
          <cell r="Z527">
            <v>0.19582717512232509</v>
          </cell>
          <cell r="AA527">
            <v>0.18318389619719733</v>
          </cell>
          <cell r="AB527">
            <v>0.26085458297681546</v>
          </cell>
          <cell r="AC527">
            <v>0.31335916303656403</v>
          </cell>
          <cell r="AD527">
            <v>0.19789577540095016</v>
          </cell>
          <cell r="AE527">
            <v>0.16778327516345393</v>
          </cell>
          <cell r="AF527">
            <v>9.7576646144903176E-2</v>
          </cell>
          <cell r="AG527">
            <v>7.2237644139168569E-2</v>
          </cell>
          <cell r="AH527">
            <v>0.10143926135216544</v>
          </cell>
          <cell r="AI527">
            <v>0.17090839348830664</v>
          </cell>
          <cell r="AJ527">
            <v>0.16669010998733202</v>
          </cell>
          <cell r="AK527">
            <v>0.20712305749141632</v>
          </cell>
          <cell r="AL527">
            <v>0.18879402644155927</v>
          </cell>
          <cell r="AM527">
            <v>0.17357994168362459</v>
          </cell>
          <cell r="AN527">
            <v>0.15352572282302721</v>
          </cell>
          <cell r="AO527">
            <v>0.12177838003114919</v>
          </cell>
          <cell r="AP527">
            <v>0.11448083202446299</v>
          </cell>
          <cell r="AQ527">
            <v>-0.15261175515076805</v>
          </cell>
          <cell r="AR527">
            <v>-0.45447431542745093</v>
          </cell>
          <cell r="AS527">
            <v>-0.73983034492069877</v>
          </cell>
          <cell r="AT527">
            <v>-1</v>
          </cell>
          <cell r="AU527">
            <v>-1</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G528">
            <v>518</v>
          </cell>
          <cell r="H528" t="str">
            <v>Actual</v>
          </cell>
          <cell r="I528">
            <v>0</v>
          </cell>
          <cell r="J528">
            <v>0</v>
          </cell>
          <cell r="K528">
            <v>0</v>
          </cell>
          <cell r="L528" t="e">
            <v>#DIV/0!</v>
          </cell>
          <cell r="M528" t="e">
            <v>#DIV/0!</v>
          </cell>
          <cell r="N528" t="e">
            <v>#DIV/0!</v>
          </cell>
          <cell r="O528" t="e">
            <v>#DIV/0!</v>
          </cell>
          <cell r="P528" t="e">
            <v>#DIV/0!</v>
          </cell>
          <cell r="Q528" t="e">
            <v>#DIV/0!</v>
          </cell>
          <cell r="R528" t="e">
            <v>#DIV/0!</v>
          </cell>
          <cell r="S528" t="e">
            <v>#DIV/0!</v>
          </cell>
          <cell r="T528" t="e">
            <v>#DIV/0!</v>
          </cell>
          <cell r="U528" t="e">
            <v>#DIV/0!</v>
          </cell>
          <cell r="V528" t="e">
            <v>#DIV/0!</v>
          </cell>
          <cell r="W528" t="e">
            <v>#DIV/0!</v>
          </cell>
          <cell r="X528">
            <v>0.87526762912498079</v>
          </cell>
          <cell r="Y528">
            <v>0.90238336374149619</v>
          </cell>
          <cell r="Z528">
            <v>0.94176524907038128</v>
          </cell>
          <cell r="AA528">
            <v>0.93155177193007177</v>
          </cell>
          <cell r="AB528">
            <v>0.91475285145968044</v>
          </cell>
          <cell r="AC528">
            <v>0.8777910058455487</v>
          </cell>
          <cell r="AD528">
            <v>0.88844582247865023</v>
          </cell>
          <cell r="AE528">
            <v>0.92173097328801878</v>
          </cell>
          <cell r="AF528">
            <v>0.93727617602427926</v>
          </cell>
          <cell r="AG528">
            <v>0.91967881036177412</v>
          </cell>
          <cell r="AH528">
            <v>0.91224007780299188</v>
          </cell>
          <cell r="AI528">
            <v>0.91690363055042345</v>
          </cell>
          <cell r="AJ528">
            <v>0.86797993560934872</v>
          </cell>
          <cell r="AK528">
            <v>0.91533100043643822</v>
          </cell>
          <cell r="AL528">
            <v>0.92472243176336866</v>
          </cell>
          <cell r="AM528">
            <v>0.929655590874924</v>
          </cell>
          <cell r="AN528">
            <v>0.90460673512707279</v>
          </cell>
          <cell r="AO528">
            <v>0.87674770037658256</v>
          </cell>
          <cell r="AP528">
            <v>0.88426876464923609</v>
          </cell>
          <cell r="AQ528" t="e">
            <v>#DIV/0!</v>
          </cell>
          <cell r="AR528" t="e">
            <v>#DIV/0!</v>
          </cell>
          <cell r="AS528" t="e">
            <v>#DIV/0!</v>
          </cell>
          <cell r="AT528" t="e">
            <v>#DIV/0!</v>
          </cell>
          <cell r="AU528" t="e">
            <v>#DIV/0!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G529">
            <v>519</v>
          </cell>
          <cell r="H529" t="str">
            <v>Target (Budget)</v>
          </cell>
          <cell r="I529">
            <v>0</v>
          </cell>
          <cell r="J529">
            <v>0</v>
          </cell>
          <cell r="K529">
            <v>0</v>
          </cell>
          <cell r="L529" t="e">
            <v>#DIV/0!</v>
          </cell>
          <cell r="M529" t="e">
            <v>#DIV/0!</v>
          </cell>
          <cell r="N529" t="e">
            <v>#DIV/0!</v>
          </cell>
          <cell r="O529" t="e">
            <v>#DIV/0!</v>
          </cell>
          <cell r="P529" t="e">
            <v>#DIV/0!</v>
          </cell>
          <cell r="Q529" t="e">
            <v>#DIV/0!</v>
          </cell>
          <cell r="R529" t="e">
            <v>#DIV/0!</v>
          </cell>
          <cell r="S529" t="e">
            <v>#DIV/0!</v>
          </cell>
          <cell r="T529" t="e">
            <v>#DIV/0!</v>
          </cell>
          <cell r="U529" t="e">
            <v>#DIV/0!</v>
          </cell>
          <cell r="V529" t="e">
            <v>#DIV/0!</v>
          </cell>
          <cell r="W529" t="e">
            <v>#DIV/0!</v>
          </cell>
          <cell r="X529">
            <v>0.85912791408186384</v>
          </cell>
          <cell r="Y529">
            <v>0.92073001070405669</v>
          </cell>
          <cell r="Z529">
            <v>0.91685467459026104</v>
          </cell>
          <cell r="AA529">
            <v>0.92411545701185671</v>
          </cell>
          <cell r="AB529">
            <v>0.90431162807152266</v>
          </cell>
          <cell r="AC529">
            <v>0.87805226247313028</v>
          </cell>
          <cell r="AD529">
            <v>0.89641220639584751</v>
          </cell>
          <cell r="AE529">
            <v>0.93402853297499955</v>
          </cell>
          <cell r="AF529">
            <v>0.92111851912702025</v>
          </cell>
          <cell r="AG529">
            <v>0.92956847764208406</v>
          </cell>
          <cell r="AH529">
            <v>0.91726580090239929</v>
          </cell>
          <cell r="AI529">
            <v>0.90926281070517123</v>
          </cell>
          <cell r="AJ529">
            <v>0.87526864228891044</v>
          </cell>
          <cell r="AK529">
            <v>0.90238223749556867</v>
          </cell>
          <cell r="AL529">
            <v>0.94176524907038117</v>
          </cell>
          <cell r="AM529">
            <v>0.93155177193007166</v>
          </cell>
          <cell r="AN529">
            <v>0.91475285145968033</v>
          </cell>
          <cell r="AO529">
            <v>0.8777910058455487</v>
          </cell>
          <cell r="AP529">
            <v>0.88844582247865012</v>
          </cell>
          <cell r="AQ529">
            <v>0.92173097328801856</v>
          </cell>
          <cell r="AR529">
            <v>0.93727617602427915</v>
          </cell>
          <cell r="AS529">
            <v>0.91967881036177412</v>
          </cell>
          <cell r="AT529">
            <v>0.91224007780299177</v>
          </cell>
          <cell r="AU529">
            <v>0.91690363055042323</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G530">
            <v>520</v>
          </cell>
          <cell r="H530" t="str">
            <v>Target (Budget) Variance</v>
          </cell>
          <cell r="I530">
            <v>0</v>
          </cell>
          <cell r="J530">
            <v>0</v>
          </cell>
          <cell r="K530">
            <v>0</v>
          </cell>
          <cell r="L530" t="e">
            <v>#DIV/0!</v>
          </cell>
          <cell r="M530" t="e">
            <v>#DIV/0!</v>
          </cell>
          <cell r="N530" t="e">
            <v>#DIV/0!</v>
          </cell>
          <cell r="O530" t="e">
            <v>#DIV/0!</v>
          </cell>
          <cell r="P530" t="e">
            <v>#DIV/0!</v>
          </cell>
          <cell r="Q530" t="e">
            <v>#DIV/0!</v>
          </cell>
          <cell r="R530" t="e">
            <v>#DIV/0!</v>
          </cell>
          <cell r="S530" t="e">
            <v>#DIV/0!</v>
          </cell>
          <cell r="T530" t="e">
            <v>#DIV/0!</v>
          </cell>
          <cell r="U530" t="e">
            <v>#DIV/0!</v>
          </cell>
          <cell r="V530" t="e">
            <v>#DIV/0!</v>
          </cell>
          <cell r="W530" t="e">
            <v>#DIV/0!</v>
          </cell>
          <cell r="X530">
            <v>1.6139715043116953E-2</v>
          </cell>
          <cell r="Y530">
            <v>-1.8346646962560498E-2</v>
          </cell>
          <cell r="Z530">
            <v>2.491057448012024E-2</v>
          </cell>
          <cell r="AA530">
            <v>7.436314918215059E-3</v>
          </cell>
          <cell r="AB530">
            <v>1.0441223388157783E-2</v>
          </cell>
          <cell r="AC530">
            <v>-2.612566275815853E-4</v>
          </cell>
          <cell r="AD530">
            <v>-7.9663839171972839E-3</v>
          </cell>
          <cell r="AE530">
            <v>-1.2297559686980764E-2</v>
          </cell>
          <cell r="AF530">
            <v>1.615765689725901E-2</v>
          </cell>
          <cell r="AG530">
            <v>-9.8896672803099328E-3</v>
          </cell>
          <cell r="AH530">
            <v>-5.0257230994074087E-3</v>
          </cell>
          <cell r="AI530">
            <v>7.6408198452522225E-3</v>
          </cell>
          <cell r="AJ530">
            <v>-7.2887066795617184E-3</v>
          </cell>
          <cell r="AK530">
            <v>1.2948762940869551E-2</v>
          </cell>
          <cell r="AL530">
            <v>-1.7042817307012514E-2</v>
          </cell>
          <cell r="AM530">
            <v>-1.896181055147661E-3</v>
          </cell>
          <cell r="AN530">
            <v>-1.0146116332607535E-2</v>
          </cell>
          <cell r="AO530">
            <v>-1.0433054689661381E-3</v>
          </cell>
          <cell r="AP530">
            <v>-4.1770578294140215E-3</v>
          </cell>
          <cell r="AQ530" t="e">
            <v>#DIV/0!</v>
          </cell>
          <cell r="AR530" t="e">
            <v>#DIV/0!</v>
          </cell>
          <cell r="AS530" t="e">
            <v>#DIV/0!</v>
          </cell>
          <cell r="AT530" t="e">
            <v>#DIV/0!</v>
          </cell>
          <cell r="AU530" t="e">
            <v>#DIV/0!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G531">
            <v>521</v>
          </cell>
          <cell r="H531" t="str">
            <v>Target (Budget) %Var</v>
          </cell>
          <cell r="I531">
            <v>0</v>
          </cell>
          <cell r="J531">
            <v>0</v>
          </cell>
          <cell r="K531">
            <v>0</v>
          </cell>
          <cell r="L531" t="e">
            <v>#DIV/0!</v>
          </cell>
          <cell r="M531" t="e">
            <v>#DIV/0!</v>
          </cell>
          <cell r="N531" t="e">
            <v>#DIV/0!</v>
          </cell>
          <cell r="O531" t="e">
            <v>#DIV/0!</v>
          </cell>
          <cell r="P531" t="e">
            <v>#DIV/0!</v>
          </cell>
          <cell r="Q531" t="e">
            <v>#DIV/0!</v>
          </cell>
          <cell r="R531" t="e">
            <v>#DIV/0!</v>
          </cell>
          <cell r="S531" t="e">
            <v>#DIV/0!</v>
          </cell>
          <cell r="T531" t="e">
            <v>#DIV/0!</v>
          </cell>
          <cell r="U531" t="e">
            <v>#DIV/0!</v>
          </cell>
          <cell r="V531" t="e">
            <v>#DIV/0!</v>
          </cell>
          <cell r="W531" t="e">
            <v>#DIV/0!</v>
          </cell>
          <cell r="X531">
            <v>1.8786160685239993E-2</v>
          </cell>
          <cell r="Y531">
            <v>-1.9926196332550654E-2</v>
          </cell>
          <cell r="Z531">
            <v>2.7169599687379774E-2</v>
          </cell>
          <cell r="AA531">
            <v>8.0469543732776764E-3</v>
          </cell>
          <cell r="AB531">
            <v>1.1546045703762619E-2</v>
          </cell>
          <cell r="AC531">
            <v>-2.9754109037396863E-4</v>
          </cell>
          <cell r="AD531">
            <v>-8.8869650149313133E-3</v>
          </cell>
          <cell r="AE531">
            <v>-1.3166149911728578E-2</v>
          </cell>
          <cell r="AF531">
            <v>1.7541344096058613E-2</v>
          </cell>
          <cell r="AG531">
            <v>-1.0638987356150211E-2</v>
          </cell>
          <cell r="AH531">
            <v>-5.4790259207997717E-3</v>
          </cell>
          <cell r="AI531">
            <v>8.4033128324322946E-3</v>
          </cell>
          <cell r="AJ531">
            <v>-8.3273938164870834E-3</v>
          </cell>
          <cell r="AK531">
            <v>1.4349532163672647E-2</v>
          </cell>
          <cell r="AL531">
            <v>-1.8096672524108872E-2</v>
          </cell>
          <cell r="AM531">
            <v>-2.0355079688367558E-3</v>
          </cell>
          <cell r="AN531">
            <v>-1.1091647669004012E-2</v>
          </cell>
          <cell r="AO531">
            <v>-1.1885579392114578E-3</v>
          </cell>
          <cell r="AP531">
            <v>-4.701533536125551E-3</v>
          </cell>
          <cell r="AQ531" t="e">
            <v>#DIV/0!</v>
          </cell>
          <cell r="AR531" t="e">
            <v>#DIV/0!</v>
          </cell>
          <cell r="AS531" t="e">
            <v>#DIV/0!</v>
          </cell>
          <cell r="AT531" t="e">
            <v>#DIV/0!</v>
          </cell>
          <cell r="AU531" t="e">
            <v>#DIV/0!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G532">
            <v>522</v>
          </cell>
          <cell r="H532" t="str">
            <v>YTD Actual</v>
          </cell>
          <cell r="I532">
            <v>0</v>
          </cell>
          <cell r="J532">
            <v>0</v>
          </cell>
          <cell r="K532">
            <v>0</v>
          </cell>
          <cell r="L532" t="e">
            <v>#DIV/0!</v>
          </cell>
          <cell r="M532" t="e">
            <v>#DIV/0!</v>
          </cell>
          <cell r="N532" t="e">
            <v>#DIV/0!</v>
          </cell>
          <cell r="O532" t="e">
            <v>#DIV/0!</v>
          </cell>
          <cell r="P532" t="e">
            <v>#DIV/0!</v>
          </cell>
          <cell r="Q532" t="e">
            <v>#DIV/0!</v>
          </cell>
          <cell r="R532" t="e">
            <v>#DIV/0!</v>
          </cell>
          <cell r="S532" t="e">
            <v>#DIV/0!</v>
          </cell>
          <cell r="T532" t="e">
            <v>#DIV/0!</v>
          </cell>
          <cell r="U532" t="e">
            <v>#DIV/0!</v>
          </cell>
          <cell r="V532" t="e">
            <v>#DIV/0!</v>
          </cell>
          <cell r="W532" t="e">
            <v>#DIV/0!</v>
          </cell>
          <cell r="X532">
            <v>0.87526762912498079</v>
          </cell>
          <cell r="Y532">
            <v>0.88868506924178914</v>
          </cell>
          <cell r="Z532">
            <v>0.90995556781502474</v>
          </cell>
          <cell r="AA532">
            <v>0.91541585878776743</v>
          </cell>
          <cell r="AB532">
            <v>0.91526780199633362</v>
          </cell>
          <cell r="AC532">
            <v>0.90947962285945594</v>
          </cell>
          <cell r="AD532">
            <v>0.90679298990217294</v>
          </cell>
          <cell r="AE532">
            <v>0.90828087472972152</v>
          </cell>
          <cell r="AF532">
            <v>0.91141359842519243</v>
          </cell>
          <cell r="AG532">
            <v>0.91218824170126034</v>
          </cell>
          <cell r="AH532">
            <v>0.91219279290753175</v>
          </cell>
          <cell r="AI532">
            <v>0.91260964070364015</v>
          </cell>
          <cell r="AJ532">
            <v>0.86797993560934872</v>
          </cell>
          <cell r="AK532">
            <v>0.89224571464540614</v>
          </cell>
          <cell r="AL532">
            <v>0.90480137618748757</v>
          </cell>
          <cell r="AM532">
            <v>0.91141859960457161</v>
          </cell>
          <cell r="AN532">
            <v>0.91000150377016664</v>
          </cell>
          <cell r="AO532">
            <v>0.90498018883830722</v>
          </cell>
          <cell r="AP532">
            <v>0.90253539029954422</v>
          </cell>
          <cell r="AQ532">
            <v>0.90253539029954422</v>
          </cell>
          <cell r="AR532">
            <v>0.90253539029954422</v>
          </cell>
          <cell r="AS532">
            <v>0.90253539029954422</v>
          </cell>
          <cell r="AT532">
            <v>0.90253539029954422</v>
          </cell>
          <cell r="AU532">
            <v>0.90253539029954422</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G533">
            <v>523</v>
          </cell>
          <cell r="H533" t="str">
            <v>YTD Target (Budget)</v>
          </cell>
          <cell r="I533">
            <v>0</v>
          </cell>
          <cell r="J533">
            <v>0</v>
          </cell>
          <cell r="K533">
            <v>0</v>
          </cell>
          <cell r="L533" t="e">
            <v>#DIV/0!</v>
          </cell>
          <cell r="M533" t="e">
            <v>#DIV/0!</v>
          </cell>
          <cell r="N533" t="e">
            <v>#DIV/0!</v>
          </cell>
          <cell r="O533" t="e">
            <v>#DIV/0!</v>
          </cell>
          <cell r="P533" t="e">
            <v>#DIV/0!</v>
          </cell>
          <cell r="Q533" t="e">
            <v>#DIV/0!</v>
          </cell>
          <cell r="R533" t="e">
            <v>#DIV/0!</v>
          </cell>
          <cell r="S533" t="e">
            <v>#DIV/0!</v>
          </cell>
          <cell r="T533" t="e">
            <v>#DIV/0!</v>
          </cell>
          <cell r="U533" t="e">
            <v>#DIV/0!</v>
          </cell>
          <cell r="V533" t="e">
            <v>#DIV/0!</v>
          </cell>
          <cell r="W533" t="e">
            <v>#DIV/0!</v>
          </cell>
          <cell r="X533">
            <v>0.85912791408186384</v>
          </cell>
          <cell r="Y533">
            <v>0.89050075100918213</v>
          </cell>
          <cell r="Z533">
            <v>0.89907243242404178</v>
          </cell>
          <cell r="AA533">
            <v>0.90558331725637486</v>
          </cell>
          <cell r="AB533">
            <v>0.90534042982197938</v>
          </cell>
          <cell r="AC533">
            <v>0.90103004142652399</v>
          </cell>
          <cell r="AD533">
            <v>0.90035999078187756</v>
          </cell>
          <cell r="AE533">
            <v>0.90418001250533908</v>
          </cell>
          <cell r="AF533">
            <v>0.90605288476064283</v>
          </cell>
          <cell r="AG533">
            <v>0.90839521718302696</v>
          </cell>
          <cell r="AH533">
            <v>0.90917364076276153</v>
          </cell>
          <cell r="AI533">
            <v>0.90918089228718357</v>
          </cell>
          <cell r="AJ533">
            <v>0.87526864228891044</v>
          </cell>
          <cell r="AK533">
            <v>0.88868502398968352</v>
          </cell>
          <cell r="AL533">
            <v>0.90973944028388054</v>
          </cell>
          <cell r="AM533">
            <v>0.91521240483103328</v>
          </cell>
          <cell r="AN533">
            <v>0.915110389169148</v>
          </cell>
          <cell r="AO533">
            <v>0.90937540540004647</v>
          </cell>
          <cell r="AP533">
            <v>0.90671377677997744</v>
          </cell>
          <cell r="AQ533">
            <v>0.90820365833628347</v>
          </cell>
          <cell r="AR533">
            <v>0.91133368152921523</v>
          </cell>
          <cell r="AS533">
            <v>0.91211332200788664</v>
          </cell>
          <cell r="AT533">
            <v>0.91212441879190054</v>
          </cell>
          <cell r="AU533">
            <v>0.91254619545542737</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G534">
            <v>524</v>
          </cell>
          <cell r="H534" t="str">
            <v>YTD Target (Budget) Var</v>
          </cell>
          <cell r="I534">
            <v>0</v>
          </cell>
          <cell r="J534">
            <v>0</v>
          </cell>
          <cell r="K534">
            <v>0</v>
          </cell>
          <cell r="L534" t="e">
            <v>#DIV/0!</v>
          </cell>
          <cell r="M534" t="e">
            <v>#DIV/0!</v>
          </cell>
          <cell r="N534" t="e">
            <v>#DIV/0!</v>
          </cell>
          <cell r="O534" t="e">
            <v>#DIV/0!</v>
          </cell>
          <cell r="P534" t="e">
            <v>#DIV/0!</v>
          </cell>
          <cell r="Q534" t="e">
            <v>#DIV/0!</v>
          </cell>
          <cell r="R534" t="e">
            <v>#DIV/0!</v>
          </cell>
          <cell r="S534" t="e">
            <v>#DIV/0!</v>
          </cell>
          <cell r="T534" t="e">
            <v>#DIV/0!</v>
          </cell>
          <cell r="U534" t="e">
            <v>#DIV/0!</v>
          </cell>
          <cell r="V534" t="e">
            <v>#DIV/0!</v>
          </cell>
          <cell r="W534" t="e">
            <v>#DIV/0!</v>
          </cell>
          <cell r="X534">
            <v>1.6139715043116953E-2</v>
          </cell>
          <cell r="Y534">
            <v>-1.8156817673929959E-3</v>
          </cell>
          <cell r="Z534">
            <v>1.0883135390982956E-2</v>
          </cell>
          <cell r="AA534">
            <v>9.832541531392569E-3</v>
          </cell>
          <cell r="AB534">
            <v>9.9273721743542431E-3</v>
          </cell>
          <cell r="AC534">
            <v>8.4495814329319519E-3</v>
          </cell>
          <cell r="AD534">
            <v>6.4329991202953796E-3</v>
          </cell>
          <cell r="AE534">
            <v>4.10086222438244E-3</v>
          </cell>
          <cell r="AF534">
            <v>5.360713664549599E-3</v>
          </cell>
          <cell r="AG534">
            <v>3.7930245182333788E-3</v>
          </cell>
          <cell r="AH534">
            <v>3.0191521447702208E-3</v>
          </cell>
          <cell r="AI534">
            <v>3.4287484164565729E-3</v>
          </cell>
          <cell r="AJ534">
            <v>-7.2887066795617184E-3</v>
          </cell>
          <cell r="AK534">
            <v>3.5606906557226203E-3</v>
          </cell>
          <cell r="AL534">
            <v>-4.9380640963929689E-3</v>
          </cell>
          <cell r="AM534">
            <v>-3.7938052264616662E-3</v>
          </cell>
          <cell r="AN534">
            <v>-5.1088853989813554E-3</v>
          </cell>
          <cell r="AO534">
            <v>-4.3952165617392458E-3</v>
          </cell>
          <cell r="AP534">
            <v>-4.1783864804332271E-3</v>
          </cell>
          <cell r="AQ534">
            <v>-5.6682680367392546E-3</v>
          </cell>
          <cell r="AR534">
            <v>-8.7982912296710181E-3</v>
          </cell>
          <cell r="AS534">
            <v>-9.5779317083424242E-3</v>
          </cell>
          <cell r="AT534">
            <v>-9.5890284923563218E-3</v>
          </cell>
          <cell r="AU534">
            <v>-1.0010805155883151E-2</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G535">
            <v>525</v>
          </cell>
          <cell r="H535" t="str">
            <v>YTD %Var</v>
          </cell>
          <cell r="I535">
            <v>0</v>
          </cell>
          <cell r="J535">
            <v>0</v>
          </cell>
          <cell r="K535">
            <v>0</v>
          </cell>
          <cell r="L535" t="e">
            <v>#DIV/0!</v>
          </cell>
          <cell r="M535" t="e">
            <v>#DIV/0!</v>
          </cell>
          <cell r="N535" t="e">
            <v>#DIV/0!</v>
          </cell>
          <cell r="O535" t="e">
            <v>#DIV/0!</v>
          </cell>
          <cell r="P535" t="e">
            <v>#DIV/0!</v>
          </cell>
          <cell r="Q535" t="e">
            <v>#DIV/0!</v>
          </cell>
          <cell r="R535" t="e">
            <v>#DIV/0!</v>
          </cell>
          <cell r="S535" t="e">
            <v>#DIV/0!</v>
          </cell>
          <cell r="T535" t="e">
            <v>#DIV/0!</v>
          </cell>
          <cell r="U535" t="e">
            <v>#DIV/0!</v>
          </cell>
          <cell r="V535" t="e">
            <v>#DIV/0!</v>
          </cell>
          <cell r="W535" t="e">
            <v>#DIV/0!</v>
          </cell>
          <cell r="X535">
            <v>1.8786160685239993E-2</v>
          </cell>
          <cell r="Y535">
            <v>-2.0389446784130497E-3</v>
          </cell>
          <cell r="Z535">
            <v>1.2104848284181397E-2</v>
          </cell>
          <cell r="AA535">
            <v>1.0857688457846149E-2</v>
          </cell>
          <cell r="AB535">
            <v>1.0965347229998666E-2</v>
          </cell>
          <cell r="AC535">
            <v>9.3776911361961365E-3</v>
          </cell>
          <cell r="AD535">
            <v>7.1449189059466399E-3</v>
          </cell>
          <cell r="AE535">
            <v>4.5354488792774825E-3</v>
          </cell>
          <cell r="AF535">
            <v>5.9165571400015679E-3</v>
          </cell>
          <cell r="AG535">
            <v>4.175522334866219E-3</v>
          </cell>
          <cell r="AH535">
            <v>3.320765153548962E-3</v>
          </cell>
          <cell r="AI535">
            <v>3.7712499740629522E-3</v>
          </cell>
          <cell r="AJ535">
            <v>-8.3273938164870834E-3</v>
          </cell>
          <cell r="AK535">
            <v>4.0066959154292613E-3</v>
          </cell>
          <cell r="AL535">
            <v>-5.4279982572285378E-3</v>
          </cell>
          <cell r="AM535">
            <v>-4.1452729513233371E-3</v>
          </cell>
          <cell r="AN535">
            <v>-5.5828077786548164E-3</v>
          </cell>
          <cell r="AO535">
            <v>-4.8332256795594018E-3</v>
          </cell>
          <cell r="AP535">
            <v>-4.6082750559630591E-3</v>
          </cell>
          <cell r="AQ535">
            <v>-6.2411860871853554E-3</v>
          </cell>
          <cell r="AR535">
            <v>-9.654302708210577E-3</v>
          </cell>
          <cell r="AS535">
            <v>-1.050081330602428E-2</v>
          </cell>
          <cell r="AT535">
            <v>-1.0512851421143721E-2</v>
          </cell>
          <cell r="AU535">
            <v>-1.0970190008722821E-2</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G536">
            <v>526</v>
          </cell>
          <cell r="H536" t="str">
            <v>4 Month Actual</v>
          </cell>
          <cell r="I536">
            <v>0</v>
          </cell>
          <cell r="J536">
            <v>0</v>
          </cell>
          <cell r="K536">
            <v>0</v>
          </cell>
          <cell r="L536" t="e">
            <v>#DIV/0!</v>
          </cell>
          <cell r="M536" t="e">
            <v>#DIV/0!</v>
          </cell>
          <cell r="N536" t="e">
            <v>#DIV/0!</v>
          </cell>
          <cell r="O536" t="e">
            <v>#DIV/0!</v>
          </cell>
          <cell r="P536" t="e">
            <v>#DIV/0!</v>
          </cell>
          <cell r="Q536" t="e">
            <v>#DIV/0!</v>
          </cell>
          <cell r="R536" t="e">
            <v>#DIV/0!</v>
          </cell>
          <cell r="S536" t="e">
            <v>#DIV/0!</v>
          </cell>
          <cell r="T536" t="e">
            <v>#DIV/0!</v>
          </cell>
          <cell r="U536" t="e">
            <v>#DIV/0!</v>
          </cell>
          <cell r="V536" t="e">
            <v>#DIV/0!</v>
          </cell>
          <cell r="W536" t="e">
            <v>#DIV/0!</v>
          </cell>
          <cell r="X536">
            <v>0.87526762912498079</v>
          </cell>
          <cell r="Y536">
            <v>0.88868506924178914</v>
          </cell>
          <cell r="Z536">
            <v>0.90995556781502474</v>
          </cell>
          <cell r="AA536">
            <v>0.91541585878776743</v>
          </cell>
          <cell r="AB536">
            <v>0.92379299416756111</v>
          </cell>
          <cell r="AC536">
            <v>0.91814147666817336</v>
          </cell>
          <cell r="AD536">
            <v>0.90442647450011682</v>
          </cell>
          <cell r="AE536">
            <v>0.90068055435874794</v>
          </cell>
          <cell r="AF536">
            <v>0.90581338639825337</v>
          </cell>
          <cell r="AG536">
            <v>0.91689800104041119</v>
          </cell>
          <cell r="AH536">
            <v>0.92286094360536586</v>
          </cell>
          <cell r="AI536">
            <v>0.92148385589505388</v>
          </cell>
          <cell r="AJ536">
            <v>0.90500553522556049</v>
          </cell>
          <cell r="AK536">
            <v>0.90398169558625185</v>
          </cell>
          <cell r="AL536">
            <v>0.90795911155797937</v>
          </cell>
          <cell r="AM536">
            <v>0.91141859960457161</v>
          </cell>
          <cell r="AN536">
            <v>0.91884010407307548</v>
          </cell>
          <cell r="AO536">
            <v>0.91050635670177993</v>
          </cell>
          <cell r="AP536">
            <v>0.9007898790185298</v>
          </cell>
          <cell r="AQ536">
            <v>0.88959192241414164</v>
          </cell>
          <cell r="AR536">
            <v>0.88028168012032171</v>
          </cell>
          <cell r="AS536">
            <v>0.88426876464923609</v>
          </cell>
          <cell r="AT536" t="e">
            <v>#DIV/0!</v>
          </cell>
          <cell r="AU536" t="e">
            <v>#DIV/0!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G537">
            <v>527</v>
          </cell>
          <cell r="H537" t="str">
            <v>4 Month Target (Budget)</v>
          </cell>
          <cell r="I537">
            <v>0</v>
          </cell>
          <cell r="J537">
            <v>0</v>
          </cell>
          <cell r="K537">
            <v>0</v>
          </cell>
          <cell r="L537" t="e">
            <v>#DIV/0!</v>
          </cell>
          <cell r="M537" t="e">
            <v>#DIV/0!</v>
          </cell>
          <cell r="N537" t="e">
            <v>#DIV/0!</v>
          </cell>
          <cell r="O537" t="e">
            <v>#DIV/0!</v>
          </cell>
          <cell r="P537" t="e">
            <v>#DIV/0!</v>
          </cell>
          <cell r="Q537" t="e">
            <v>#DIV/0!</v>
          </cell>
          <cell r="R537" t="e">
            <v>#DIV/0!</v>
          </cell>
          <cell r="S537" t="e">
            <v>#DIV/0!</v>
          </cell>
          <cell r="T537" t="e">
            <v>#DIV/0!</v>
          </cell>
          <cell r="U537" t="e">
            <v>#DIV/0!</v>
          </cell>
          <cell r="V537" t="e">
            <v>#DIV/0!</v>
          </cell>
          <cell r="W537" t="e">
            <v>#DIV/0!</v>
          </cell>
          <cell r="X537">
            <v>0.85912791408186384</v>
          </cell>
          <cell r="Y537">
            <v>0.89050075100918213</v>
          </cell>
          <cell r="Z537">
            <v>0.89907243242404178</v>
          </cell>
          <cell r="AA537">
            <v>0.90558331725637486</v>
          </cell>
          <cell r="AB537">
            <v>0.91676581714882854</v>
          </cell>
          <cell r="AC537">
            <v>0.90645773324194645</v>
          </cell>
          <cell r="AD537">
            <v>0.90133512242513092</v>
          </cell>
          <cell r="AE537">
            <v>0.90268215913162231</v>
          </cell>
          <cell r="AF537">
            <v>0.90698819062601932</v>
          </cell>
          <cell r="AG537">
            <v>0.91976887604451085</v>
          </cell>
          <cell r="AH537">
            <v>0.92537543344029638</v>
          </cell>
          <cell r="AI537">
            <v>0.91938717819015336</v>
          </cell>
          <cell r="AJ537">
            <v>0.908286691604831</v>
          </cell>
          <cell r="AK537">
            <v>0.90124817564116955</v>
          </cell>
          <cell r="AL537">
            <v>0.90962464993948977</v>
          </cell>
          <cell r="AM537">
            <v>0.91521240483103328</v>
          </cell>
          <cell r="AN537">
            <v>0.92371647942784352</v>
          </cell>
          <cell r="AO537">
            <v>0.91814147666817314</v>
          </cell>
          <cell r="AP537">
            <v>0.90442647450011682</v>
          </cell>
          <cell r="AQ537">
            <v>0.90068055435874772</v>
          </cell>
          <cell r="AR537">
            <v>0.90581338639825337</v>
          </cell>
          <cell r="AS537">
            <v>0.91689800104041108</v>
          </cell>
          <cell r="AT537">
            <v>0.92286094360536586</v>
          </cell>
          <cell r="AU537">
            <v>0.92148385589505377</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G538">
            <v>528</v>
          </cell>
          <cell r="H538" t="str">
            <v>4 Month Target (Budget) Var</v>
          </cell>
          <cell r="I538">
            <v>0</v>
          </cell>
          <cell r="J538">
            <v>0</v>
          </cell>
          <cell r="K538">
            <v>0</v>
          </cell>
          <cell r="L538" t="e">
            <v>#DIV/0!</v>
          </cell>
          <cell r="M538" t="e">
            <v>#DIV/0!</v>
          </cell>
          <cell r="N538" t="e">
            <v>#DIV/0!</v>
          </cell>
          <cell r="O538" t="e">
            <v>#DIV/0!</v>
          </cell>
          <cell r="P538" t="e">
            <v>#DIV/0!</v>
          </cell>
          <cell r="Q538" t="e">
            <v>#DIV/0!</v>
          </cell>
          <cell r="R538" t="e">
            <v>#DIV/0!</v>
          </cell>
          <cell r="S538" t="e">
            <v>#DIV/0!</v>
          </cell>
          <cell r="T538" t="e">
            <v>#DIV/0!</v>
          </cell>
          <cell r="U538" t="e">
            <v>#DIV/0!</v>
          </cell>
          <cell r="V538" t="e">
            <v>#DIV/0!</v>
          </cell>
          <cell r="W538" t="e">
            <v>#DIV/0!</v>
          </cell>
          <cell r="X538">
            <v>1.6139715043116953E-2</v>
          </cell>
          <cell r="Y538">
            <v>-1.8156817673929959E-3</v>
          </cell>
          <cell r="Z538">
            <v>1.0883135390982956E-2</v>
          </cell>
          <cell r="AA538">
            <v>9.832541531392569E-3</v>
          </cell>
          <cell r="AB538">
            <v>7.0271770187325666E-3</v>
          </cell>
          <cell r="AC538">
            <v>1.1683743426226911E-2</v>
          </cell>
          <cell r="AD538">
            <v>3.091352074985898E-3</v>
          </cell>
          <cell r="AE538">
            <v>-2.0016047728743658E-3</v>
          </cell>
          <cell r="AF538">
            <v>-1.1748042277659465E-3</v>
          </cell>
          <cell r="AG538">
            <v>-2.87087500409966E-3</v>
          </cell>
          <cell r="AH538">
            <v>-2.5144898349305222E-3</v>
          </cell>
          <cell r="AI538">
            <v>2.0966777049005181E-3</v>
          </cell>
          <cell r="AJ538">
            <v>-3.2811563792705112E-3</v>
          </cell>
          <cell r="AK538">
            <v>2.7335199450823078E-3</v>
          </cell>
          <cell r="AL538">
            <v>-1.6655383815104008E-3</v>
          </cell>
          <cell r="AM538">
            <v>-3.7938052264616662E-3</v>
          </cell>
          <cell r="AN538">
            <v>-4.8763753547680366E-3</v>
          </cell>
          <cell r="AO538">
            <v>-7.6351199663932112E-3</v>
          </cell>
          <cell r="AP538">
            <v>-3.6365954815870127E-3</v>
          </cell>
          <cell r="AQ538">
            <v>-1.1088631944606075E-2</v>
          </cell>
          <cell r="AR538">
            <v>-2.5531706277931665E-2</v>
          </cell>
          <cell r="AS538">
            <v>-3.2629236391174987E-2</v>
          </cell>
          <cell r="AT538" t="e">
            <v>#DIV/0!</v>
          </cell>
          <cell r="AU538" t="e">
            <v>#DIV/0!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G539">
            <v>529</v>
          </cell>
          <cell r="H539" t="str">
            <v>4 Month Target (Budget) % Var</v>
          </cell>
          <cell r="I539">
            <v>0</v>
          </cell>
          <cell r="J539">
            <v>0</v>
          </cell>
          <cell r="K539">
            <v>0</v>
          </cell>
          <cell r="L539" t="e">
            <v>#DIV/0!</v>
          </cell>
          <cell r="M539" t="e">
            <v>#DIV/0!</v>
          </cell>
          <cell r="N539" t="e">
            <v>#DIV/0!</v>
          </cell>
          <cell r="O539" t="e">
            <v>#DIV/0!</v>
          </cell>
          <cell r="P539" t="e">
            <v>#DIV/0!</v>
          </cell>
          <cell r="Q539" t="e">
            <v>#DIV/0!</v>
          </cell>
          <cell r="R539" t="e">
            <v>#DIV/0!</v>
          </cell>
          <cell r="S539" t="e">
            <v>#DIV/0!</v>
          </cell>
          <cell r="T539" t="e">
            <v>#DIV/0!</v>
          </cell>
          <cell r="U539" t="e">
            <v>#DIV/0!</v>
          </cell>
          <cell r="V539" t="e">
            <v>#DIV/0!</v>
          </cell>
          <cell r="W539" t="e">
            <v>#DIV/0!</v>
          </cell>
          <cell r="X539">
            <v>1.8786160685239993E-2</v>
          </cell>
          <cell r="Y539">
            <v>-2.0389446784130497E-3</v>
          </cell>
          <cell r="Z539">
            <v>1.2104848284181397E-2</v>
          </cell>
          <cell r="AA539">
            <v>1.0857688457846149E-2</v>
          </cell>
          <cell r="AB539">
            <v>7.6651821951513365E-3</v>
          </cell>
          <cell r="AC539">
            <v>1.2889451981881161E-2</v>
          </cell>
          <cell r="AD539">
            <v>3.4297477132238128E-3</v>
          </cell>
          <cell r="AE539">
            <v>-2.2173970678670595E-3</v>
          </cell>
          <cell r="AF539">
            <v>-1.29528062207191E-3</v>
          </cell>
          <cell r="AG539">
            <v>-3.1213004471796544E-3</v>
          </cell>
          <cell r="AH539">
            <v>-2.7172645221219317E-3</v>
          </cell>
          <cell r="AI539">
            <v>2.2805165817386137E-3</v>
          </cell>
          <cell r="AJ539">
            <v>-3.6124677479013934E-3</v>
          </cell>
          <cell r="AK539">
            <v>3.0330379788426382E-3</v>
          </cell>
          <cell r="AL539">
            <v>-1.8310172021186938E-3</v>
          </cell>
          <cell r="AM539">
            <v>-4.1452729513233371E-3</v>
          </cell>
          <cell r="AN539">
            <v>-5.2790823411405386E-3</v>
          </cell>
          <cell r="AO539">
            <v>-8.3158425584912675E-3</v>
          </cell>
          <cell r="AP539">
            <v>-4.020885703945128E-3</v>
          </cell>
          <cell r="AQ539">
            <v>-1.2311392636316861E-2</v>
          </cell>
          <cell r="AR539">
            <v>-2.8186496977542233E-2</v>
          </cell>
          <cell r="AS539">
            <v>-3.5586549817046551E-2</v>
          </cell>
          <cell r="AT539" t="e">
            <v>#DIV/0!</v>
          </cell>
          <cell r="AU539" t="e">
            <v>#DIV/0!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G540">
            <v>529</v>
          </cell>
          <cell r="H540" t="str">
            <v>Total Personnel Actual</v>
          </cell>
          <cell r="I540">
            <v>0</v>
          </cell>
          <cell r="J540">
            <v>0</v>
          </cell>
          <cell r="K540">
            <v>0</v>
          </cell>
          <cell r="L540">
            <v>357839</v>
          </cell>
          <cell r="M540">
            <v>382457</v>
          </cell>
          <cell r="N540">
            <v>407576</v>
          </cell>
          <cell r="O540">
            <v>385606</v>
          </cell>
          <cell r="P540">
            <v>406551</v>
          </cell>
          <cell r="Q540">
            <v>365009</v>
          </cell>
          <cell r="R540">
            <v>343859</v>
          </cell>
          <cell r="S540">
            <v>331938</v>
          </cell>
          <cell r="T540">
            <v>327353</v>
          </cell>
          <cell r="U540">
            <v>246943</v>
          </cell>
          <cell r="V540">
            <v>263896</v>
          </cell>
          <cell r="W540">
            <v>276213</v>
          </cell>
          <cell r="X540">
            <v>266557</v>
          </cell>
          <cell r="Y540">
            <v>286085</v>
          </cell>
          <cell r="Z540">
            <v>288165</v>
          </cell>
          <cell r="AA540">
            <v>291894</v>
          </cell>
          <cell r="AB540">
            <v>264348</v>
          </cell>
          <cell r="AC540">
            <v>273857</v>
          </cell>
          <cell r="AD540">
            <v>320364</v>
          </cell>
          <cell r="AE540">
            <v>278453</v>
          </cell>
          <cell r="AF540">
            <v>285964</v>
          </cell>
          <cell r="AG540">
            <v>291416</v>
          </cell>
          <cell r="AH540">
            <v>311577</v>
          </cell>
          <cell r="AI540">
            <v>321257</v>
          </cell>
          <cell r="AJ540">
            <v>264635</v>
          </cell>
          <cell r="AK540">
            <v>285445</v>
          </cell>
          <cell r="AL540">
            <v>293539</v>
          </cell>
          <cell r="AM540">
            <v>210144</v>
          </cell>
          <cell r="AN540">
            <v>269425</v>
          </cell>
          <cell r="AO540">
            <v>270528</v>
          </cell>
          <cell r="AP540">
            <v>273666</v>
          </cell>
          <cell r="AQ540">
            <v>201500</v>
          </cell>
          <cell r="AR540">
            <v>206579</v>
          </cell>
          <cell r="AS540" t="e">
            <v>#DIV/0!</v>
          </cell>
          <cell r="AT540" t="e">
            <v>#DIV/0!</v>
          </cell>
          <cell r="AU540" t="e">
            <v>#DIV/0!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G541">
            <v>0</v>
          </cell>
          <cell r="H541" t="str">
            <v>Employee Benefits Actual</v>
          </cell>
          <cell r="I541">
            <v>0</v>
          </cell>
          <cell r="J541">
            <v>0</v>
          </cell>
          <cell r="K541">
            <v>0</v>
          </cell>
          <cell r="L541">
            <v>91650</v>
          </cell>
          <cell r="M541">
            <v>99159</v>
          </cell>
          <cell r="N541">
            <v>102750</v>
          </cell>
          <cell r="O541">
            <v>100772</v>
          </cell>
          <cell r="P541">
            <v>106412</v>
          </cell>
          <cell r="Q541">
            <v>94961</v>
          </cell>
          <cell r="R541">
            <v>89809</v>
          </cell>
          <cell r="S541">
            <v>86854</v>
          </cell>
          <cell r="T541">
            <v>85449</v>
          </cell>
          <cell r="U541">
            <v>64456</v>
          </cell>
          <cell r="V541">
            <v>69027</v>
          </cell>
          <cell r="W541">
            <v>72979</v>
          </cell>
          <cell r="X541">
            <v>69215</v>
          </cell>
          <cell r="Y541">
            <v>73617</v>
          </cell>
          <cell r="Z541">
            <v>74166</v>
          </cell>
          <cell r="AA541">
            <v>76862</v>
          </cell>
          <cell r="AB541">
            <v>69795</v>
          </cell>
          <cell r="AC541">
            <v>71948</v>
          </cell>
          <cell r="AD541">
            <v>81399</v>
          </cell>
          <cell r="AE541">
            <v>73758</v>
          </cell>
          <cell r="AF541">
            <v>75540</v>
          </cell>
          <cell r="AG541">
            <v>77225</v>
          </cell>
          <cell r="AH541">
            <v>78877</v>
          </cell>
          <cell r="AI541">
            <v>84668</v>
          </cell>
          <cell r="AJ541">
            <v>69213</v>
          </cell>
          <cell r="AK541">
            <v>75386</v>
          </cell>
          <cell r="AL541">
            <v>75065</v>
          </cell>
          <cell r="AM541">
            <v>0</v>
          </cell>
          <cell r="AN541">
            <v>72536</v>
          </cell>
          <cell r="AO541">
            <v>73032</v>
          </cell>
          <cell r="AP541">
            <v>74130</v>
          </cell>
          <cell r="AQ541">
            <v>201626</v>
          </cell>
          <cell r="AR541">
            <v>214253</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G542">
            <v>0</v>
          </cell>
          <cell r="H542" t="str">
            <v>Net Shared Services Salary $ Actual</v>
          </cell>
          <cell r="I542">
            <v>0</v>
          </cell>
          <cell r="J542">
            <v>0</v>
          </cell>
          <cell r="K542">
            <v>0</v>
          </cell>
          <cell r="L542">
            <v>266189</v>
          </cell>
          <cell r="M542">
            <v>283298</v>
          </cell>
          <cell r="N542">
            <v>304826</v>
          </cell>
          <cell r="O542">
            <v>284834</v>
          </cell>
          <cell r="P542">
            <v>300139</v>
          </cell>
          <cell r="Q542">
            <v>270048</v>
          </cell>
          <cell r="R542">
            <v>254050</v>
          </cell>
          <cell r="S542">
            <v>245084</v>
          </cell>
          <cell r="T542">
            <v>241904</v>
          </cell>
          <cell r="U542">
            <v>182487</v>
          </cell>
          <cell r="V542">
            <v>194869</v>
          </cell>
          <cell r="W542">
            <v>203234</v>
          </cell>
          <cell r="X542">
            <v>197342</v>
          </cell>
          <cell r="Y542">
            <v>212468</v>
          </cell>
          <cell r="Z542">
            <v>213999</v>
          </cell>
          <cell r="AA542">
            <v>215032</v>
          </cell>
          <cell r="AB542">
            <v>194553</v>
          </cell>
          <cell r="AC542">
            <v>201909</v>
          </cell>
          <cell r="AD542">
            <v>238965</v>
          </cell>
          <cell r="AE542">
            <v>204695</v>
          </cell>
          <cell r="AF542">
            <v>210424</v>
          </cell>
          <cell r="AG542">
            <v>214191</v>
          </cell>
          <cell r="AH542">
            <v>232700</v>
          </cell>
          <cell r="AI542">
            <v>236589</v>
          </cell>
          <cell r="AJ542">
            <v>195422</v>
          </cell>
          <cell r="AK542">
            <v>210059</v>
          </cell>
          <cell r="AL542">
            <v>218474</v>
          </cell>
          <cell r="AM542">
            <v>210144</v>
          </cell>
          <cell r="AN542">
            <v>196889</v>
          </cell>
          <cell r="AO542">
            <v>197496</v>
          </cell>
          <cell r="AP542">
            <v>199536</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G543">
            <v>0</v>
          </cell>
          <cell r="H543" t="str">
            <v>Total Personnel Target</v>
          </cell>
          <cell r="I543">
            <v>0</v>
          </cell>
          <cell r="J543">
            <v>0</v>
          </cell>
          <cell r="K543">
            <v>0</v>
          </cell>
          <cell r="L543">
            <v>377627</v>
          </cell>
          <cell r="M543">
            <v>372204</v>
          </cell>
          <cell r="N543">
            <v>425267</v>
          </cell>
          <cell r="O543">
            <v>399306</v>
          </cell>
          <cell r="P543">
            <v>420024</v>
          </cell>
          <cell r="Q543">
            <v>424024</v>
          </cell>
          <cell r="R543">
            <v>359457</v>
          </cell>
          <cell r="S543">
            <v>359458</v>
          </cell>
          <cell r="T543">
            <v>384308</v>
          </cell>
          <cell r="U543">
            <v>364863</v>
          </cell>
          <cell r="V543">
            <v>379841</v>
          </cell>
          <cell r="W543">
            <v>384383</v>
          </cell>
          <cell r="X543">
            <v>290724</v>
          </cell>
          <cell r="Y543">
            <v>294082</v>
          </cell>
          <cell r="Z543">
            <v>325166</v>
          </cell>
          <cell r="AA543">
            <v>299460</v>
          </cell>
          <cell r="AB543">
            <v>287470</v>
          </cell>
          <cell r="AC543">
            <v>315813</v>
          </cell>
          <cell r="AD543">
            <v>290664</v>
          </cell>
          <cell r="AE543">
            <v>287470</v>
          </cell>
          <cell r="AF543">
            <v>315813</v>
          </cell>
          <cell r="AG543">
            <v>299460</v>
          </cell>
          <cell r="AH543">
            <v>287470</v>
          </cell>
          <cell r="AI543">
            <v>315810</v>
          </cell>
          <cell r="AJ543">
            <v>266356</v>
          </cell>
          <cell r="AK543">
            <v>269510</v>
          </cell>
          <cell r="AL543">
            <v>307407</v>
          </cell>
          <cell r="AM543">
            <v>210816</v>
          </cell>
          <cell r="AN543">
            <v>271435</v>
          </cell>
          <cell r="AO543">
            <v>280037</v>
          </cell>
          <cell r="AP543">
            <v>275968</v>
          </cell>
          <cell r="AQ543">
            <v>1633209</v>
          </cell>
          <cell r="AR543">
            <v>1847462</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G544">
            <v>530</v>
          </cell>
          <cell r="H544" t="str">
            <v>Employee Benefits Target</v>
          </cell>
          <cell r="I544">
            <v>0</v>
          </cell>
          <cell r="J544">
            <v>0</v>
          </cell>
          <cell r="K544">
            <v>0</v>
          </cell>
          <cell r="L544">
            <v>95385</v>
          </cell>
          <cell r="M544">
            <v>95932</v>
          </cell>
          <cell r="N544">
            <v>110525</v>
          </cell>
          <cell r="O544">
            <v>103430</v>
          </cell>
          <cell r="P544">
            <v>109129</v>
          </cell>
          <cell r="Q544">
            <v>109742</v>
          </cell>
          <cell r="R544">
            <v>93039</v>
          </cell>
          <cell r="S544">
            <v>93040</v>
          </cell>
          <cell r="T544">
            <v>99274</v>
          </cell>
          <cell r="U544">
            <v>94480</v>
          </cell>
          <cell r="V544">
            <v>98654</v>
          </cell>
          <cell r="W544">
            <v>99620</v>
          </cell>
          <cell r="X544">
            <v>76384</v>
          </cell>
          <cell r="Y544">
            <v>77244</v>
          </cell>
          <cell r="Z544">
            <v>85427</v>
          </cell>
          <cell r="AA544">
            <v>77347</v>
          </cell>
          <cell r="AB544">
            <v>74502</v>
          </cell>
          <cell r="AC544">
            <v>81962</v>
          </cell>
          <cell r="AD544">
            <v>75366</v>
          </cell>
          <cell r="AE544">
            <v>74502</v>
          </cell>
          <cell r="AF544">
            <v>81962</v>
          </cell>
          <cell r="AG544">
            <v>77347</v>
          </cell>
          <cell r="AH544">
            <v>74502</v>
          </cell>
          <cell r="AI544">
            <v>81975</v>
          </cell>
          <cell r="AJ544">
            <v>71434</v>
          </cell>
          <cell r="AK544">
            <v>72693</v>
          </cell>
          <cell r="AL544">
            <v>79523</v>
          </cell>
          <cell r="AM544">
            <v>0</v>
          </cell>
          <cell r="AN544">
            <v>73122</v>
          </cell>
          <cell r="AO544">
            <v>75438</v>
          </cell>
          <cell r="AP544">
            <v>74342</v>
          </cell>
          <cell r="AQ544">
            <v>4.8455514350590083E-2</v>
          </cell>
          <cell r="AR544">
            <v>7.8226537994394427E-2</v>
          </cell>
          <cell r="AS544">
            <v>0.13939236684186865</v>
          </cell>
          <cell r="AT544">
            <v>0.10360822667129345</v>
          </cell>
          <cell r="AU544" t="e">
            <v>#DIV/0!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G545">
            <v>531</v>
          </cell>
          <cell r="H545" t="str">
            <v>Net Shared Services Salary $ Target</v>
          </cell>
          <cell r="I545">
            <v>0</v>
          </cell>
          <cell r="J545">
            <v>0</v>
          </cell>
          <cell r="K545">
            <v>0</v>
          </cell>
          <cell r="L545">
            <v>282242</v>
          </cell>
          <cell r="M545">
            <v>276272</v>
          </cell>
          <cell r="N545">
            <v>314742</v>
          </cell>
          <cell r="O545">
            <v>295876</v>
          </cell>
          <cell r="P545">
            <v>310895</v>
          </cell>
          <cell r="Q545">
            <v>314282</v>
          </cell>
          <cell r="R545">
            <v>266418</v>
          </cell>
          <cell r="S545">
            <v>266418</v>
          </cell>
          <cell r="T545">
            <v>285034</v>
          </cell>
          <cell r="U545">
            <v>270383</v>
          </cell>
          <cell r="V545">
            <v>281187</v>
          </cell>
          <cell r="W545">
            <v>284763</v>
          </cell>
          <cell r="X545">
            <v>214340</v>
          </cell>
          <cell r="Y545">
            <v>216838</v>
          </cell>
          <cell r="Z545">
            <v>239739</v>
          </cell>
          <cell r="AA545">
            <v>222113</v>
          </cell>
          <cell r="AB545">
            <v>212968</v>
          </cell>
          <cell r="AC545">
            <v>233851</v>
          </cell>
          <cell r="AD545">
            <v>215298</v>
          </cell>
          <cell r="AE545">
            <v>212968</v>
          </cell>
          <cell r="AF545">
            <v>233851</v>
          </cell>
          <cell r="AG545">
            <v>222113</v>
          </cell>
          <cell r="AH545">
            <v>212968</v>
          </cell>
          <cell r="AI545">
            <v>233835</v>
          </cell>
          <cell r="AJ545">
            <v>194922</v>
          </cell>
          <cell r="AK545">
            <v>196817</v>
          </cell>
          <cell r="AL545">
            <v>227884</v>
          </cell>
          <cell r="AM545">
            <v>210816</v>
          </cell>
          <cell r="AN545">
            <v>198313</v>
          </cell>
          <cell r="AO545">
            <v>204599</v>
          </cell>
          <cell r="AP545">
            <v>201626</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G546">
            <v>532</v>
          </cell>
          <cell r="H546" t="str">
            <v>YTD Total Personnel Actual</v>
          </cell>
          <cell r="I546">
            <v>0</v>
          </cell>
          <cell r="J546">
            <v>0</v>
          </cell>
          <cell r="K546">
            <v>0</v>
          </cell>
          <cell r="L546">
            <v>357839</v>
          </cell>
          <cell r="M546">
            <v>740296</v>
          </cell>
          <cell r="N546">
            <v>1147872</v>
          </cell>
          <cell r="O546">
            <v>1533478</v>
          </cell>
          <cell r="P546">
            <v>1940029</v>
          </cell>
          <cell r="Q546">
            <v>2305038</v>
          </cell>
          <cell r="R546">
            <v>2648896</v>
          </cell>
          <cell r="S546">
            <v>2980834</v>
          </cell>
          <cell r="T546">
            <v>3308187</v>
          </cell>
          <cell r="U546">
            <v>3555130</v>
          </cell>
          <cell r="V546">
            <v>3819026</v>
          </cell>
          <cell r="W546">
            <v>4095239</v>
          </cell>
          <cell r="X546">
            <v>266557</v>
          </cell>
          <cell r="Y546">
            <v>552642</v>
          </cell>
          <cell r="Z546">
            <v>840807</v>
          </cell>
          <cell r="AA546">
            <v>1132701</v>
          </cell>
          <cell r="AB546">
            <v>1397049</v>
          </cell>
          <cell r="AC546">
            <v>1670906</v>
          </cell>
          <cell r="AD546">
            <v>1991269</v>
          </cell>
          <cell r="AE546">
            <v>2269722</v>
          </cell>
          <cell r="AF546">
            <v>2555687</v>
          </cell>
          <cell r="AG546">
            <v>2847102</v>
          </cell>
          <cell r="AH546">
            <v>3158679</v>
          </cell>
          <cell r="AI546">
            <v>907070</v>
          </cell>
          <cell r="AJ546">
            <v>264635</v>
          </cell>
          <cell r="AK546">
            <v>550080</v>
          </cell>
          <cell r="AL546">
            <v>843619</v>
          </cell>
          <cell r="AM546">
            <v>834100</v>
          </cell>
          <cell r="AN546">
            <v>1400876</v>
          </cell>
          <cell r="AO546">
            <v>1671405</v>
          </cell>
          <cell r="AP546">
            <v>1945070</v>
          </cell>
          <cell r="AQ546">
            <v>-1.8870621542299897E-2</v>
          </cell>
          <cell r="AR546">
            <v>1.9291159903218606E-2</v>
          </cell>
          <cell r="AS546">
            <v>6.0622616115713249E-2</v>
          </cell>
          <cell r="AT546">
            <v>3.1504268122676135E-2</v>
          </cell>
          <cell r="AU546" t="e">
            <v>#DIV/0!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G547">
            <v>533</v>
          </cell>
          <cell r="H547" t="str">
            <v>YTD Empl_Benefits Actual</v>
          </cell>
          <cell r="I547">
            <v>0</v>
          </cell>
          <cell r="J547">
            <v>0</v>
          </cell>
          <cell r="K547">
            <v>0</v>
          </cell>
          <cell r="L547">
            <v>91650</v>
          </cell>
          <cell r="M547">
            <v>190808</v>
          </cell>
          <cell r="N547">
            <v>293558</v>
          </cell>
          <cell r="O547">
            <v>394330</v>
          </cell>
          <cell r="P547">
            <v>500742</v>
          </cell>
          <cell r="Q547">
            <v>595703</v>
          </cell>
          <cell r="R547">
            <v>685512</v>
          </cell>
          <cell r="S547">
            <v>772366</v>
          </cell>
          <cell r="T547">
            <v>857815</v>
          </cell>
          <cell r="U547">
            <v>922271</v>
          </cell>
          <cell r="V547">
            <v>991297</v>
          </cell>
          <cell r="W547">
            <v>1064276</v>
          </cell>
          <cell r="X547">
            <v>69215</v>
          </cell>
          <cell r="Y547">
            <v>142832</v>
          </cell>
          <cell r="Z547">
            <v>216998</v>
          </cell>
          <cell r="AA547">
            <v>293859</v>
          </cell>
          <cell r="AB547">
            <v>363655</v>
          </cell>
          <cell r="AC547">
            <v>435603</v>
          </cell>
          <cell r="AD547">
            <v>517003</v>
          </cell>
          <cell r="AE547">
            <v>590760</v>
          </cell>
          <cell r="AF547">
            <v>666300</v>
          </cell>
          <cell r="AG547">
            <v>743525</v>
          </cell>
          <cell r="AH547">
            <v>822402</v>
          </cell>
          <cell r="AI547">
            <v>3479937</v>
          </cell>
          <cell r="AJ547">
            <v>69213</v>
          </cell>
          <cell r="AK547">
            <v>144598</v>
          </cell>
          <cell r="AL547">
            <v>219663</v>
          </cell>
          <cell r="AM547">
            <v>0</v>
          </cell>
          <cell r="AN547">
            <v>369887</v>
          </cell>
          <cell r="AO547">
            <v>442919</v>
          </cell>
          <cell r="AP547">
            <v>517048</v>
          </cell>
          <cell r="AQ547">
            <v>-0.28028671617693035</v>
          </cell>
          <cell r="AR547">
            <v>0.32732732915320012</v>
          </cell>
          <cell r="AS547">
            <v>0.7696179758962165</v>
          </cell>
          <cell r="AT547">
            <v>0.43692841220962714</v>
          </cell>
          <cell r="AU547" t="e">
            <v>#DIV/0!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G548">
            <v>534</v>
          </cell>
          <cell r="H548" t="str">
            <v>YTD Net Shared Services Salary Actual</v>
          </cell>
          <cell r="I548">
            <v>0</v>
          </cell>
          <cell r="J548">
            <v>0</v>
          </cell>
          <cell r="K548">
            <v>0</v>
          </cell>
          <cell r="L548">
            <v>266189</v>
          </cell>
          <cell r="M548">
            <v>549488</v>
          </cell>
          <cell r="N548">
            <v>854314</v>
          </cell>
          <cell r="O548">
            <v>1139148</v>
          </cell>
          <cell r="P548">
            <v>1439287</v>
          </cell>
          <cell r="Q548">
            <v>1709335</v>
          </cell>
          <cell r="R548">
            <v>1963384</v>
          </cell>
          <cell r="S548">
            <v>2208468</v>
          </cell>
          <cell r="T548">
            <v>2450372</v>
          </cell>
          <cell r="U548">
            <v>2632859</v>
          </cell>
          <cell r="V548">
            <v>2827729</v>
          </cell>
          <cell r="W548">
            <v>3030963</v>
          </cell>
          <cell r="X548">
            <v>197342</v>
          </cell>
          <cell r="Y548">
            <v>409810</v>
          </cell>
          <cell r="Z548">
            <v>623809</v>
          </cell>
          <cell r="AA548">
            <v>1377047</v>
          </cell>
          <cell r="AB548">
            <v>1033394</v>
          </cell>
          <cell r="AC548">
            <v>1235303</v>
          </cell>
          <cell r="AD548">
            <v>1474266</v>
          </cell>
          <cell r="AE548">
            <v>1678962</v>
          </cell>
          <cell r="AF548">
            <v>1889387</v>
          </cell>
          <cell r="AG548">
            <v>2103577</v>
          </cell>
          <cell r="AH548">
            <v>2336277</v>
          </cell>
          <cell r="AI548">
            <v>-2572867</v>
          </cell>
          <cell r="AJ548">
            <v>195422</v>
          </cell>
          <cell r="AK548">
            <v>405482</v>
          </cell>
          <cell r="AL548">
            <v>623956</v>
          </cell>
          <cell r="AM548">
            <v>834100</v>
          </cell>
          <cell r="AN548">
            <v>1030989</v>
          </cell>
          <cell r="AO548">
            <v>1228486</v>
          </cell>
          <cell r="AP548">
            <v>1428022</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G549">
            <v>535</v>
          </cell>
          <cell r="H549" t="str">
            <v>YTD Total Personnel Target</v>
          </cell>
          <cell r="I549">
            <v>0</v>
          </cell>
          <cell r="J549">
            <v>0</v>
          </cell>
          <cell r="K549">
            <v>0</v>
          </cell>
          <cell r="L549">
            <v>377627</v>
          </cell>
          <cell r="M549">
            <v>735767</v>
          </cell>
          <cell r="N549">
            <v>1209814</v>
          </cell>
          <cell r="O549">
            <v>1609120</v>
          </cell>
          <cell r="P549">
            <v>2029144</v>
          </cell>
          <cell r="Q549">
            <v>2453168</v>
          </cell>
          <cell r="R549">
            <v>2812625</v>
          </cell>
          <cell r="S549">
            <v>3172083</v>
          </cell>
          <cell r="T549">
            <v>3556391</v>
          </cell>
          <cell r="U549">
            <v>3921254</v>
          </cell>
          <cell r="V549">
            <v>4301095</v>
          </cell>
          <cell r="W549">
            <v>4685478</v>
          </cell>
          <cell r="X549">
            <v>290724</v>
          </cell>
          <cell r="Y549">
            <v>584806</v>
          </cell>
          <cell r="Z549">
            <v>909972</v>
          </cell>
          <cell r="AA549">
            <v>1200238</v>
          </cell>
          <cell r="AB549">
            <v>1487708</v>
          </cell>
          <cell r="AC549">
            <v>1803521</v>
          </cell>
          <cell r="AD549">
            <v>2094185</v>
          </cell>
          <cell r="AE549">
            <v>2381655</v>
          </cell>
          <cell r="AF549">
            <v>2697468</v>
          </cell>
          <cell r="AG549">
            <v>2996928</v>
          </cell>
          <cell r="AH549">
            <v>3284398</v>
          </cell>
          <cell r="AI549">
            <v>933461</v>
          </cell>
          <cell r="AJ549">
            <v>266356</v>
          </cell>
          <cell r="AK549">
            <v>535866</v>
          </cell>
          <cell r="AL549">
            <v>837380</v>
          </cell>
          <cell r="AM549">
            <v>827045</v>
          </cell>
          <cell r="AN549">
            <v>1397325</v>
          </cell>
          <cell r="AO549">
            <v>1677362</v>
          </cell>
          <cell r="AP549">
            <v>1953330</v>
          </cell>
          <cell r="AQ549">
            <v>7.2861067233379276E-2</v>
          </cell>
          <cell r="AR549">
            <v>1.22959457536798</v>
          </cell>
          <cell r="AS549">
            <v>8.6032511808281156E-2</v>
          </cell>
          <cell r="AT549">
            <v>8.4889431254554254E-2</v>
          </cell>
          <cell r="AU549" t="e">
            <v>#DIV/0!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G550">
            <v>536</v>
          </cell>
          <cell r="H550" t="str">
            <v>YTD Empl_Benefits Target</v>
          </cell>
          <cell r="I550">
            <v>0</v>
          </cell>
          <cell r="J550">
            <v>0</v>
          </cell>
          <cell r="K550">
            <v>0</v>
          </cell>
          <cell r="L550">
            <v>95385</v>
          </cell>
          <cell r="M550">
            <v>189746</v>
          </cell>
          <cell r="N550">
            <v>312957</v>
          </cell>
          <cell r="O550">
            <v>416387</v>
          </cell>
          <cell r="P550">
            <v>525516</v>
          </cell>
          <cell r="Q550">
            <v>635258</v>
          </cell>
          <cell r="R550">
            <v>728297</v>
          </cell>
          <cell r="S550">
            <v>821337</v>
          </cell>
          <cell r="T550">
            <v>920611</v>
          </cell>
          <cell r="U550">
            <v>1015091</v>
          </cell>
          <cell r="V550">
            <v>1113745</v>
          </cell>
          <cell r="W550">
            <v>1213365</v>
          </cell>
          <cell r="X550">
            <v>76384</v>
          </cell>
          <cell r="Y550">
            <v>153628</v>
          </cell>
          <cell r="Z550">
            <v>239055</v>
          </cell>
          <cell r="AA550">
            <v>311343</v>
          </cell>
          <cell r="AB550">
            <v>385845</v>
          </cell>
          <cell r="AC550">
            <v>467807</v>
          </cell>
          <cell r="AD550">
            <v>543173</v>
          </cell>
          <cell r="AE550">
            <v>617675</v>
          </cell>
          <cell r="AF550">
            <v>699637</v>
          </cell>
          <cell r="AG550">
            <v>776984</v>
          </cell>
          <cell r="AH550">
            <v>851486</v>
          </cell>
          <cell r="AI550">
            <v>3600208</v>
          </cell>
          <cell r="AJ550">
            <v>71434</v>
          </cell>
          <cell r="AK550">
            <v>144127</v>
          </cell>
          <cell r="AL550">
            <v>221151</v>
          </cell>
          <cell r="AM550">
            <v>0</v>
          </cell>
          <cell r="AN550">
            <v>371967</v>
          </cell>
          <cell r="AO550">
            <v>447405</v>
          </cell>
          <cell r="AP550">
            <v>521747</v>
          </cell>
          <cell r="AQ550">
            <v>-8.7574480896648876E-4</v>
          </cell>
          <cell r="AR550">
            <v>-1.1570158613479438</v>
          </cell>
          <cell r="AS550">
            <v>7.9863501780870205E-3</v>
          </cell>
          <cell r="AT550">
            <v>9.8516836674994446E-3</v>
          </cell>
          <cell r="AU550" t="e">
            <v>#DIV/0!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G551">
            <v>537</v>
          </cell>
          <cell r="H551" t="str">
            <v>YTD Net Shared Services Target Salary $</v>
          </cell>
          <cell r="I551">
            <v>0</v>
          </cell>
          <cell r="J551">
            <v>0</v>
          </cell>
          <cell r="K551">
            <v>0</v>
          </cell>
          <cell r="L551">
            <v>282242</v>
          </cell>
          <cell r="M551">
            <v>546021</v>
          </cell>
          <cell r="N551">
            <v>896857</v>
          </cell>
          <cell r="O551">
            <v>1192733</v>
          </cell>
          <cell r="P551">
            <v>1503628</v>
          </cell>
          <cell r="Q551">
            <v>1817910</v>
          </cell>
          <cell r="R551">
            <v>2084328</v>
          </cell>
          <cell r="S551">
            <v>2350746</v>
          </cell>
          <cell r="T551">
            <v>2635780</v>
          </cell>
          <cell r="U551">
            <v>2906163</v>
          </cell>
          <cell r="V551">
            <v>3187350</v>
          </cell>
          <cell r="W551">
            <v>3472113</v>
          </cell>
          <cell r="X551">
            <v>214340</v>
          </cell>
          <cell r="Y551">
            <v>431178</v>
          </cell>
          <cell r="Z551">
            <v>670917</v>
          </cell>
          <cell r="AA551">
            <v>888895</v>
          </cell>
          <cell r="AB551">
            <v>1101863</v>
          </cell>
          <cell r="AC551">
            <v>1335714</v>
          </cell>
          <cell r="AD551">
            <v>1551012</v>
          </cell>
          <cell r="AE551">
            <v>1763980</v>
          </cell>
          <cell r="AF551">
            <v>1997831</v>
          </cell>
          <cell r="AG551">
            <v>2219944</v>
          </cell>
          <cell r="AH551">
            <v>2432912</v>
          </cell>
          <cell r="AI551">
            <v>-2666747</v>
          </cell>
          <cell r="AJ551">
            <v>194922</v>
          </cell>
          <cell r="AK551">
            <v>391739</v>
          </cell>
          <cell r="AL551">
            <v>616229</v>
          </cell>
          <cell r="AM551">
            <v>827045</v>
          </cell>
          <cell r="AN551">
            <v>1025358</v>
          </cell>
          <cell r="AO551">
            <v>1229957</v>
          </cell>
          <cell r="AP551">
            <v>1431583</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G552">
            <v>530</v>
          </cell>
          <cell r="H552" t="str">
            <v>Actual</v>
          </cell>
          <cell r="I552">
            <v>0</v>
          </cell>
          <cell r="J552">
            <v>0</v>
          </cell>
          <cell r="K552">
            <v>0</v>
          </cell>
          <cell r="L552">
            <v>4.0243974899829241E-2</v>
          </cell>
          <cell r="M552">
            <v>4.1536741516161151E-2</v>
          </cell>
          <cell r="N552">
            <v>7.4311136712514284E-2</v>
          </cell>
          <cell r="O552">
            <v>7.2615670562187859E-2</v>
          </cell>
          <cell r="P552">
            <v>9.2379025436447076E-2</v>
          </cell>
          <cell r="Q552">
            <v>6.2851256384585219E-2</v>
          </cell>
          <cell r="R552">
            <v>3.5321465920974855E-2</v>
          </cell>
          <cell r="S552">
            <v>5.1569951978197644E-2</v>
          </cell>
          <cell r="T552">
            <v>5.3830528993056563E-2</v>
          </cell>
          <cell r="U552">
            <v>8.5319828821669288E-2</v>
          </cell>
          <cell r="V552">
            <v>9.7475673147489741E-2</v>
          </cell>
          <cell r="W552">
            <v>6.5974327720712392E-2</v>
          </cell>
          <cell r="X552">
            <v>4.6050430118044362E-2</v>
          </cell>
          <cell r="Y552">
            <v>3.9337984269411937E-2</v>
          </cell>
          <cell r="Z552">
            <v>9.4965258408023112E-2</v>
          </cell>
          <cell r="AA552">
            <v>0.11855270784916004</v>
          </cell>
          <cell r="AB552">
            <v>0.10888056050716383</v>
          </cell>
          <cell r="AC552">
            <v>0.11660474537076122</v>
          </cell>
          <cell r="AD552">
            <v>8.4963444608128547E-2</v>
          </cell>
          <cell r="AE552">
            <v>7.0514628164059415E-2</v>
          </cell>
          <cell r="AF552">
            <v>5.1967738780674066E-2</v>
          </cell>
          <cell r="AG552">
            <v>8.6513400947679148E-2</v>
          </cell>
          <cell r="AH552">
            <v>8.2443182991020741E-2</v>
          </cell>
          <cell r="AI552">
            <v>4.5204789040336764E-2</v>
          </cell>
          <cell r="AJ552">
            <v>6.7450373239745468E-2</v>
          </cell>
          <cell r="AK552">
            <v>4.9369539211997986E-2</v>
          </cell>
          <cell r="AL552">
            <v>7.8329971837793125E-2</v>
          </cell>
          <cell r="AM552">
            <v>9.9321557570262037E-2</v>
          </cell>
          <cell r="AN552">
            <v>5.8508550831427759E-2</v>
          </cell>
          <cell r="AO552">
            <v>8.2240961026764758E-2</v>
          </cell>
          <cell r="AP552">
            <v>5.1363009172988632E-2</v>
          </cell>
          <cell r="AQ552" t="e">
            <v>#DIV/0!</v>
          </cell>
          <cell r="AR552" t="e">
            <v>#DIV/0!</v>
          </cell>
          <cell r="AS552" t="e">
            <v>#DIV/0!</v>
          </cell>
          <cell r="AT552" t="e">
            <v>#DIV/0!</v>
          </cell>
          <cell r="AU552" t="e">
            <v>#DIV/0!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G553">
            <v>531</v>
          </cell>
          <cell r="H553" t="str">
            <v>Target (Budget)</v>
          </cell>
          <cell r="I553">
            <v>0</v>
          </cell>
          <cell r="J553">
            <v>0</v>
          </cell>
          <cell r="K553">
            <v>0</v>
          </cell>
          <cell r="L553">
            <v>2.8955166943471364E-2</v>
          </cell>
          <cell r="M553">
            <v>3.5646800244898316E-2</v>
          </cell>
          <cell r="N553">
            <v>5.4062300976905106E-2</v>
          </cell>
          <cell r="O553">
            <v>7.8867752280973993E-2</v>
          </cell>
          <cell r="P553">
            <v>5.4466934539026075E-2</v>
          </cell>
          <cell r="Q553">
            <v>2.8254157017379149E-2</v>
          </cell>
          <cell r="R553">
            <v>2.2669658238982187E-2</v>
          </cell>
          <cell r="S553">
            <v>4.060405715041783E-2</v>
          </cell>
          <cell r="T553">
            <v>4.2031869185758304E-2</v>
          </cell>
          <cell r="U553">
            <v>4.2947419178823859E-2</v>
          </cell>
          <cell r="V553">
            <v>4.5402849102039629E-2</v>
          </cell>
          <cell r="W553">
            <v>4.935571460493083E-2</v>
          </cell>
          <cell r="X553">
            <v>2.6576390445090099E-2</v>
          </cell>
          <cell r="Y553">
            <v>4.6018332871598719E-2</v>
          </cell>
          <cell r="Z553">
            <v>8.3997670189541643E-2</v>
          </cell>
          <cell r="AA553">
            <v>8.9594872879385778E-2</v>
          </cell>
          <cell r="AB553">
            <v>0.10590295034563774</v>
          </cell>
          <cell r="AC553">
            <v>7.1280539396273879E-2</v>
          </cell>
          <cell r="AD553">
            <v>3.0844872371813343E-2</v>
          </cell>
          <cell r="AE553">
            <v>4.520695873225828E-2</v>
          </cell>
          <cell r="AF553">
            <v>4.4685551110572326E-2</v>
          </cell>
          <cell r="AG553">
            <v>5.2110382150971329E-2</v>
          </cell>
          <cell r="AH553">
            <v>4.865978591074184E-2</v>
          </cell>
          <cell r="AI553">
            <v>1.6902411827868176E-2</v>
          </cell>
          <cell r="AJ553">
            <v>4.5885282196886493E-2</v>
          </cell>
          <cell r="AK553">
            <v>4.0332953223313671E-2</v>
          </cell>
          <cell r="AL553">
            <v>7.9510034003720059E-2</v>
          </cell>
          <cell r="AM553">
            <v>9.4920053658167178E-2</v>
          </cell>
          <cell r="AN553">
            <v>8.0085115902505541E-2</v>
          </cell>
          <cell r="AO553">
            <v>6.4827965698647391E-2</v>
          </cell>
          <cell r="AP553">
            <v>8.1431326500618101E-2</v>
          </cell>
          <cell r="AQ553" t="e">
            <v>#DIV/0!</v>
          </cell>
          <cell r="AR553" t="e">
            <v>#DIV/0!</v>
          </cell>
          <cell r="AS553" t="e">
            <v>#DIV/0!</v>
          </cell>
          <cell r="AT553" t="e">
            <v>#DIV/0!</v>
          </cell>
          <cell r="AU553" t="e">
            <v>#DIV/0!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G554">
            <v>532</v>
          </cell>
          <cell r="H554" t="str">
            <v>Target (Budget) Variance</v>
          </cell>
          <cell r="I554">
            <v>0</v>
          </cell>
          <cell r="J554">
            <v>0</v>
          </cell>
          <cell r="K554">
            <v>0</v>
          </cell>
          <cell r="L554">
            <v>1.1288807956357876E-2</v>
          </cell>
          <cell r="M554">
            <v>5.8899412712628343E-3</v>
          </cell>
          <cell r="N554">
            <v>2.0248835735609177E-2</v>
          </cell>
          <cell r="O554">
            <v>-6.2520817187861344E-3</v>
          </cell>
          <cell r="P554">
            <v>3.7912090897421001E-2</v>
          </cell>
          <cell r="Q554">
            <v>3.459709936720607E-2</v>
          </cell>
          <cell r="R554">
            <v>1.2651807681992668E-2</v>
          </cell>
          <cell r="S554">
            <v>1.0965894827779814E-2</v>
          </cell>
          <cell r="T554">
            <v>1.1798659807298259E-2</v>
          </cell>
          <cell r="U554">
            <v>4.2372409642845429E-2</v>
          </cell>
          <cell r="V554">
            <v>5.2072824045450113E-2</v>
          </cell>
          <cell r="W554">
            <v>1.6618613115781562E-2</v>
          </cell>
          <cell r="X554">
            <v>1.9474039672954264E-2</v>
          </cell>
          <cell r="Y554">
            <v>-6.6803486021867822E-3</v>
          </cell>
          <cell r="Z554">
            <v>1.0967588218481469E-2</v>
          </cell>
          <cell r="AA554">
            <v>2.8957834969774263E-2</v>
          </cell>
          <cell r="AB554">
            <v>2.9776101615260897E-3</v>
          </cell>
          <cell r="AC554">
            <v>4.5324205974487344E-2</v>
          </cell>
          <cell r="AD554">
            <v>5.4118572236315207E-2</v>
          </cell>
          <cell r="AE554">
            <v>2.5307669431801134E-2</v>
          </cell>
          <cell r="AF554">
            <v>7.2821876701017405E-3</v>
          </cell>
          <cell r="AG554">
            <v>3.4403018796707818E-2</v>
          </cell>
          <cell r="AH554">
            <v>3.3783397080278901E-2</v>
          </cell>
          <cell r="AI554">
            <v>2.8302377212468588E-2</v>
          </cell>
          <cell r="AJ554">
            <v>2.1565091042858975E-2</v>
          </cell>
          <cell r="AK554">
            <v>9.0365859886843147E-3</v>
          </cell>
          <cell r="AL554">
            <v>-1.1800621659269345E-3</v>
          </cell>
          <cell r="AM554">
            <v>4.401503912094859E-3</v>
          </cell>
          <cell r="AN554">
            <v>-2.1576565071077781E-2</v>
          </cell>
          <cell r="AO554">
            <v>1.7412995328117367E-2</v>
          </cell>
          <cell r="AP554">
            <v>-3.0068317327629469E-2</v>
          </cell>
          <cell r="AQ554" t="e">
            <v>#DIV/0!</v>
          </cell>
          <cell r="AR554" t="e">
            <v>#DIV/0!</v>
          </cell>
          <cell r="AS554" t="e">
            <v>#DIV/0!</v>
          </cell>
          <cell r="AT554" t="e">
            <v>#DIV/0!</v>
          </cell>
          <cell r="AU554" t="e">
            <v>#DIV/0!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G555">
            <v>533</v>
          </cell>
          <cell r="H555" t="str">
            <v>Target (Budget) %Var</v>
          </cell>
          <cell r="I555">
            <v>0</v>
          </cell>
          <cell r="J555">
            <v>0</v>
          </cell>
          <cell r="K555">
            <v>0</v>
          </cell>
          <cell r="L555">
            <v>0.38987196925497986</v>
          </cell>
          <cell r="M555">
            <v>0.16523057415527187</v>
          </cell>
          <cell r="N555">
            <v>0.37454631729898596</v>
          </cell>
          <cell r="O555">
            <v>-7.9272979614183614E-2</v>
          </cell>
          <cell r="P555">
            <v>0.69605699711733604</v>
          </cell>
          <cell r="Q555">
            <v>1.2244958979284137</v>
          </cell>
          <cell r="R555">
            <v>0.55809432804932768</v>
          </cell>
          <cell r="S555">
            <v>0.27006894377959889</v>
          </cell>
          <cell r="T555">
            <v>0.28070747354000641</v>
          </cell>
          <cell r="U555">
            <v>0.98661131339268116</v>
          </cell>
          <cell r="V555">
            <v>1.1469065284519964</v>
          </cell>
          <cell r="W555">
            <v>0.33671102219480981</v>
          </cell>
          <cell r="X555">
            <v>0.73275713318518121</v>
          </cell>
          <cell r="Y555">
            <v>-0.14516711461117954</v>
          </cell>
          <cell r="Z555">
            <v>0.13057014788306615</v>
          </cell>
          <cell r="AA555">
            <v>0.32320861718011273</v>
          </cell>
          <cell r="AB555">
            <v>2.8116404234329633E-2</v>
          </cell>
          <cell r="AC555">
            <v>0.63585666380151751</v>
          </cell>
          <cell r="AD555">
            <v>1.7545403198286478</v>
          </cell>
          <cell r="AE555">
            <v>0.55981800460605569</v>
          </cell>
          <cell r="AF555">
            <v>0.1629651529211826</v>
          </cell>
          <cell r="AG555">
            <v>0.66019509695855394</v>
          </cell>
          <cell r="AH555">
            <v>0.69427755276705982</v>
          </cell>
          <cell r="AI555">
            <v>1.6744579117285794</v>
          </cell>
          <cell r="AJ555">
            <v>0.46997838980975593</v>
          </cell>
          <cell r="AK555">
            <v>0.22404969798891131</v>
          </cell>
          <cell r="AL555">
            <v>-1.48416760313764E-2</v>
          </cell>
          <cell r="AM555">
            <v>4.6370642898558259E-2</v>
          </cell>
          <cell r="AN555">
            <v>-0.26942041386747545</v>
          </cell>
          <cell r="AO555">
            <v>0.26860314280200653</v>
          </cell>
          <cell r="AP555">
            <v>-0.36924754415490502</v>
          </cell>
          <cell r="AQ555" t="e">
            <v>#DIV/0!</v>
          </cell>
          <cell r="AR555" t="e">
            <v>#DIV/0!</v>
          </cell>
          <cell r="AS555" t="e">
            <v>#DIV/0!</v>
          </cell>
          <cell r="AT555" t="e">
            <v>#DIV/0!</v>
          </cell>
          <cell r="AU555" t="e">
            <v>#DIV/0!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G556">
            <v>534</v>
          </cell>
          <cell r="H556" t="str">
            <v>YTD Actual</v>
          </cell>
          <cell r="I556">
            <v>0</v>
          </cell>
          <cell r="J556">
            <v>0</v>
          </cell>
          <cell r="K556">
            <v>0</v>
          </cell>
          <cell r="L556">
            <v>4.0243974899829241E-2</v>
          </cell>
          <cell r="M556">
            <v>4.0938524673449307E-2</v>
          </cell>
          <cell r="N556">
            <v>5.5565440958739373E-2</v>
          </cell>
          <cell r="O556">
            <v>6.0667465637885352E-2</v>
          </cell>
          <cell r="P556">
            <v>6.8799666363095341E-2</v>
          </cell>
          <cell r="Q556">
            <v>6.7810736002186678E-2</v>
          </cell>
          <cell r="R556">
            <v>6.411616061073154E-2</v>
          </cell>
          <cell r="S556">
            <v>6.2793612708250138E-2</v>
          </cell>
          <cell r="T556">
            <v>6.1838877015044737E-2</v>
          </cell>
          <cell r="U556">
            <v>6.3841165208870176E-2</v>
          </cell>
          <cell r="V556">
            <v>6.6882777980613775E-2</v>
          </cell>
          <cell r="W556">
            <v>6.6812296842930718E-2</v>
          </cell>
          <cell r="X556">
            <v>4.6050430118044362E-2</v>
          </cell>
          <cell r="Y556">
            <v>4.2507573708823181E-2</v>
          </cell>
          <cell r="Z556">
            <v>6.6174959146591716E-2</v>
          </cell>
          <cell r="AA556">
            <v>7.6041288995438952E-2</v>
          </cell>
          <cell r="AB556">
            <v>8.9910390781766047E-2</v>
          </cell>
          <cell r="AC556">
            <v>9.535604619470682E-2</v>
          </cell>
          <cell r="AD556">
            <v>9.4071502857320188E-2</v>
          </cell>
          <cell r="AE556">
            <v>9.1565624140144908E-2</v>
          </cell>
          <cell r="AF556">
            <v>8.7844746720137104E-2</v>
          </cell>
          <cell r="AG556">
            <v>8.7716662830199438E-2</v>
          </cell>
          <cell r="AH556">
            <v>8.7206848744181123E-2</v>
          </cell>
          <cell r="AI556">
            <v>0.13304877486895964</v>
          </cell>
          <cell r="AJ556">
            <v>6.7450373239745468E-2</v>
          </cell>
          <cell r="AK556">
            <v>5.9505442181892576E-2</v>
          </cell>
          <cell r="AL556">
            <v>6.6319336857095859E-2</v>
          </cell>
          <cell r="AM556">
            <v>7.9807620961493353E-2</v>
          </cell>
          <cell r="AN556">
            <v>7.5974170243710989E-2</v>
          </cell>
          <cell r="AO556">
            <v>7.7019071540602987E-2</v>
          </cell>
          <cell r="AP556">
            <v>7.410437355517159E-2</v>
          </cell>
          <cell r="AQ556" t="e">
            <v>#DIV/0!</v>
          </cell>
          <cell r="AR556" t="e">
            <v>#DIV/0!</v>
          </cell>
          <cell r="AS556" t="e">
            <v>#DIV/0!</v>
          </cell>
          <cell r="AT556" t="e">
            <v>#DIV/0!</v>
          </cell>
          <cell r="AU556" t="e">
            <v>#DIV/0!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G557">
            <v>535</v>
          </cell>
          <cell r="H557" t="str">
            <v>YTD Target (Budget)</v>
          </cell>
          <cell r="I557">
            <v>0</v>
          </cell>
          <cell r="J557">
            <v>0</v>
          </cell>
          <cell r="K557">
            <v>0</v>
          </cell>
          <cell r="L557">
            <v>2.8955166943471364E-2</v>
          </cell>
          <cell r="M557">
            <v>3.2570985274010776E-2</v>
          </cell>
          <cell r="N557">
            <v>4.112855349973181E-2</v>
          </cell>
          <cell r="O557">
            <v>5.228725508005657E-2</v>
          </cell>
          <cell r="P557">
            <v>5.3043046894626217E-2</v>
          </cell>
          <cell r="Q557">
            <v>4.8856217355261966E-2</v>
          </cell>
          <cell r="R557">
            <v>4.5781459786497808E-2</v>
          </cell>
          <cell r="S557">
            <v>4.5212733745158301E-2</v>
          </cell>
          <cell r="T557">
            <v>4.4878252805755275E-2</v>
          </cell>
          <cell r="U557">
            <v>4.4706539979077663E-2</v>
          </cell>
          <cell r="V557">
            <v>4.4768248405716263E-2</v>
          </cell>
          <cell r="W557">
            <v>4.5141627267475885E-2</v>
          </cell>
          <cell r="X557">
            <v>2.6576390445090099E-2</v>
          </cell>
          <cell r="Y557">
            <v>3.7111980365814874E-2</v>
          </cell>
          <cell r="Z557">
            <v>5.7098023023071764E-2</v>
          </cell>
          <cell r="AA557">
            <v>6.7156691215641495E-2</v>
          </cell>
          <cell r="AB557">
            <v>7.6142565472264237E-2</v>
          </cell>
          <cell r="AC557">
            <v>7.5291505759521343E-2</v>
          </cell>
          <cell r="AD557">
            <v>7.0056732850755851E-2</v>
          </cell>
          <cell r="AE557">
            <v>6.7335056918957331E-2</v>
          </cell>
          <cell r="AF557">
            <v>6.4951086251501422E-2</v>
          </cell>
          <cell r="AG557">
            <v>6.3792523343132346E-2</v>
          </cell>
          <cell r="AH557">
            <v>6.2465297757220213E-2</v>
          </cell>
          <cell r="AI557">
            <v>0.10083499807240739</v>
          </cell>
          <cell r="AJ557">
            <v>4.5885282196886493E-2</v>
          </cell>
          <cell r="AK557">
            <v>4.328236055210382E-2</v>
          </cell>
          <cell r="AL557">
            <v>5.6898919602450707E-2</v>
          </cell>
          <cell r="AM557">
            <v>7.3249821369794188E-2</v>
          </cell>
          <cell r="AN557">
            <v>7.4474882604532638E-2</v>
          </cell>
          <cell r="AO557">
            <v>7.2893686353511844E-2</v>
          </cell>
          <cell r="AP557">
            <v>7.3875120162803301E-2</v>
          </cell>
          <cell r="AQ557" t="e">
            <v>#DIV/0!</v>
          </cell>
          <cell r="AR557" t="e">
            <v>#DIV/0!</v>
          </cell>
          <cell r="AS557" t="e">
            <v>#DIV/0!</v>
          </cell>
          <cell r="AT557" t="e">
            <v>#DIV/0!</v>
          </cell>
          <cell r="AU557" t="e">
            <v>#DIV/0!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G558">
            <v>536</v>
          </cell>
          <cell r="H558" t="str">
            <v>YTD Target (Budget) Var</v>
          </cell>
          <cell r="I558">
            <v>0</v>
          </cell>
          <cell r="J558">
            <v>0</v>
          </cell>
          <cell r="K558">
            <v>0</v>
          </cell>
          <cell r="L558">
            <v>1.1288807956357876E-2</v>
          </cell>
          <cell r="M558">
            <v>8.3675393994385311E-3</v>
          </cell>
          <cell r="N558">
            <v>1.4436887459007564E-2</v>
          </cell>
          <cell r="O558">
            <v>8.3802105578287822E-3</v>
          </cell>
          <cell r="P558">
            <v>1.5756619468469124E-2</v>
          </cell>
          <cell r="Q558">
            <v>1.8954518646924712E-2</v>
          </cell>
          <cell r="R558">
            <v>1.8334700824233732E-2</v>
          </cell>
          <cell r="S558">
            <v>1.7580878963091837E-2</v>
          </cell>
          <cell r="T558">
            <v>1.6960624209289461E-2</v>
          </cell>
          <cell r="U558">
            <v>1.9134625229792514E-2</v>
          </cell>
          <cell r="V558">
            <v>2.2114529574897512E-2</v>
          </cell>
          <cell r="W558">
            <v>2.1670669575454833E-2</v>
          </cell>
          <cell r="X558">
            <v>1.9474039672954264E-2</v>
          </cell>
          <cell r="Y558">
            <v>5.3955933430083064E-3</v>
          </cell>
          <cell r="Z558">
            <v>9.0769361235199519E-3</v>
          </cell>
          <cell r="AA558">
            <v>8.8845977797974568E-3</v>
          </cell>
          <cell r="AB558">
            <v>1.376782530950181E-2</v>
          </cell>
          <cell r="AC558">
            <v>2.0064540435185477E-2</v>
          </cell>
          <cell r="AD558">
            <v>2.4014770006564337E-2</v>
          </cell>
          <cell r="AE558">
            <v>2.4230567221187577E-2</v>
          </cell>
          <cell r="AF558">
            <v>2.2893660468635682E-2</v>
          </cell>
          <cell r="AG558">
            <v>2.3924139487067092E-2</v>
          </cell>
          <cell r="AH558">
            <v>2.474155098696091E-2</v>
          </cell>
          <cell r="AI558">
            <v>3.221377679655224E-2</v>
          </cell>
          <cell r="AJ558">
            <v>2.1565091042858975E-2</v>
          </cell>
          <cell r="AK558">
            <v>1.6223081629788756E-2</v>
          </cell>
          <cell r="AL558">
            <v>9.4204172546451526E-3</v>
          </cell>
          <cell r="AM558">
            <v>6.5577995916991649E-3</v>
          </cell>
          <cell r="AN558">
            <v>1.4992876391783511E-3</v>
          </cell>
          <cell r="AO558">
            <v>4.1253851870911434E-3</v>
          </cell>
          <cell r="AP558">
            <v>2.2925339236828934E-4</v>
          </cell>
          <cell r="AQ558" t="e">
            <v>#DIV/0!</v>
          </cell>
          <cell r="AR558" t="e">
            <v>#DIV/0!</v>
          </cell>
          <cell r="AS558" t="e">
            <v>#DIV/0!</v>
          </cell>
          <cell r="AT558" t="e">
            <v>#DIV/0!</v>
          </cell>
          <cell r="AU558" t="e">
            <v>#DIV/0!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G559">
            <v>537</v>
          </cell>
          <cell r="H559" t="str">
            <v>YTD %Var</v>
          </cell>
          <cell r="I559">
            <v>0</v>
          </cell>
          <cell r="J559">
            <v>0</v>
          </cell>
          <cell r="K559">
            <v>0</v>
          </cell>
          <cell r="L559">
            <v>0.38987196925497986</v>
          </cell>
          <cell r="M559">
            <v>0.25690163588987913</v>
          </cell>
          <cell r="N559">
            <v>0.35101860460766515</v>
          </cell>
          <cell r="O559">
            <v>0.16027252807587458</v>
          </cell>
          <cell r="P559">
            <v>0.29705343849818372</v>
          </cell>
          <cell r="Q559">
            <v>0.38796533323681986</v>
          </cell>
          <cell r="R559">
            <v>0.40048309751890288</v>
          </cell>
          <cell r="S559">
            <v>0.38884795292818414</v>
          </cell>
          <cell r="T559">
            <v>0.37792523436015757</v>
          </cell>
          <cell r="U559">
            <v>0.42800505784494575</v>
          </cell>
          <cell r="V559">
            <v>0.49397799472703524</v>
          </cell>
          <cell r="W559">
            <v>0.48005955671581085</v>
          </cell>
          <cell r="X559">
            <v>0.73275713318518121</v>
          </cell>
          <cell r="Y559">
            <v>0.14538683438134101</v>
          </cell>
          <cell r="Z559">
            <v>0.15897111043323178</v>
          </cell>
          <cell r="AA559">
            <v>0.1322965384233841</v>
          </cell>
          <cell r="AB559">
            <v>0.18081640964037246</v>
          </cell>
          <cell r="AC559">
            <v>0.26649142201075082</v>
          </cell>
          <cell r="AD559">
            <v>0.34279032191986153</v>
          </cell>
          <cell r="AE559">
            <v>0.359850697837099</v>
          </cell>
          <cell r="AF559">
            <v>0.35247540556885554</v>
          </cell>
          <cell r="AG559">
            <v>0.37503046177342775</v>
          </cell>
          <cell r="AH559">
            <v>0.39608473625023416</v>
          </cell>
          <cell r="AI559">
            <v>0.31947019797055221</v>
          </cell>
          <cell r="AJ559">
            <v>0.46997838980975593</v>
          </cell>
          <cell r="AK559">
            <v>0.37481970536840792</v>
          </cell>
          <cell r="AL559">
            <v>0.16556407960757491</v>
          </cell>
          <cell r="AM559">
            <v>8.952649261208144E-2</v>
          </cell>
          <cell r="AN559">
            <v>2.0131453541722032E-2</v>
          </cell>
          <cell r="AO559">
            <v>5.6594547394465698E-2</v>
          </cell>
          <cell r="AP559">
            <v>3.1032557627394589E-3</v>
          </cell>
          <cell r="AQ559" t="e">
            <v>#DIV/0!</v>
          </cell>
          <cell r="AR559" t="e">
            <v>#DIV/0!</v>
          </cell>
          <cell r="AS559" t="e">
            <v>#DIV/0!</v>
          </cell>
          <cell r="AT559" t="e">
            <v>#DIV/0!</v>
          </cell>
          <cell r="AU559" t="e">
            <v>#DIV/0!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G560">
            <v>538</v>
          </cell>
          <cell r="H560" t="str">
            <v>4 Month Actual</v>
          </cell>
          <cell r="I560">
            <v>0</v>
          </cell>
          <cell r="J560">
            <v>0</v>
          </cell>
          <cell r="K560">
            <v>0</v>
          </cell>
          <cell r="L560">
            <v>4.0243974899829241E-2</v>
          </cell>
          <cell r="M560">
            <v>4.0938549142217437E-2</v>
          </cell>
          <cell r="N560">
            <v>5.5565459613768589E-2</v>
          </cell>
          <cell r="O560">
            <v>6.0667479911021498E-2</v>
          </cell>
          <cell r="P560">
            <v>7.3272813910362056E-2</v>
          </cell>
          <cell r="Q560">
            <v>7.6485459367901618E-2</v>
          </cell>
          <cell r="R560">
            <v>6.9469929233508407E-2</v>
          </cell>
          <cell r="S560">
            <v>6.4849225612995734E-2</v>
          </cell>
          <cell r="T560">
            <v>5.1795397075326967E-2</v>
          </cell>
          <cell r="U560">
            <v>5.6533576779529041E-2</v>
          </cell>
          <cell r="V560">
            <v>7.2375647503505711E-2</v>
          </cell>
          <cell r="W560">
            <v>7.5577211541784192E-2</v>
          </cell>
          <cell r="X560">
            <v>7.5436135623458009E-2</v>
          </cell>
          <cell r="Y560">
            <v>6.4484686824601706E-2</v>
          </cell>
          <cell r="Z560">
            <v>6.5668729705330664E-2</v>
          </cell>
          <cell r="AA560">
            <v>7.7783917961114737E-2</v>
          </cell>
          <cell r="AB560">
            <v>9.6206453943354892E-2</v>
          </cell>
          <cell r="AC560">
            <v>0.11031977545730148</v>
          </cell>
          <cell r="AD560">
            <v>0.11372915438277351</v>
          </cell>
          <cell r="AE560">
            <v>9.8020264697712953E-2</v>
          </cell>
          <cell r="AF560">
            <v>8.5163684121019378E-2</v>
          </cell>
          <cell r="AG560">
            <v>7.4055823726167688E-2</v>
          </cell>
          <cell r="AH560">
            <v>7.38185631600973E-2</v>
          </cell>
          <cell r="AI560">
            <v>6.6582572433299195E-2</v>
          </cell>
          <cell r="AJ560">
            <v>6.9867188514526057E-2</v>
          </cell>
          <cell r="AK560">
            <v>6.1330222309111601E-2</v>
          </cell>
          <cell r="AL560">
            <v>5.9620694205778299E-2</v>
          </cell>
          <cell r="AM560">
            <v>7.9329791209812484E-2</v>
          </cell>
          <cell r="AN560">
            <v>7.7143431869321544E-2</v>
          </cell>
          <cell r="AO560">
            <v>8.3101730610749935E-2</v>
          </cell>
          <cell r="AP560">
            <v>7.8448163076373825E-2</v>
          </cell>
          <cell r="AQ560">
            <v>6.5344947062367778E-2</v>
          </cell>
          <cell r="AR560">
            <v>6.8821630142447909E-2</v>
          </cell>
          <cell r="AS560">
            <v>5.1363009172988632E-2</v>
          </cell>
          <cell r="AT560" t="e">
            <v>#DIV/0!</v>
          </cell>
          <cell r="AU560" t="e">
            <v>#DIV/0!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G561">
            <v>539</v>
          </cell>
          <cell r="H561" t="str">
            <v>4 Month Target (Budget)</v>
          </cell>
          <cell r="I561">
            <v>0</v>
          </cell>
          <cell r="J561">
            <v>0</v>
          </cell>
          <cell r="K561">
            <v>0</v>
          </cell>
          <cell r="L561">
            <v>2.6063733449749108E-2</v>
          </cell>
          <cell r="M561">
            <v>2.9229388019258281E-2</v>
          </cell>
          <cell r="N561">
            <v>3.7744809887021849E-2</v>
          </cell>
          <cell r="O561">
            <v>4.8449708205029689E-2</v>
          </cell>
          <cell r="P561">
            <v>5.2992437954681615E-2</v>
          </cell>
          <cell r="Q561">
            <v>5.0527842192269662E-2</v>
          </cell>
          <cell r="R561">
            <v>4.4824003476474542E-2</v>
          </cell>
          <cell r="S561">
            <v>3.4254079171571153E-2</v>
          </cell>
          <cell r="T561">
            <v>3.0418800328587892E-2</v>
          </cell>
          <cell r="U561">
            <v>3.394094592829288E-2</v>
          </cell>
          <cell r="V561">
            <v>3.8985532547674236E-2</v>
          </cell>
          <cell r="W561">
            <v>4.100231137101415E-2</v>
          </cell>
          <cell r="X561">
            <v>3.8295161168421112E-2</v>
          </cell>
          <cell r="Y561">
            <v>3.9102374055309766E-2</v>
          </cell>
          <cell r="Z561">
            <v>5.1488423573895666E-2</v>
          </cell>
          <cell r="AA561">
            <v>5.5981744073978955E-2</v>
          </cell>
          <cell r="AB561">
            <v>7.9489618051509989E-2</v>
          </cell>
          <cell r="AC561">
            <v>8.314339558809497E-2</v>
          </cell>
          <cell r="AD561">
            <v>7.8169489040087553E-2</v>
          </cell>
          <cell r="AE561">
            <v>5.9210132316623039E-2</v>
          </cell>
          <cell r="AF561">
            <v>4.6023346575548754E-2</v>
          </cell>
          <cell r="AG561">
            <v>4.0217487585908637E-2</v>
          </cell>
          <cell r="AH561">
            <v>4.7399028868080055E-2</v>
          </cell>
          <cell r="AI561">
            <v>3.7874996980353313E-2</v>
          </cell>
          <cell r="AJ561">
            <v>3.8146372269261354E-2</v>
          </cell>
          <cell r="AK561">
            <v>3.5352519225280286E-2</v>
          </cell>
          <cell r="AL561">
            <v>4.3545522504304976E-2</v>
          </cell>
          <cell r="AM561">
            <v>7.0161868012342213E-2</v>
          </cell>
          <cell r="AN561">
            <v>7.6452752428081652E-2</v>
          </cell>
          <cell r="AO561">
            <v>7.9274609907607707E-2</v>
          </cell>
          <cell r="AP561">
            <v>7.9665388644396748E-2</v>
          </cell>
          <cell r="AQ561">
            <v>7.0153476011731691E-2</v>
          </cell>
          <cell r="AR561">
            <v>6.7584729502069077E-2</v>
          </cell>
          <cell r="AS561">
            <v>7.5669800699137646E-2</v>
          </cell>
          <cell r="AT561" t="e">
            <v>#DIV/0!</v>
          </cell>
          <cell r="AU561" t="e">
            <v>#DIV/0!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G562">
            <v>540</v>
          </cell>
          <cell r="H562" t="str">
            <v>4 Month Target (Budget) Var</v>
          </cell>
          <cell r="I562">
            <v>0</v>
          </cell>
          <cell r="J562">
            <v>0</v>
          </cell>
          <cell r="K562">
            <v>0</v>
          </cell>
          <cell r="L562">
            <v>1.4180241450080133E-2</v>
          </cell>
          <cell r="M562">
            <v>1.1709161122959156E-2</v>
          </cell>
          <cell r="N562">
            <v>1.782064972674674E-2</v>
          </cell>
          <cell r="O562">
            <v>1.2217771705991809E-2</v>
          </cell>
          <cell r="P562">
            <v>2.0280375955680441E-2</v>
          </cell>
          <cell r="Q562">
            <v>2.5957617175631956E-2</v>
          </cell>
          <cell r="R562">
            <v>2.4645925757033865E-2</v>
          </cell>
          <cell r="S562">
            <v>3.0595146441424581E-2</v>
          </cell>
          <cell r="T562">
            <v>2.1376596746739075E-2</v>
          </cell>
          <cell r="U562">
            <v>2.259263085123616E-2</v>
          </cell>
          <cell r="V562">
            <v>3.3390114955831475E-2</v>
          </cell>
          <cell r="W562">
            <v>3.4574900170770043E-2</v>
          </cell>
          <cell r="X562">
            <v>3.7140974455036897E-2</v>
          </cell>
          <cell r="Y562">
            <v>2.538231276929194E-2</v>
          </cell>
          <cell r="Z562">
            <v>1.4180306131434998E-2</v>
          </cell>
          <cell r="AA562">
            <v>2.1802173887135783E-2</v>
          </cell>
          <cell r="AB562">
            <v>1.6716835891844903E-2</v>
          </cell>
          <cell r="AC562">
            <v>2.7176379869206513E-2</v>
          </cell>
          <cell r="AD562">
            <v>3.5559665342685953E-2</v>
          </cell>
          <cell r="AE562">
            <v>3.8810132381089914E-2</v>
          </cell>
          <cell r="AF562">
            <v>3.9140337545470624E-2</v>
          </cell>
          <cell r="AG562">
            <v>3.3838336140259051E-2</v>
          </cell>
          <cell r="AH562">
            <v>2.6419534292017245E-2</v>
          </cell>
          <cell r="AI562">
            <v>2.8707575452945881E-2</v>
          </cell>
          <cell r="AJ562">
            <v>3.1720816245264703E-2</v>
          </cell>
          <cell r="AK562">
            <v>2.5977703083831315E-2</v>
          </cell>
          <cell r="AL562">
            <v>1.6075171701473323E-2</v>
          </cell>
          <cell r="AM562">
            <v>9.1679231974702707E-3</v>
          </cell>
          <cell r="AN562">
            <v>6.9067944123989145E-4</v>
          </cell>
          <cell r="AO562">
            <v>3.8271207031422283E-3</v>
          </cell>
          <cell r="AP562">
            <v>-1.2172255680229227E-3</v>
          </cell>
          <cell r="AQ562">
            <v>-4.8085289493639133E-3</v>
          </cell>
          <cell r="AR562">
            <v>1.2369006403788324E-3</v>
          </cell>
          <cell r="AS562">
            <v>-2.4306791526149014E-2</v>
          </cell>
          <cell r="AT562" t="e">
            <v>#DIV/0!</v>
          </cell>
          <cell r="AU562" t="e">
            <v>#DIV/0!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G563">
            <v>541</v>
          </cell>
          <cell r="H563" t="str">
            <v>4 Month Target (Budget) % Var</v>
          </cell>
          <cell r="I563">
            <v>0</v>
          </cell>
          <cell r="J563">
            <v>0</v>
          </cell>
          <cell r="K563">
            <v>0</v>
          </cell>
          <cell r="L563">
            <v>0.54406025435379957</v>
          </cell>
          <cell r="M563">
            <v>0.40059549366016062</v>
          </cell>
          <cell r="N563">
            <v>0.47213510360994509</v>
          </cell>
          <cell r="O563">
            <v>0.25217430937434315</v>
          </cell>
          <cell r="P563">
            <v>0.38270320706935457</v>
          </cell>
          <cell r="Q563">
            <v>0.51372898681992907</v>
          </cell>
          <cell r="R563">
            <v>0.5498376727988844</v>
          </cell>
          <cell r="S563">
            <v>0.89318256924030037</v>
          </cell>
          <cell r="T563">
            <v>0.70274292594797483</v>
          </cell>
          <cell r="U563">
            <v>0.6656452916476655</v>
          </cell>
          <cell r="V563">
            <v>0.85647451179484868</v>
          </cell>
          <cell r="W563">
            <v>0.84324271034174303</v>
          </cell>
          <cell r="X563">
            <v>0.96986076887604333</v>
          </cell>
          <cell r="Y563">
            <v>0.64912459620454277</v>
          </cell>
          <cell r="Z563">
            <v>0.27540765762780767</v>
          </cell>
          <cell r="AA563">
            <v>0.38945149437153243</v>
          </cell>
          <cell r="AB563">
            <v>0.21030212877626664</v>
          </cell>
          <cell r="AC563">
            <v>0.32686155859982474</v>
          </cell>
          <cell r="AD563">
            <v>0.45490466650549471</v>
          </cell>
          <cell r="AE563">
            <v>0.65546437514367961</v>
          </cell>
          <cell r="AF563">
            <v>0.85044527305767614</v>
          </cell>
          <cell r="AG563">
            <v>0.84138364108342001</v>
          </cell>
          <cell r="AH563">
            <v>0.55738556090563618</v>
          </cell>
          <cell r="AI563">
            <v>0.75795584796580184</v>
          </cell>
          <cell r="AJ563">
            <v>0.83155525304894029</v>
          </cell>
          <cell r="AK563">
            <v>0.73481900733271877</v>
          </cell>
          <cell r="AL563">
            <v>0.36915785543471452</v>
          </cell>
          <cell r="AM563">
            <v>0.13066817428318095</v>
          </cell>
          <cell r="AN563">
            <v>9.0340690073860558E-3</v>
          </cell>
          <cell r="AO563">
            <v>4.8276752261570612E-2</v>
          </cell>
          <cell r="AP563">
            <v>-1.5279227136595862E-2</v>
          </cell>
          <cell r="AQ563">
            <v>-6.8542989210681277E-2</v>
          </cell>
          <cell r="AR563">
            <v>1.830148096310669E-2</v>
          </cell>
          <cell r="AS563">
            <v>-0.32122182563678964</v>
          </cell>
          <cell r="AT563" t="e">
            <v>#DIV/0!</v>
          </cell>
          <cell r="AU563" t="e">
            <v>#DIV/0!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G564">
            <v>542</v>
          </cell>
          <cell r="H564" t="str">
            <v>Actual</v>
          </cell>
          <cell r="I564">
            <v>0</v>
          </cell>
          <cell r="J564">
            <v>0</v>
          </cell>
          <cell r="K564">
            <v>0</v>
          </cell>
          <cell r="L564">
            <v>0.46666666666666667</v>
          </cell>
          <cell r="M564">
            <v>0.5625</v>
          </cell>
          <cell r="N564">
            <v>0.23076923076923078</v>
          </cell>
          <cell r="O564">
            <v>0.25</v>
          </cell>
          <cell r="P564">
            <v>0.29411764705882354</v>
          </cell>
          <cell r="Q564">
            <v>0.52631578947368418</v>
          </cell>
          <cell r="R564">
            <v>0.94736842105263153</v>
          </cell>
          <cell r="S564">
            <v>0.66666666666666663</v>
          </cell>
          <cell r="T564">
            <v>0.5</v>
          </cell>
          <cell r="U564">
            <v>0.5</v>
          </cell>
          <cell r="V564">
            <v>0.7857142857142857</v>
          </cell>
          <cell r="W564">
            <v>0.61111111111111116</v>
          </cell>
          <cell r="X564">
            <v>0.84848484848484851</v>
          </cell>
          <cell r="Y564">
            <v>0.81081081081081086</v>
          </cell>
          <cell r="Z564">
            <v>0.75</v>
          </cell>
          <cell r="AA564">
            <v>0.83333333333333337</v>
          </cell>
          <cell r="AB564">
            <v>0.84210526315789469</v>
          </cell>
          <cell r="AC564">
            <v>0.84</v>
          </cell>
          <cell r="AD564">
            <v>0.82352941176470584</v>
          </cell>
          <cell r="AE564">
            <v>0.90909090909090906</v>
          </cell>
          <cell r="AF564">
            <v>0.93300000000000005</v>
          </cell>
          <cell r="AG564">
            <v>0.84599999999999997</v>
          </cell>
          <cell r="AH564">
            <v>0.92900000000000005</v>
          </cell>
          <cell r="AI564">
            <v>0.9</v>
          </cell>
          <cell r="AJ564">
            <v>0.95199999999999996</v>
          </cell>
          <cell r="AK564">
            <v>0.89100000000000001</v>
          </cell>
          <cell r="AL564">
            <v>0.93799999999999994</v>
          </cell>
          <cell r="AM564">
            <v>0.95699999999999996</v>
          </cell>
          <cell r="AN564">
            <v>0.93500000000000005</v>
          </cell>
          <cell r="AO564">
            <v>0.92900000000000005</v>
          </cell>
          <cell r="AP564">
            <v>0.93100000000000005</v>
          </cell>
          <cell r="AQ564">
            <v>0.93199999999999994</v>
          </cell>
          <cell r="AR564">
            <v>0.92975000000000008</v>
          </cell>
          <cell r="AS564">
            <v>0.91975000000000007</v>
          </cell>
          <cell r="AT564">
            <v>0.90375000000000005</v>
          </cell>
          <cell r="AU564">
            <v>0.89400000000000002</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G565">
            <v>543</v>
          </cell>
          <cell r="H565" t="str">
            <v>Target (Budget)</v>
          </cell>
          <cell r="I565">
            <v>0</v>
          </cell>
          <cell r="J565">
            <v>0</v>
          </cell>
          <cell r="K565">
            <v>0</v>
          </cell>
          <cell r="L565">
            <v>0.9</v>
          </cell>
          <cell r="M565">
            <v>0.9</v>
          </cell>
          <cell r="N565">
            <v>0.9</v>
          </cell>
          <cell r="O565">
            <v>0.9</v>
          </cell>
          <cell r="P565">
            <v>0.9</v>
          </cell>
          <cell r="Q565">
            <v>0.9</v>
          </cell>
          <cell r="R565">
            <v>0.9</v>
          </cell>
          <cell r="S565">
            <v>0.9</v>
          </cell>
          <cell r="T565">
            <v>0.9</v>
          </cell>
          <cell r="U565">
            <v>0.9</v>
          </cell>
          <cell r="V565">
            <v>0.9</v>
          </cell>
          <cell r="W565">
            <v>0.9</v>
          </cell>
          <cell r="X565">
            <v>0.9</v>
          </cell>
          <cell r="Y565">
            <v>0.9</v>
          </cell>
          <cell r="Z565">
            <v>0.9</v>
          </cell>
          <cell r="AA565">
            <v>0.9</v>
          </cell>
          <cell r="AB565">
            <v>0.9</v>
          </cell>
          <cell r="AC565">
            <v>0.9</v>
          </cell>
          <cell r="AD565">
            <v>0.9</v>
          </cell>
          <cell r="AE565">
            <v>0.9</v>
          </cell>
          <cell r="AF565">
            <v>0.9</v>
          </cell>
          <cell r="AG565">
            <v>0.9</v>
          </cell>
          <cell r="AH565">
            <v>0.9</v>
          </cell>
          <cell r="AI565">
            <v>0.9</v>
          </cell>
          <cell r="AJ565">
            <v>0.9</v>
          </cell>
          <cell r="AK565">
            <v>0.9</v>
          </cell>
          <cell r="AL565">
            <v>0.9</v>
          </cell>
          <cell r="AM565">
            <v>0.9</v>
          </cell>
          <cell r="AN565">
            <v>0.9</v>
          </cell>
          <cell r="AO565">
            <v>0.9</v>
          </cell>
          <cell r="AP565">
            <v>0.9</v>
          </cell>
          <cell r="AQ565">
            <v>0.9</v>
          </cell>
          <cell r="AR565">
            <v>0.9</v>
          </cell>
          <cell r="AS565">
            <v>0.9</v>
          </cell>
          <cell r="AT565">
            <v>0.9</v>
          </cell>
          <cell r="AU565">
            <v>0.9</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G566">
            <v>544</v>
          </cell>
          <cell r="H566" t="str">
            <v>Target (Budget) Variance</v>
          </cell>
          <cell r="I566">
            <v>0</v>
          </cell>
          <cell r="J566">
            <v>0</v>
          </cell>
          <cell r="K566">
            <v>0</v>
          </cell>
          <cell r="L566">
            <v>-0.43333333333333335</v>
          </cell>
          <cell r="M566">
            <v>-0.33750000000000002</v>
          </cell>
          <cell r="N566">
            <v>-0.6692307692307693</v>
          </cell>
          <cell r="O566">
            <v>-0.65</v>
          </cell>
          <cell r="P566">
            <v>-0.60588235294117654</v>
          </cell>
          <cell r="Q566">
            <v>-0.37368421052631584</v>
          </cell>
          <cell r="R566">
            <v>4.7368421052631504E-2</v>
          </cell>
          <cell r="S566">
            <v>-0.23333333333333339</v>
          </cell>
          <cell r="T566">
            <v>-0.4</v>
          </cell>
          <cell r="U566">
            <v>-0.4</v>
          </cell>
          <cell r="V566">
            <v>-0.11428571428571432</v>
          </cell>
          <cell r="W566">
            <v>-0.28888888888888886</v>
          </cell>
          <cell r="X566">
            <v>-5.1515151515151514E-2</v>
          </cell>
          <cell r="Y566">
            <v>-8.9189189189189166E-2</v>
          </cell>
          <cell r="Z566">
            <v>-0.15000000000000002</v>
          </cell>
          <cell r="AA566">
            <v>-6.6666666666666652E-2</v>
          </cell>
          <cell r="AB566">
            <v>-5.7894736842105332E-2</v>
          </cell>
          <cell r="AC566">
            <v>-6.0000000000000053E-2</v>
          </cell>
          <cell r="AD566">
            <v>-7.6470588235294179E-2</v>
          </cell>
          <cell r="AE566">
            <v>9.0909090909090384E-3</v>
          </cell>
          <cell r="AF566">
            <v>3.3000000000000029E-2</v>
          </cell>
          <cell r="AG566">
            <v>-5.4000000000000048E-2</v>
          </cell>
          <cell r="AH566">
            <v>2.9000000000000026E-2</v>
          </cell>
          <cell r="AI566">
            <v>0</v>
          </cell>
          <cell r="AJ566">
            <v>5.1999999999999935E-2</v>
          </cell>
          <cell r="AK566">
            <v>-9.000000000000008E-3</v>
          </cell>
          <cell r="AL566">
            <v>3.7999999999999923E-2</v>
          </cell>
          <cell r="AM566">
            <v>5.699999999999994E-2</v>
          </cell>
          <cell r="AN566">
            <v>3.5000000000000031E-2</v>
          </cell>
          <cell r="AO566">
            <v>2.9000000000000026E-2</v>
          </cell>
          <cell r="AP566">
            <v>3.1000000000000028E-2</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G567">
            <v>545</v>
          </cell>
          <cell r="H567" t="str">
            <v>Target (Budget) %Var</v>
          </cell>
          <cell r="I567">
            <v>0</v>
          </cell>
          <cell r="J567">
            <v>0</v>
          </cell>
          <cell r="K567">
            <v>0</v>
          </cell>
          <cell r="L567">
            <v>-0.48148148148148151</v>
          </cell>
          <cell r="M567">
            <v>-0.375</v>
          </cell>
          <cell r="N567">
            <v>-0.74358974358974361</v>
          </cell>
          <cell r="O567">
            <v>-0.72222222222222221</v>
          </cell>
          <cell r="P567">
            <v>-0.67320261437908502</v>
          </cell>
          <cell r="Q567">
            <v>-0.41520467836257313</v>
          </cell>
          <cell r="R567">
            <v>5.2631578947368335E-2</v>
          </cell>
          <cell r="S567">
            <v>-0.2592592592592593</v>
          </cell>
          <cell r="T567">
            <v>-0.44444444444444448</v>
          </cell>
          <cell r="U567">
            <v>-0.44444444444444448</v>
          </cell>
          <cell r="V567">
            <v>-0.12698412698412703</v>
          </cell>
          <cell r="W567">
            <v>-0.32098765432098764</v>
          </cell>
          <cell r="X567">
            <v>-5.7239057239057235E-2</v>
          </cell>
          <cell r="Y567">
            <v>-9.9099099099099072E-2</v>
          </cell>
          <cell r="Z567">
            <v>-0.16666666666666669</v>
          </cell>
          <cell r="AA567">
            <v>-7.4074074074074056E-2</v>
          </cell>
          <cell r="AB567">
            <v>-6.4327485380117039E-2</v>
          </cell>
          <cell r="AC567">
            <v>-6.6666666666666721E-2</v>
          </cell>
          <cell r="AD567">
            <v>-8.4967320261437981E-2</v>
          </cell>
          <cell r="AE567">
            <v>1.0101010101010043E-2</v>
          </cell>
          <cell r="AF567">
            <v>3.6666666666666702E-2</v>
          </cell>
          <cell r="AG567">
            <v>-6.0000000000000053E-2</v>
          </cell>
          <cell r="AH567">
            <v>3.2222222222222249E-2</v>
          </cell>
          <cell r="AI567">
            <v>0</v>
          </cell>
          <cell r="AJ567">
            <v>5.7777777777777706E-2</v>
          </cell>
          <cell r="AK567">
            <v>-1.0000000000000009E-2</v>
          </cell>
          <cell r="AL567">
            <v>4.2222222222222133E-2</v>
          </cell>
          <cell r="AM567">
            <v>6.3333333333333269E-2</v>
          </cell>
          <cell r="AN567">
            <v>3.8888888888888924E-2</v>
          </cell>
          <cell r="AO567">
            <v>3.2222222222222249E-2</v>
          </cell>
          <cell r="AP567">
            <v>3.4444444444444472E-2</v>
          </cell>
          <cell r="AQ567" t="e">
            <v>#DIV/0!</v>
          </cell>
          <cell r="AR567" t="e">
            <v>#DIV/0!</v>
          </cell>
          <cell r="AS567" t="e">
            <v>#DIV/0!</v>
          </cell>
          <cell r="AT567" t="e">
            <v>#DIV/0!</v>
          </cell>
          <cell r="AU567" t="e">
            <v>#DIV/0!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G568">
            <v>546</v>
          </cell>
          <cell r="H568" t="str">
            <v xml:space="preserve">YTD Actual </v>
          </cell>
          <cell r="I568">
            <v>0</v>
          </cell>
          <cell r="J568">
            <v>0</v>
          </cell>
          <cell r="K568">
            <v>0</v>
          </cell>
          <cell r="L568">
            <v>0.46666666666666667</v>
          </cell>
          <cell r="M568">
            <v>0.51458333333333339</v>
          </cell>
          <cell r="N568">
            <v>0.41997863247863254</v>
          </cell>
          <cell r="O568">
            <v>0.37748397435897441</v>
          </cell>
          <cell r="P568">
            <v>0.36081070889894423</v>
          </cell>
          <cell r="Q568">
            <v>0.38839488899473423</v>
          </cell>
          <cell r="R568">
            <v>0.46824825071729098</v>
          </cell>
          <cell r="S568">
            <v>0.49305055271096293</v>
          </cell>
          <cell r="T568">
            <v>0.49382271352085599</v>
          </cell>
          <cell r="U568">
            <v>0.49444044216877037</v>
          </cell>
          <cell r="V568">
            <v>0.52091988249109</v>
          </cell>
          <cell r="W568">
            <v>0.52843581820942509</v>
          </cell>
          <cell r="X568">
            <v>0.84848484848484851</v>
          </cell>
          <cell r="Y568">
            <v>0.82857142857142863</v>
          </cell>
          <cell r="Z568">
            <v>0.80392156862745101</v>
          </cell>
          <cell r="AA568">
            <v>0.80952380952380953</v>
          </cell>
          <cell r="AB568">
            <v>0.81379310344827582</v>
          </cell>
          <cell r="AC568">
            <v>0.81764705882352939</v>
          </cell>
          <cell r="AD568">
            <v>0.81818181818181823</v>
          </cell>
          <cell r="AE568">
            <v>0.82775119617224879</v>
          </cell>
          <cell r="AF568">
            <v>0.83499999999999996</v>
          </cell>
          <cell r="AG568">
            <v>0.83599999999999997</v>
          </cell>
          <cell r="AH568">
            <v>0.84499999999999997</v>
          </cell>
          <cell r="AI568">
            <v>0.84899999999999998</v>
          </cell>
          <cell r="AJ568">
            <v>0.95199999999999996</v>
          </cell>
          <cell r="AK568">
            <v>0.91</v>
          </cell>
          <cell r="AL568">
            <v>0.91900000000000004</v>
          </cell>
          <cell r="AM568">
            <v>0.92600000000000005</v>
          </cell>
          <cell r="AN568">
            <v>0.92800000000000005</v>
          </cell>
          <cell r="AO568">
            <v>0.92800000000000005</v>
          </cell>
          <cell r="AP568">
            <v>0.92900000000000005</v>
          </cell>
          <cell r="AQ568">
            <v>1</v>
          </cell>
          <cell r="AR568">
            <v>1</v>
          </cell>
          <cell r="AS568">
            <v>0.96299999999999997</v>
          </cell>
          <cell r="AT568">
            <v>0.9</v>
          </cell>
          <cell r="AU568" t="e">
            <v>#DIV/0!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G569">
            <v>547</v>
          </cell>
          <cell r="H569" t="str">
            <v xml:space="preserve">YTD Target (Budget) </v>
          </cell>
          <cell r="I569">
            <v>0</v>
          </cell>
          <cell r="J569">
            <v>0</v>
          </cell>
          <cell r="K569">
            <v>0</v>
          </cell>
          <cell r="L569">
            <v>0.9</v>
          </cell>
          <cell r="M569">
            <v>0.9</v>
          </cell>
          <cell r="N569">
            <v>0.9</v>
          </cell>
          <cell r="O569">
            <v>0.9</v>
          </cell>
          <cell r="P569">
            <v>0.9</v>
          </cell>
          <cell r="Q569">
            <v>0.9</v>
          </cell>
          <cell r="R569">
            <v>0.90000000000000013</v>
          </cell>
          <cell r="S569">
            <v>0.90000000000000013</v>
          </cell>
          <cell r="T569">
            <v>0.90000000000000013</v>
          </cell>
          <cell r="U569">
            <v>0.90000000000000013</v>
          </cell>
          <cell r="V569">
            <v>0.90000000000000024</v>
          </cell>
          <cell r="W569">
            <v>0.90000000000000024</v>
          </cell>
          <cell r="X569">
            <v>0.9</v>
          </cell>
          <cell r="Y569">
            <v>0.9</v>
          </cell>
          <cell r="Z569">
            <v>0.9</v>
          </cell>
          <cell r="AA569">
            <v>0.9</v>
          </cell>
          <cell r="AB569">
            <v>0.9</v>
          </cell>
          <cell r="AC569">
            <v>0.9</v>
          </cell>
          <cell r="AD569">
            <v>0.9</v>
          </cell>
          <cell r="AE569">
            <v>0.9</v>
          </cell>
          <cell r="AF569">
            <v>0.9</v>
          </cell>
          <cell r="AG569">
            <v>0.9</v>
          </cell>
          <cell r="AH569">
            <v>0.9</v>
          </cell>
          <cell r="AI569">
            <v>0.9</v>
          </cell>
          <cell r="AJ569">
            <v>0.9</v>
          </cell>
          <cell r="AK569">
            <v>0.9</v>
          </cell>
          <cell r="AL569">
            <v>0.9</v>
          </cell>
          <cell r="AM569">
            <v>0.9</v>
          </cell>
          <cell r="AN569">
            <v>0.9</v>
          </cell>
          <cell r="AO569">
            <v>0.9</v>
          </cell>
          <cell r="AP569">
            <v>0.9</v>
          </cell>
          <cell r="AQ569">
            <v>0.9</v>
          </cell>
          <cell r="AR569">
            <v>0.9</v>
          </cell>
          <cell r="AS569">
            <v>0.9</v>
          </cell>
          <cell r="AT569">
            <v>0.9</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G570">
            <v>548</v>
          </cell>
          <cell r="H570" t="str">
            <v>YTD Target (Budget) Var</v>
          </cell>
          <cell r="I570">
            <v>0</v>
          </cell>
          <cell r="J570">
            <v>0</v>
          </cell>
          <cell r="K570">
            <v>0</v>
          </cell>
          <cell r="L570">
            <v>-0.43333333333333335</v>
          </cell>
          <cell r="M570">
            <v>-0.38541666666666663</v>
          </cell>
          <cell r="N570">
            <v>-0.48002136752136748</v>
          </cell>
          <cell r="O570">
            <v>-0.52251602564102562</v>
          </cell>
          <cell r="P570">
            <v>-0.53918929110105585</v>
          </cell>
          <cell r="Q570">
            <v>-0.51160511100526573</v>
          </cell>
          <cell r="R570">
            <v>-0.43175174928270915</v>
          </cell>
          <cell r="S570">
            <v>-0.4069494472890372</v>
          </cell>
          <cell r="T570">
            <v>-0.40617728647914414</v>
          </cell>
          <cell r="U570">
            <v>-0.40555955783122977</v>
          </cell>
          <cell r="V570">
            <v>-0.37908011750891024</v>
          </cell>
          <cell r="W570">
            <v>-0.37156418179057515</v>
          </cell>
          <cell r="X570">
            <v>-5.1515151515151514E-2</v>
          </cell>
          <cell r="Y570">
            <v>-7.1428571428571397E-2</v>
          </cell>
          <cell r="Z570">
            <v>-9.6078431372549011E-2</v>
          </cell>
          <cell r="AA570">
            <v>-9.0476190476190488E-2</v>
          </cell>
          <cell r="AB570">
            <v>-8.6206896551724199E-2</v>
          </cell>
          <cell r="AC570">
            <v>-8.2352941176470629E-2</v>
          </cell>
          <cell r="AD570">
            <v>-8.181818181818179E-2</v>
          </cell>
          <cell r="AE570">
            <v>-7.2248803827751229E-2</v>
          </cell>
          <cell r="AF570">
            <v>-6.5000000000000058E-2</v>
          </cell>
          <cell r="AG570">
            <v>-6.4000000000000057E-2</v>
          </cell>
          <cell r="AH570">
            <v>-5.5000000000000049E-2</v>
          </cell>
          <cell r="AI570">
            <v>-5.1000000000000045E-2</v>
          </cell>
          <cell r="AJ570">
            <v>5.1999999999999935E-2</v>
          </cell>
          <cell r="AK570">
            <v>1.0000000000000009E-2</v>
          </cell>
          <cell r="AL570">
            <v>1.9000000000000017E-2</v>
          </cell>
          <cell r="AM570">
            <v>2.6000000000000023E-2</v>
          </cell>
          <cell r="AN570">
            <v>2.8000000000000025E-2</v>
          </cell>
          <cell r="AO570">
            <v>2.8000000000000025E-2</v>
          </cell>
          <cell r="AP570">
            <v>2.9000000000000026E-2</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G571">
            <v>549</v>
          </cell>
          <cell r="H571" t="str">
            <v>YTD %Var</v>
          </cell>
          <cell r="I571">
            <v>0</v>
          </cell>
          <cell r="J571">
            <v>0</v>
          </cell>
          <cell r="K571">
            <v>0</v>
          </cell>
          <cell r="L571">
            <v>-0.48148148148148151</v>
          </cell>
          <cell r="M571">
            <v>-0.4282407407407407</v>
          </cell>
          <cell r="N571">
            <v>-0.53335707502374163</v>
          </cell>
          <cell r="O571">
            <v>-0.58057336182336183</v>
          </cell>
          <cell r="P571">
            <v>-0.59909921233450647</v>
          </cell>
          <cell r="Q571">
            <v>-0.5684501233391841</v>
          </cell>
          <cell r="R571">
            <v>-0.47972416586967676</v>
          </cell>
          <cell r="S571">
            <v>-0.45216605254337461</v>
          </cell>
          <cell r="T571">
            <v>-0.45130809608793787</v>
          </cell>
          <cell r="U571">
            <v>-0.45062173092358854</v>
          </cell>
          <cell r="V571">
            <v>-0.42120013056545569</v>
          </cell>
          <cell r="W571">
            <v>-0.4128490908784167</v>
          </cell>
          <cell r="X571">
            <v>-5.7239057239057235E-2</v>
          </cell>
          <cell r="Y571">
            <v>-7.9365079365079333E-2</v>
          </cell>
          <cell r="Z571">
            <v>-0.10675381263616557</v>
          </cell>
          <cell r="AA571">
            <v>-0.10052910052910054</v>
          </cell>
          <cell r="AB571">
            <v>-9.5785440613026879E-2</v>
          </cell>
          <cell r="AC571">
            <v>-9.1503267973856259E-2</v>
          </cell>
          <cell r="AD571">
            <v>-9.090909090909087E-2</v>
          </cell>
          <cell r="AE571">
            <v>-8.0276448697501362E-2</v>
          </cell>
          <cell r="AF571">
            <v>-7.2222222222222285E-2</v>
          </cell>
          <cell r="AG571">
            <v>-7.1111111111111167E-2</v>
          </cell>
          <cell r="AH571">
            <v>-6.1111111111111165E-2</v>
          </cell>
          <cell r="AI571">
            <v>-5.6666666666666712E-2</v>
          </cell>
          <cell r="AJ571">
            <v>5.7777777777777706E-2</v>
          </cell>
          <cell r="AK571">
            <v>1.111111111111112E-2</v>
          </cell>
          <cell r="AL571">
            <v>2.1111111111111129E-2</v>
          </cell>
          <cell r="AM571">
            <v>2.8888888888888915E-2</v>
          </cell>
          <cell r="AN571">
            <v>3.1111111111111138E-2</v>
          </cell>
          <cell r="AO571">
            <v>3.1111111111111138E-2</v>
          </cell>
          <cell r="AP571">
            <v>3.2222222222222249E-2</v>
          </cell>
          <cell r="AQ571" t="e">
            <v>#DIV/0!</v>
          </cell>
          <cell r="AR571" t="e">
            <v>#DIV/0!</v>
          </cell>
          <cell r="AS571" t="e">
            <v>#DIV/0!</v>
          </cell>
          <cell r="AT571" t="e">
            <v>#DIV/0!</v>
          </cell>
          <cell r="AU571" t="e">
            <v>#DIV/0!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G572">
            <v>550</v>
          </cell>
          <cell r="H572" t="str">
            <v>4 Month Actual</v>
          </cell>
          <cell r="I572">
            <v>0</v>
          </cell>
          <cell r="J572">
            <v>0</v>
          </cell>
          <cell r="K572">
            <v>0</v>
          </cell>
          <cell r="L572">
            <v>0.46666666666666667</v>
          </cell>
          <cell r="M572">
            <v>0.51458333333333339</v>
          </cell>
          <cell r="N572">
            <v>0.41997863247863254</v>
          </cell>
          <cell r="O572">
            <v>0.37748397435897441</v>
          </cell>
          <cell r="P572">
            <v>0.33434671945701361</v>
          </cell>
          <cell r="Q572">
            <v>0.32530066682543463</v>
          </cell>
          <cell r="R572">
            <v>0.50445046439628483</v>
          </cell>
          <cell r="S572">
            <v>0.60861713106295146</v>
          </cell>
          <cell r="T572">
            <v>0.66008771929824561</v>
          </cell>
          <cell r="U572">
            <v>0.65350877192982448</v>
          </cell>
          <cell r="V572">
            <v>0.61309523809523803</v>
          </cell>
          <cell r="W572">
            <v>0.59920634920634919</v>
          </cell>
          <cell r="X572">
            <v>0.68632756132756134</v>
          </cell>
          <cell r="Y572">
            <v>0.76403026403026408</v>
          </cell>
          <cell r="Z572">
            <v>0.75510169260169269</v>
          </cell>
          <cell r="AA572">
            <v>0.81065724815724816</v>
          </cell>
          <cell r="AB572">
            <v>0.80906235182550978</v>
          </cell>
          <cell r="AC572">
            <v>0.81635964912280701</v>
          </cell>
          <cell r="AD572">
            <v>0.83474200206398352</v>
          </cell>
          <cell r="AE572">
            <v>0.85368139600337734</v>
          </cell>
          <cell r="AF572">
            <v>0.87640508021390384</v>
          </cell>
          <cell r="AG572">
            <v>0.87790508021390368</v>
          </cell>
          <cell r="AH572">
            <v>0.90427272727272734</v>
          </cell>
          <cell r="AI572">
            <v>0.90200000000000002</v>
          </cell>
          <cell r="AJ572">
            <v>0.90674999999999994</v>
          </cell>
          <cell r="AK572">
            <v>0.91800000000000004</v>
          </cell>
          <cell r="AL572">
            <v>0.92025000000000001</v>
          </cell>
          <cell r="AM572">
            <v>0.93449999999999989</v>
          </cell>
          <cell r="AN572">
            <v>0.93025000000000002</v>
          </cell>
          <cell r="AO572">
            <v>0.93975000000000009</v>
          </cell>
          <cell r="AP572">
            <v>0.93799999999999994</v>
          </cell>
          <cell r="AQ572">
            <v>0.93166666666666664</v>
          </cell>
          <cell r="AR572">
            <v>0.93</v>
          </cell>
          <cell r="AS572">
            <v>0.93100000000000005</v>
          </cell>
          <cell r="AT572" t="e">
            <v>#DIV/0!</v>
          </cell>
          <cell r="AU572" t="e">
            <v>#DIV/0!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G573">
            <v>551</v>
          </cell>
          <cell r="H573" t="str">
            <v>4 Month Target (Budget)</v>
          </cell>
          <cell r="I573">
            <v>0</v>
          </cell>
          <cell r="J573">
            <v>0</v>
          </cell>
          <cell r="K573">
            <v>0</v>
          </cell>
          <cell r="L573">
            <v>0.9</v>
          </cell>
          <cell r="M573">
            <v>0.9</v>
          </cell>
          <cell r="N573">
            <v>0.9</v>
          </cell>
          <cell r="O573">
            <v>0.9</v>
          </cell>
          <cell r="P573">
            <v>0.9</v>
          </cell>
          <cell r="Q573">
            <v>0.9</v>
          </cell>
          <cell r="R573">
            <v>0.9</v>
          </cell>
          <cell r="S573">
            <v>0.9</v>
          </cell>
          <cell r="T573">
            <v>0.9</v>
          </cell>
          <cell r="U573">
            <v>0.9</v>
          </cell>
          <cell r="V573">
            <v>0.9</v>
          </cell>
          <cell r="W573">
            <v>0.9</v>
          </cell>
          <cell r="X573">
            <v>0.9</v>
          </cell>
          <cell r="Y573">
            <v>0.9</v>
          </cell>
          <cell r="Z573">
            <v>0.9</v>
          </cell>
          <cell r="AA573">
            <v>0.9</v>
          </cell>
          <cell r="AB573">
            <v>0.9</v>
          </cell>
          <cell r="AC573">
            <v>0.9</v>
          </cell>
          <cell r="AD573">
            <v>0.9</v>
          </cell>
          <cell r="AE573">
            <v>0.9</v>
          </cell>
          <cell r="AF573">
            <v>0.9</v>
          </cell>
          <cell r="AG573">
            <v>0.9</v>
          </cell>
          <cell r="AH573">
            <v>0.9</v>
          </cell>
          <cell r="AI573">
            <v>0.9</v>
          </cell>
          <cell r="AJ573">
            <v>0.9</v>
          </cell>
          <cell r="AK573">
            <v>0.9</v>
          </cell>
          <cell r="AL573">
            <v>0.9</v>
          </cell>
          <cell r="AM573">
            <v>0.9</v>
          </cell>
          <cell r="AN573">
            <v>0.9</v>
          </cell>
          <cell r="AO573">
            <v>0.9</v>
          </cell>
          <cell r="AP573">
            <v>0.9</v>
          </cell>
          <cell r="AQ573">
            <v>0.9</v>
          </cell>
          <cell r="AR573">
            <v>0.9</v>
          </cell>
          <cell r="AS573">
            <v>0.9</v>
          </cell>
          <cell r="AT573" t="e">
            <v>#DIV/0!</v>
          </cell>
          <cell r="AU573" t="e">
            <v>#DIV/0!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G574">
            <v>552</v>
          </cell>
          <cell r="H574" t="str">
            <v>4 Month Target (Budget) Var</v>
          </cell>
          <cell r="I574">
            <v>0</v>
          </cell>
          <cell r="J574">
            <v>0</v>
          </cell>
          <cell r="K574">
            <v>0</v>
          </cell>
          <cell r="L574">
            <v>-0.43333333333333335</v>
          </cell>
          <cell r="M574">
            <v>-0.38541666666666663</v>
          </cell>
          <cell r="N574">
            <v>-0.48002136752136748</v>
          </cell>
          <cell r="O574">
            <v>-0.52251602564102562</v>
          </cell>
          <cell r="P574">
            <v>-0.56565328054298636</v>
          </cell>
          <cell r="Q574">
            <v>-0.57469933317456534</v>
          </cell>
          <cell r="R574">
            <v>-0.3955495356037152</v>
          </cell>
          <cell r="S574">
            <v>-0.29138286893704857</v>
          </cell>
          <cell r="T574">
            <v>-0.23991228070175441</v>
          </cell>
          <cell r="U574">
            <v>-0.24649122807017554</v>
          </cell>
          <cell r="V574">
            <v>-0.286904761904762</v>
          </cell>
          <cell r="W574">
            <v>-0.30079365079365084</v>
          </cell>
          <cell r="X574">
            <v>-0.21367243867243868</v>
          </cell>
          <cell r="Y574">
            <v>-0.13596973596973594</v>
          </cell>
          <cell r="Z574">
            <v>-0.14489830739830734</v>
          </cell>
          <cell r="AA574">
            <v>-8.9342751842751866E-2</v>
          </cell>
          <cell r="AB574">
            <v>-9.0937648174490238E-2</v>
          </cell>
          <cell r="AC574">
            <v>-8.3640350877193015E-2</v>
          </cell>
          <cell r="AD574">
            <v>-6.5257997936016499E-2</v>
          </cell>
          <cell r="AE574">
            <v>-4.6318603996622687E-2</v>
          </cell>
          <cell r="AF574">
            <v>-2.359491978609618E-2</v>
          </cell>
          <cell r="AG574">
            <v>-2.2094919786096345E-2</v>
          </cell>
          <cell r="AH574">
            <v>4.2727272727273169E-3</v>
          </cell>
          <cell r="AI574">
            <v>2.0000000000000018E-3</v>
          </cell>
          <cell r="AJ574">
            <v>6.7499999999999227E-3</v>
          </cell>
          <cell r="AK574">
            <v>1.8000000000000016E-2</v>
          </cell>
          <cell r="AL574">
            <v>2.024999999999999E-2</v>
          </cell>
          <cell r="AM574">
            <v>3.4499999999999864E-2</v>
          </cell>
          <cell r="AN574">
            <v>3.0249999999999999E-2</v>
          </cell>
          <cell r="AO574">
            <v>3.9750000000000063E-2</v>
          </cell>
          <cell r="AP574">
            <v>3.7999999999999923E-2</v>
          </cell>
          <cell r="AQ574">
            <v>3.1666666666666621E-2</v>
          </cell>
          <cell r="AR574">
            <v>3.0000000000000027E-2</v>
          </cell>
          <cell r="AS574">
            <v>3.1000000000000028E-2</v>
          </cell>
          <cell r="AT574" t="e">
            <v>#DIV/0!</v>
          </cell>
          <cell r="AU574" t="e">
            <v>#DIV/0!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G575">
            <v>553</v>
          </cell>
          <cell r="H575" t="str">
            <v>4 Month Target (Budget) % Var</v>
          </cell>
          <cell r="I575">
            <v>0</v>
          </cell>
          <cell r="J575">
            <v>0</v>
          </cell>
          <cell r="K575">
            <v>0</v>
          </cell>
          <cell r="L575">
            <v>-0.48148148148148151</v>
          </cell>
          <cell r="M575">
            <v>-0.4282407407407407</v>
          </cell>
          <cell r="N575">
            <v>-0.53335707502374163</v>
          </cell>
          <cell r="O575">
            <v>-0.58057336182336183</v>
          </cell>
          <cell r="P575">
            <v>-0.62850364504776257</v>
          </cell>
          <cell r="Q575">
            <v>-0.63855481463840591</v>
          </cell>
          <cell r="R575">
            <v>-0.43949948400412797</v>
          </cell>
          <cell r="S575">
            <v>-0.32375874326338727</v>
          </cell>
          <cell r="T575">
            <v>-0.26656920077972712</v>
          </cell>
          <cell r="U575">
            <v>-0.27387914230019506</v>
          </cell>
          <cell r="V575">
            <v>-0.31878306878306889</v>
          </cell>
          <cell r="W575">
            <v>-0.33421516754850095</v>
          </cell>
          <cell r="X575">
            <v>-0.23741382074715409</v>
          </cell>
          <cell r="Y575">
            <v>-0.1510774844108177</v>
          </cell>
          <cell r="Z575">
            <v>-0.16099811933145258</v>
          </cell>
          <cell r="AA575">
            <v>-9.9269724269724288E-2</v>
          </cell>
          <cell r="AB575">
            <v>-0.10104183130498914</v>
          </cell>
          <cell r="AC575">
            <v>-9.2933723196881132E-2</v>
          </cell>
          <cell r="AD575">
            <v>-7.250888659557389E-2</v>
          </cell>
          <cell r="AE575">
            <v>-5.1465115551802984E-2</v>
          </cell>
          <cell r="AF575">
            <v>-2.6216577540106867E-2</v>
          </cell>
          <cell r="AG575">
            <v>-2.4549910873440384E-2</v>
          </cell>
          <cell r="AH575">
            <v>4.7474747474747963E-3</v>
          </cell>
          <cell r="AI575">
            <v>2.222222222222224E-3</v>
          </cell>
          <cell r="AJ575">
            <v>7.4999999999999139E-3</v>
          </cell>
          <cell r="AK575">
            <v>2.0000000000000018E-2</v>
          </cell>
          <cell r="AL575">
            <v>2.2499999999999989E-2</v>
          </cell>
          <cell r="AM575">
            <v>3.8333333333333185E-2</v>
          </cell>
          <cell r="AN575">
            <v>3.3611111111111112E-2</v>
          </cell>
          <cell r="AO575">
            <v>4.4166666666666736E-2</v>
          </cell>
          <cell r="AP575">
            <v>4.2222222222222133E-2</v>
          </cell>
          <cell r="AQ575">
            <v>3.5185185185185132E-2</v>
          </cell>
          <cell r="AR575">
            <v>3.3333333333333361E-2</v>
          </cell>
          <cell r="AS575">
            <v>3.4444444444444472E-2</v>
          </cell>
          <cell r="AT575" t="e">
            <v>#DIV/0!</v>
          </cell>
          <cell r="AU575" t="e">
            <v>#DIV/0!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G576">
            <v>554</v>
          </cell>
          <cell r="H576" t="str">
            <v>Actual</v>
          </cell>
          <cell r="I576">
            <v>0</v>
          </cell>
          <cell r="J576">
            <v>0</v>
          </cell>
          <cell r="K576">
            <v>0</v>
          </cell>
          <cell r="L576">
            <v>0.73333333333333328</v>
          </cell>
          <cell r="M576">
            <v>0.60416666666666663</v>
          </cell>
          <cell r="N576">
            <v>0.69230769230769229</v>
          </cell>
          <cell r="O576">
            <v>0.45</v>
          </cell>
          <cell r="P576">
            <v>0.82352941176470584</v>
          </cell>
          <cell r="Q576">
            <v>0.73684210526315785</v>
          </cell>
          <cell r="R576">
            <v>0.94736842105263153</v>
          </cell>
          <cell r="S576">
            <v>0.83333333333333337</v>
          </cell>
          <cell r="T576">
            <v>1</v>
          </cell>
          <cell r="U576">
            <v>0.75</v>
          </cell>
          <cell r="V576">
            <v>0.8214285714285714</v>
          </cell>
          <cell r="W576">
            <v>1</v>
          </cell>
          <cell r="X576">
            <v>0.90909090909090906</v>
          </cell>
          <cell r="Y576">
            <v>0.91891891891891897</v>
          </cell>
          <cell r="Z576">
            <v>0.9375</v>
          </cell>
          <cell r="AA576">
            <v>0.70833333333333337</v>
          </cell>
          <cell r="AB576">
            <v>0.94736842105263153</v>
          </cell>
          <cell r="AC576">
            <v>0.96</v>
          </cell>
          <cell r="AD576">
            <v>0.88235294117647056</v>
          </cell>
          <cell r="AE576">
            <v>0.95454545454545459</v>
          </cell>
          <cell r="AF576">
            <v>1</v>
          </cell>
          <cell r="AG576">
            <v>0.92300000000000004</v>
          </cell>
          <cell r="AH576">
            <v>1</v>
          </cell>
          <cell r="AI576">
            <v>0.95</v>
          </cell>
          <cell r="AJ576">
            <v>0.95199999999999996</v>
          </cell>
          <cell r="AK576">
            <v>0.97799999999999998</v>
          </cell>
          <cell r="AL576">
            <v>0.93799999999999994</v>
          </cell>
          <cell r="AM576">
            <v>0.95699999999999996</v>
          </cell>
          <cell r="AN576">
            <v>0.90300000000000002</v>
          </cell>
          <cell r="AO576">
            <v>0.92900000000000005</v>
          </cell>
          <cell r="AP576">
            <v>0.93100000000000005</v>
          </cell>
          <cell r="AQ576">
            <v>0.94074999999999998</v>
          </cell>
          <cell r="AR576">
            <v>0.96500000000000008</v>
          </cell>
          <cell r="AS576">
            <v>0.97350000000000003</v>
          </cell>
          <cell r="AT576">
            <v>0.96575</v>
          </cell>
          <cell r="AU576">
            <v>0.95433333333333337</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G577">
            <v>555</v>
          </cell>
          <cell r="H577" t="str">
            <v>Target (Budget)</v>
          </cell>
          <cell r="I577">
            <v>0</v>
          </cell>
          <cell r="J577">
            <v>0</v>
          </cell>
          <cell r="K577">
            <v>0</v>
          </cell>
          <cell r="L577">
            <v>0.9</v>
          </cell>
          <cell r="M577">
            <v>0.9</v>
          </cell>
          <cell r="N577">
            <v>0.9</v>
          </cell>
          <cell r="O577">
            <v>0.9</v>
          </cell>
          <cell r="P577">
            <v>0.9</v>
          </cell>
          <cell r="Q577">
            <v>0.9</v>
          </cell>
          <cell r="R577">
            <v>0.9</v>
          </cell>
          <cell r="S577">
            <v>0.9</v>
          </cell>
          <cell r="T577">
            <v>0.9</v>
          </cell>
          <cell r="U577">
            <v>0.9</v>
          </cell>
          <cell r="V577">
            <v>0.9</v>
          </cell>
          <cell r="W577">
            <v>0.9</v>
          </cell>
          <cell r="X577">
            <v>0.9</v>
          </cell>
          <cell r="Y577">
            <v>0.9</v>
          </cell>
          <cell r="Z577">
            <v>0.9</v>
          </cell>
          <cell r="AA577">
            <v>0.9</v>
          </cell>
          <cell r="AB577">
            <v>0.9</v>
          </cell>
          <cell r="AC577">
            <v>0.9</v>
          </cell>
          <cell r="AD577">
            <v>0.9</v>
          </cell>
          <cell r="AE577">
            <v>0.9</v>
          </cell>
          <cell r="AF577">
            <v>0.9</v>
          </cell>
          <cell r="AG577">
            <v>0.9</v>
          </cell>
          <cell r="AH577">
            <v>0.9</v>
          </cell>
          <cell r="AI577">
            <v>0.9</v>
          </cell>
          <cell r="AJ577">
            <v>0.9</v>
          </cell>
          <cell r="AK577">
            <v>0.9</v>
          </cell>
          <cell r="AL577">
            <v>0.9</v>
          </cell>
          <cell r="AM577">
            <v>0.9</v>
          </cell>
          <cell r="AN577">
            <v>0.9</v>
          </cell>
          <cell r="AO577">
            <v>0.9</v>
          </cell>
          <cell r="AP577">
            <v>0.9</v>
          </cell>
          <cell r="AQ577">
            <v>0.9</v>
          </cell>
          <cell r="AR577">
            <v>0.9</v>
          </cell>
          <cell r="AS577">
            <v>0.9</v>
          </cell>
          <cell r="AT577">
            <v>0.9</v>
          </cell>
          <cell r="AU577">
            <v>0.9</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G578">
            <v>556</v>
          </cell>
          <cell r="H578" t="str">
            <v>Target (Budget) Variance</v>
          </cell>
          <cell r="I578">
            <v>0</v>
          </cell>
          <cell r="J578">
            <v>0</v>
          </cell>
          <cell r="K578">
            <v>0</v>
          </cell>
          <cell r="L578">
            <v>-0.16666666666666674</v>
          </cell>
          <cell r="M578">
            <v>-0.29583333333333339</v>
          </cell>
          <cell r="N578">
            <v>-0.20769230769230773</v>
          </cell>
          <cell r="O578">
            <v>-0.45</v>
          </cell>
          <cell r="P578">
            <v>-7.6470588235294179E-2</v>
          </cell>
          <cell r="Q578">
            <v>-0.16315789473684217</v>
          </cell>
          <cell r="R578">
            <v>4.7368421052631504E-2</v>
          </cell>
          <cell r="S578">
            <v>-6.6666666666666652E-2</v>
          </cell>
          <cell r="T578">
            <v>9.9999999999999978E-2</v>
          </cell>
          <cell r="U578">
            <v>-0.15000000000000002</v>
          </cell>
          <cell r="V578">
            <v>-7.8571428571428625E-2</v>
          </cell>
          <cell r="W578">
            <v>9.9999999999999978E-2</v>
          </cell>
          <cell r="X578">
            <v>9.0909090909090384E-3</v>
          </cell>
          <cell r="Y578">
            <v>1.8918918918918948E-2</v>
          </cell>
          <cell r="Z578">
            <v>3.7499999999999978E-2</v>
          </cell>
          <cell r="AA578">
            <v>-0.19166666666666665</v>
          </cell>
          <cell r="AB578">
            <v>4.7368421052631504E-2</v>
          </cell>
          <cell r="AC578">
            <v>5.9999999999999942E-2</v>
          </cell>
          <cell r="AD578">
            <v>-1.764705882352946E-2</v>
          </cell>
          <cell r="AE578">
            <v>5.4545454545454564E-2</v>
          </cell>
          <cell r="AF578">
            <v>9.9999999999999978E-2</v>
          </cell>
          <cell r="AG578">
            <v>2.300000000000002E-2</v>
          </cell>
          <cell r="AH578">
            <v>9.9999999999999978E-2</v>
          </cell>
          <cell r="AI578">
            <v>4.9999999999999933E-2</v>
          </cell>
          <cell r="AJ578">
            <v>5.1999999999999935E-2</v>
          </cell>
          <cell r="AK578">
            <v>7.7999999999999958E-2</v>
          </cell>
          <cell r="AL578">
            <v>3.7999999999999923E-2</v>
          </cell>
          <cell r="AM578">
            <v>5.699999999999994E-2</v>
          </cell>
          <cell r="AN578">
            <v>3.0000000000000027E-3</v>
          </cell>
          <cell r="AO578">
            <v>2.9000000000000026E-2</v>
          </cell>
          <cell r="AP578">
            <v>3.1000000000000028E-2</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G579">
            <v>557</v>
          </cell>
          <cell r="H579" t="str">
            <v>Target (Budget) %Var</v>
          </cell>
          <cell r="I579">
            <v>0</v>
          </cell>
          <cell r="J579">
            <v>0</v>
          </cell>
          <cell r="K579">
            <v>0</v>
          </cell>
          <cell r="L579">
            <v>-0.18518518518518526</v>
          </cell>
          <cell r="M579">
            <v>-0.32870370370370378</v>
          </cell>
          <cell r="N579">
            <v>-0.23076923076923081</v>
          </cell>
          <cell r="O579">
            <v>-0.5</v>
          </cell>
          <cell r="P579">
            <v>-8.4967320261437981E-2</v>
          </cell>
          <cell r="Q579">
            <v>-0.18128654970760241</v>
          </cell>
          <cell r="R579">
            <v>5.2631578947368335E-2</v>
          </cell>
          <cell r="S579">
            <v>-7.4074074074074056E-2</v>
          </cell>
          <cell r="T579">
            <v>0.11111111111111108</v>
          </cell>
          <cell r="U579">
            <v>-0.16666666666666669</v>
          </cell>
          <cell r="V579">
            <v>-8.7301587301587366E-2</v>
          </cell>
          <cell r="W579">
            <v>0.11111111111111108</v>
          </cell>
          <cell r="X579">
            <v>1.0101010101010043E-2</v>
          </cell>
          <cell r="Y579">
            <v>2.1021021021021054E-2</v>
          </cell>
          <cell r="Z579">
            <v>4.1666666666666644E-2</v>
          </cell>
          <cell r="AA579">
            <v>-0.21296296296296294</v>
          </cell>
          <cell r="AB579">
            <v>5.2631578947368335E-2</v>
          </cell>
          <cell r="AC579">
            <v>6.6666666666666596E-2</v>
          </cell>
          <cell r="AD579">
            <v>-1.9607843137254954E-2</v>
          </cell>
          <cell r="AE579">
            <v>6.0606060606060622E-2</v>
          </cell>
          <cell r="AF579">
            <v>0.11111111111111108</v>
          </cell>
          <cell r="AG579">
            <v>2.5555555555555578E-2</v>
          </cell>
          <cell r="AH579">
            <v>0.11111111111111108</v>
          </cell>
          <cell r="AI579">
            <v>5.5555555555555483E-2</v>
          </cell>
          <cell r="AJ579">
            <v>5.7777777777777706E-2</v>
          </cell>
          <cell r="AK579">
            <v>8.6666666666666614E-2</v>
          </cell>
          <cell r="AL579">
            <v>4.2222222222222133E-2</v>
          </cell>
          <cell r="AM579">
            <v>6.3333333333333269E-2</v>
          </cell>
          <cell r="AN579">
            <v>3.3333333333333361E-3</v>
          </cell>
          <cell r="AO579">
            <v>3.2222222222222249E-2</v>
          </cell>
          <cell r="AP579">
            <v>3.4444444444444472E-2</v>
          </cell>
          <cell r="AQ579" t="e">
            <v>#DIV/0!</v>
          </cell>
          <cell r="AR579" t="e">
            <v>#DIV/0!</v>
          </cell>
          <cell r="AS579" t="e">
            <v>#DIV/0!</v>
          </cell>
          <cell r="AT579" t="e">
            <v>#DIV/0!</v>
          </cell>
          <cell r="AU579" t="e">
            <v>#DIV/0!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G580">
            <v>558</v>
          </cell>
          <cell r="H580" t="str">
            <v xml:space="preserve">YTD Actual </v>
          </cell>
          <cell r="I580">
            <v>0</v>
          </cell>
          <cell r="J580">
            <v>0</v>
          </cell>
          <cell r="K580">
            <v>0</v>
          </cell>
          <cell r="L580">
            <v>0.73333333333333328</v>
          </cell>
          <cell r="M580">
            <v>0.66874999999999996</v>
          </cell>
          <cell r="N580">
            <v>0.67660256410256403</v>
          </cell>
          <cell r="O580">
            <v>0.61995192307692304</v>
          </cell>
          <cell r="P580">
            <v>0.6606674208144796</v>
          </cell>
          <cell r="Q580">
            <v>0.67336320155592588</v>
          </cell>
          <cell r="R580">
            <v>0.71250680434116964</v>
          </cell>
          <cell r="S580">
            <v>0.72761012046519002</v>
          </cell>
          <cell r="T580">
            <v>0.75787566263572448</v>
          </cell>
          <cell r="U580">
            <v>0.75708809637215202</v>
          </cell>
          <cell r="V580">
            <v>0.76293723046819018</v>
          </cell>
          <cell r="W580">
            <v>0.78269246126250769</v>
          </cell>
          <cell r="X580">
            <v>0.90909090909090906</v>
          </cell>
          <cell r="Y580">
            <v>0.91428571428571426</v>
          </cell>
          <cell r="Z580">
            <v>0.92156862745098034</v>
          </cell>
          <cell r="AA580">
            <v>0.88095238095238093</v>
          </cell>
          <cell r="AB580">
            <v>0.8896551724137931</v>
          </cell>
          <cell r="AC580">
            <v>0.9</v>
          </cell>
          <cell r="AD580">
            <v>0.89839572192513373</v>
          </cell>
          <cell r="AE580">
            <v>0.93301435406698563</v>
          </cell>
          <cell r="AF580">
            <v>0.93799999999999994</v>
          </cell>
          <cell r="AG580">
            <v>0.93600000000000005</v>
          </cell>
          <cell r="AH580">
            <v>0.92100000000000004</v>
          </cell>
          <cell r="AI580">
            <v>0.94299999999999995</v>
          </cell>
          <cell r="AJ580">
            <v>0.95199999999999996</v>
          </cell>
          <cell r="AK580">
            <v>0.97</v>
          </cell>
          <cell r="AL580">
            <v>0.96</v>
          </cell>
          <cell r="AM580">
            <v>0.95899999999999996</v>
          </cell>
          <cell r="AN580">
            <v>0.94799999999999995</v>
          </cell>
          <cell r="AO580">
            <v>0.94499999999999995</v>
          </cell>
          <cell r="AP580">
            <v>0.94299999999999995</v>
          </cell>
          <cell r="AQ580">
            <v>68.006558440000006</v>
          </cell>
          <cell r="AR580">
            <v>68</v>
          </cell>
          <cell r="AS580">
            <v>76.400000000000006</v>
          </cell>
          <cell r="AT580">
            <v>76.400000000000006</v>
          </cell>
          <cell r="AU580" t="e">
            <v>#DIV/0!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G581">
            <v>559</v>
          </cell>
          <cell r="H581" t="str">
            <v xml:space="preserve">YTD Target (Budget) </v>
          </cell>
          <cell r="I581">
            <v>0</v>
          </cell>
          <cell r="J581">
            <v>0</v>
          </cell>
          <cell r="K581">
            <v>0</v>
          </cell>
          <cell r="L581">
            <v>0.9</v>
          </cell>
          <cell r="M581">
            <v>0.9</v>
          </cell>
          <cell r="N581">
            <v>0.9</v>
          </cell>
          <cell r="O581">
            <v>0.9</v>
          </cell>
          <cell r="P581">
            <v>0.9</v>
          </cell>
          <cell r="Q581">
            <v>0.9</v>
          </cell>
          <cell r="R581">
            <v>0.90000000000000013</v>
          </cell>
          <cell r="S581">
            <v>0.90000000000000013</v>
          </cell>
          <cell r="T581">
            <v>0.90000000000000013</v>
          </cell>
          <cell r="U581">
            <v>0.90000000000000013</v>
          </cell>
          <cell r="V581">
            <v>0.90000000000000024</v>
          </cell>
          <cell r="W581">
            <v>0.90000000000000024</v>
          </cell>
          <cell r="X581">
            <v>0.9</v>
          </cell>
          <cell r="Y581">
            <v>0.9</v>
          </cell>
          <cell r="Z581">
            <v>0.9</v>
          </cell>
          <cell r="AA581">
            <v>0.9</v>
          </cell>
          <cell r="AB581">
            <v>0.9</v>
          </cell>
          <cell r="AC581">
            <v>0.9</v>
          </cell>
          <cell r="AD581">
            <v>0.9</v>
          </cell>
          <cell r="AE581">
            <v>0.9</v>
          </cell>
          <cell r="AF581">
            <v>0.9</v>
          </cell>
          <cell r="AG581">
            <v>0.9</v>
          </cell>
          <cell r="AH581">
            <v>0.9</v>
          </cell>
          <cell r="AI581">
            <v>0.9</v>
          </cell>
          <cell r="AJ581">
            <v>0.9</v>
          </cell>
          <cell r="AK581">
            <v>0.9</v>
          </cell>
          <cell r="AL581">
            <v>0.9</v>
          </cell>
          <cell r="AM581">
            <v>0.9</v>
          </cell>
          <cell r="AN581">
            <v>0.9</v>
          </cell>
          <cell r="AO581">
            <v>0.9</v>
          </cell>
          <cell r="AP581">
            <v>0.9</v>
          </cell>
          <cell r="AQ581">
            <v>84.4</v>
          </cell>
          <cell r="AR581">
            <v>84.4</v>
          </cell>
          <cell r="AS581">
            <v>83.83</v>
          </cell>
          <cell r="AT581">
            <v>83.83</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G582">
            <v>560</v>
          </cell>
          <cell r="H582" t="str">
            <v>YTD Target (Budget) Var</v>
          </cell>
          <cell r="I582">
            <v>0</v>
          </cell>
          <cell r="J582">
            <v>0</v>
          </cell>
          <cell r="K582">
            <v>0</v>
          </cell>
          <cell r="L582">
            <v>-0.16666666666666674</v>
          </cell>
          <cell r="M582">
            <v>-0.23125000000000007</v>
          </cell>
          <cell r="N582">
            <v>-0.22339743589743599</v>
          </cell>
          <cell r="O582">
            <v>-0.28004807692307698</v>
          </cell>
          <cell r="P582">
            <v>-0.23933257918552042</v>
          </cell>
          <cell r="Q582">
            <v>-0.22663679844407414</v>
          </cell>
          <cell r="R582">
            <v>-0.18749319565883049</v>
          </cell>
          <cell r="S582">
            <v>-0.17238987953481011</v>
          </cell>
          <cell r="T582">
            <v>-0.14212433736427565</v>
          </cell>
          <cell r="U582">
            <v>-0.14291190362784811</v>
          </cell>
          <cell r="V582">
            <v>-0.13706276953181007</v>
          </cell>
          <cell r="W582">
            <v>-0.11730753873749256</v>
          </cell>
          <cell r="X582">
            <v>9.0909090909090384E-3</v>
          </cell>
          <cell r="Y582">
            <v>1.4285714285714235E-2</v>
          </cell>
          <cell r="Z582">
            <v>2.1568627450980316E-2</v>
          </cell>
          <cell r="AA582">
            <v>-1.9047619047619091E-2</v>
          </cell>
          <cell r="AB582">
            <v>-1.0344827586206917E-2</v>
          </cell>
          <cell r="AC582">
            <v>0</v>
          </cell>
          <cell r="AD582">
            <v>-1.6042780748662944E-3</v>
          </cell>
          <cell r="AE582">
            <v>3.3014354066985607E-2</v>
          </cell>
          <cell r="AF582">
            <v>3.7999999999999923E-2</v>
          </cell>
          <cell r="AG582">
            <v>3.6000000000000032E-2</v>
          </cell>
          <cell r="AH582">
            <v>2.1000000000000019E-2</v>
          </cell>
          <cell r="AI582">
            <v>4.2999999999999927E-2</v>
          </cell>
          <cell r="AJ582">
            <v>5.1999999999999935E-2</v>
          </cell>
          <cell r="AK582">
            <v>6.9999999999999951E-2</v>
          </cell>
          <cell r="AL582">
            <v>5.9999999999999942E-2</v>
          </cell>
          <cell r="AM582">
            <v>5.8999999999999941E-2</v>
          </cell>
          <cell r="AN582">
            <v>4.7999999999999932E-2</v>
          </cell>
          <cell r="AO582">
            <v>4.4999999999999929E-2</v>
          </cell>
          <cell r="AP582">
            <v>4.2999999999999927E-2</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G583">
            <v>561</v>
          </cell>
          <cell r="H583" t="str">
            <v>YTD %Var</v>
          </cell>
          <cell r="I583">
            <v>0</v>
          </cell>
          <cell r="J583">
            <v>0</v>
          </cell>
          <cell r="K583">
            <v>0</v>
          </cell>
          <cell r="L583">
            <v>-0.18518518518518526</v>
          </cell>
          <cell r="M583">
            <v>-0.25694444444444453</v>
          </cell>
          <cell r="N583">
            <v>-0.24821937321937332</v>
          </cell>
          <cell r="O583">
            <v>-0.31116452991452997</v>
          </cell>
          <cell r="P583">
            <v>-0.26592508798391157</v>
          </cell>
          <cell r="Q583">
            <v>-0.25181866493786015</v>
          </cell>
          <cell r="R583">
            <v>-0.20832577295425608</v>
          </cell>
          <cell r="S583">
            <v>-0.19154431059423344</v>
          </cell>
          <cell r="T583">
            <v>-0.15791593040475072</v>
          </cell>
          <cell r="U583">
            <v>-0.15879100403094232</v>
          </cell>
          <cell r="V583">
            <v>-0.1522919661464556</v>
          </cell>
          <cell r="W583">
            <v>-0.13034170970832504</v>
          </cell>
          <cell r="X583">
            <v>1.0101010101010043E-2</v>
          </cell>
          <cell r="Y583">
            <v>1.5873015873015817E-2</v>
          </cell>
          <cell r="Z583">
            <v>2.3965141612200348E-2</v>
          </cell>
          <cell r="AA583">
            <v>-2.1164021164021211E-2</v>
          </cell>
          <cell r="AB583">
            <v>-1.1494252873563241E-2</v>
          </cell>
          <cell r="AC583">
            <v>0</v>
          </cell>
          <cell r="AD583">
            <v>-1.7825311942958825E-3</v>
          </cell>
          <cell r="AE583">
            <v>3.6682615629984004E-2</v>
          </cell>
          <cell r="AF583">
            <v>4.2222222222222133E-2</v>
          </cell>
          <cell r="AG583">
            <v>4.0000000000000036E-2</v>
          </cell>
          <cell r="AH583">
            <v>2.3333333333333355E-2</v>
          </cell>
          <cell r="AI583">
            <v>4.7777777777777697E-2</v>
          </cell>
          <cell r="AJ583">
            <v>5.7777777777777706E-2</v>
          </cell>
          <cell r="AK583">
            <v>7.7777777777777724E-2</v>
          </cell>
          <cell r="AL583">
            <v>6.6666666666666596E-2</v>
          </cell>
          <cell r="AM583">
            <v>6.5555555555555492E-2</v>
          </cell>
          <cell r="AN583">
            <v>5.3333333333333253E-2</v>
          </cell>
          <cell r="AO583">
            <v>4.999999999999992E-2</v>
          </cell>
          <cell r="AP583">
            <v>4.7777777777777697E-2</v>
          </cell>
          <cell r="AQ583" t="e">
            <v>#DIV/0!</v>
          </cell>
          <cell r="AR583" t="e">
            <v>#DIV/0!</v>
          </cell>
          <cell r="AS583" t="e">
            <v>#DIV/0!</v>
          </cell>
          <cell r="AT583" t="e">
            <v>#DIV/0!</v>
          </cell>
          <cell r="AU583" t="e">
            <v>#DIV/0!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G584">
            <v>562</v>
          </cell>
          <cell r="H584" t="str">
            <v>4 Month Actual</v>
          </cell>
          <cell r="I584">
            <v>0</v>
          </cell>
          <cell r="J584">
            <v>0</v>
          </cell>
          <cell r="K584">
            <v>0</v>
          </cell>
          <cell r="L584">
            <v>0.73333333333333328</v>
          </cell>
          <cell r="M584">
            <v>0.66874999999999996</v>
          </cell>
          <cell r="N584">
            <v>0.67660256410256403</v>
          </cell>
          <cell r="O584">
            <v>0.61995192307692304</v>
          </cell>
          <cell r="P584">
            <v>0.64250094268476621</v>
          </cell>
          <cell r="Q584">
            <v>0.67566980233388896</v>
          </cell>
          <cell r="R584">
            <v>0.73943498452012379</v>
          </cell>
          <cell r="S584">
            <v>0.83526831785345712</v>
          </cell>
          <cell r="T584">
            <v>0.87938596491228072</v>
          </cell>
          <cell r="U584">
            <v>0.88267543859649122</v>
          </cell>
          <cell r="V584">
            <v>0.85119047619047628</v>
          </cell>
          <cell r="W584">
            <v>0.89285714285714279</v>
          </cell>
          <cell r="X584">
            <v>0.87012987012987009</v>
          </cell>
          <cell r="Y584">
            <v>0.9123595998595998</v>
          </cell>
          <cell r="Z584">
            <v>0.94137745700245701</v>
          </cell>
          <cell r="AA584">
            <v>0.86846079033579038</v>
          </cell>
          <cell r="AB584">
            <v>0.87803016832622094</v>
          </cell>
          <cell r="AC584">
            <v>0.88830043859649122</v>
          </cell>
          <cell r="AD584">
            <v>0.87451367389060886</v>
          </cell>
          <cell r="AE584">
            <v>0.93606670419363913</v>
          </cell>
          <cell r="AF584">
            <v>0.94922459893048128</v>
          </cell>
          <cell r="AG584">
            <v>0.9399745989304813</v>
          </cell>
          <cell r="AH584">
            <v>0.96938636363636366</v>
          </cell>
          <cell r="AI584">
            <v>0.96825000000000006</v>
          </cell>
          <cell r="AJ584">
            <v>0.95625000000000004</v>
          </cell>
          <cell r="AK584">
            <v>0.97</v>
          </cell>
          <cell r="AL584">
            <v>0.9544999999999999</v>
          </cell>
          <cell r="AM584">
            <v>0.95624999999999993</v>
          </cell>
          <cell r="AN584">
            <v>0.94399999999999995</v>
          </cell>
          <cell r="AO584">
            <v>0.93175000000000008</v>
          </cell>
          <cell r="AP584">
            <v>0.92999999999999994</v>
          </cell>
          <cell r="AQ584">
            <v>0.92099999999999993</v>
          </cell>
          <cell r="AR584">
            <v>0.93</v>
          </cell>
          <cell r="AS584">
            <v>0.93100000000000005</v>
          </cell>
          <cell r="AT584" t="e">
            <v>#DIV/0!</v>
          </cell>
          <cell r="AU584" t="e">
            <v>#DIV/0!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G585">
            <v>563</v>
          </cell>
          <cell r="H585" t="str">
            <v>4 Month Target (Budget)</v>
          </cell>
          <cell r="I585">
            <v>0</v>
          </cell>
          <cell r="J585">
            <v>0</v>
          </cell>
          <cell r="K585">
            <v>0</v>
          </cell>
          <cell r="L585">
            <v>0.9</v>
          </cell>
          <cell r="M585">
            <v>0.9</v>
          </cell>
          <cell r="N585">
            <v>0.9</v>
          </cell>
          <cell r="O585">
            <v>0.9</v>
          </cell>
          <cell r="P585">
            <v>0.9</v>
          </cell>
          <cell r="Q585">
            <v>0.9</v>
          </cell>
          <cell r="R585">
            <v>0.9</v>
          </cell>
          <cell r="S585">
            <v>0.9</v>
          </cell>
          <cell r="T585">
            <v>0.9</v>
          </cell>
          <cell r="U585">
            <v>0.9</v>
          </cell>
          <cell r="V585">
            <v>0.9</v>
          </cell>
          <cell r="W585">
            <v>0.9</v>
          </cell>
          <cell r="X585">
            <v>0.9</v>
          </cell>
          <cell r="Y585">
            <v>0.9</v>
          </cell>
          <cell r="Z585">
            <v>0.9</v>
          </cell>
          <cell r="AA585">
            <v>0.9</v>
          </cell>
          <cell r="AB585">
            <v>0.9</v>
          </cell>
          <cell r="AC585">
            <v>0.9</v>
          </cell>
          <cell r="AD585">
            <v>0.9</v>
          </cell>
          <cell r="AE585">
            <v>0.9</v>
          </cell>
          <cell r="AF585">
            <v>0.9</v>
          </cell>
          <cell r="AG585">
            <v>0.9</v>
          </cell>
          <cell r="AH585">
            <v>0.9</v>
          </cell>
          <cell r="AI585">
            <v>0.9</v>
          </cell>
          <cell r="AJ585">
            <v>0.9</v>
          </cell>
          <cell r="AK585">
            <v>0.9</v>
          </cell>
          <cell r="AL585">
            <v>0.9</v>
          </cell>
          <cell r="AM585">
            <v>0.9</v>
          </cell>
          <cell r="AN585">
            <v>0.9</v>
          </cell>
          <cell r="AO585">
            <v>0.9</v>
          </cell>
          <cell r="AP585">
            <v>0.9</v>
          </cell>
          <cell r="AQ585">
            <v>0.9</v>
          </cell>
          <cell r="AR585">
            <v>0.9</v>
          </cell>
          <cell r="AS585">
            <v>0.9</v>
          </cell>
          <cell r="AT585" t="e">
            <v>#DIV/0!</v>
          </cell>
          <cell r="AU585" t="e">
            <v>#DIV/0!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G586">
            <v>564</v>
          </cell>
          <cell r="H586" t="str">
            <v>4 Month Target (Budget) Var</v>
          </cell>
          <cell r="I586">
            <v>0</v>
          </cell>
          <cell r="J586">
            <v>0</v>
          </cell>
          <cell r="K586">
            <v>0</v>
          </cell>
          <cell r="L586">
            <v>-0.16666666666666674</v>
          </cell>
          <cell r="M586">
            <v>-0.23125000000000007</v>
          </cell>
          <cell r="N586">
            <v>-0.22339743589743599</v>
          </cell>
          <cell r="O586">
            <v>-0.28004807692307698</v>
          </cell>
          <cell r="P586">
            <v>-0.25749905731523381</v>
          </cell>
          <cell r="Q586">
            <v>-0.22433019766611106</v>
          </cell>
          <cell r="R586">
            <v>-0.16056501547987623</v>
          </cell>
          <cell r="S586">
            <v>-6.4731682146542902E-2</v>
          </cell>
          <cell r="T586">
            <v>-2.0614035087719307E-2</v>
          </cell>
          <cell r="U586">
            <v>-1.7324561403508798E-2</v>
          </cell>
          <cell r="V586">
            <v>-4.8809523809523747E-2</v>
          </cell>
          <cell r="W586">
            <v>-7.1428571428572285E-3</v>
          </cell>
          <cell r="X586">
            <v>-2.9870129870129936E-2</v>
          </cell>
          <cell r="Y586">
            <v>1.2359599859599779E-2</v>
          </cell>
          <cell r="Z586">
            <v>4.1377457002456985E-2</v>
          </cell>
          <cell r="AA586">
            <v>-3.1539209664209644E-2</v>
          </cell>
          <cell r="AB586">
            <v>-2.1969831673779083E-2</v>
          </cell>
          <cell r="AC586">
            <v>-1.1699561403508807E-2</v>
          </cell>
          <cell r="AD586">
            <v>-2.5486326109391166E-2</v>
          </cell>
          <cell r="AE586">
            <v>3.606670419363911E-2</v>
          </cell>
          <cell r="AF586">
            <v>4.9224598930481256E-2</v>
          </cell>
          <cell r="AG586">
            <v>3.9974598930481275E-2</v>
          </cell>
          <cell r="AH586">
            <v>6.9386363636363635E-2</v>
          </cell>
          <cell r="AI586">
            <v>6.8250000000000033E-2</v>
          </cell>
          <cell r="AJ586">
            <v>5.6250000000000022E-2</v>
          </cell>
          <cell r="AK586">
            <v>6.9999999999999951E-2</v>
          </cell>
          <cell r="AL586">
            <v>5.4499999999999882E-2</v>
          </cell>
          <cell r="AM586">
            <v>5.6249999999999911E-2</v>
          </cell>
          <cell r="AN586">
            <v>4.3999999999999928E-2</v>
          </cell>
          <cell r="AO586">
            <v>3.1750000000000056E-2</v>
          </cell>
          <cell r="AP586">
            <v>2.9999999999999916E-2</v>
          </cell>
          <cell r="AQ586">
            <v>2.0999999999999908E-2</v>
          </cell>
          <cell r="AR586">
            <v>3.0000000000000027E-2</v>
          </cell>
          <cell r="AS586">
            <v>3.1000000000000028E-2</v>
          </cell>
          <cell r="AT586" t="e">
            <v>#DIV/0!</v>
          </cell>
          <cell r="AU586" t="e">
            <v>#DIV/0!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G587">
            <v>565</v>
          </cell>
          <cell r="H587" t="str">
            <v>4 Month Target (Budget) % Var</v>
          </cell>
          <cell r="I587">
            <v>0</v>
          </cell>
          <cell r="J587">
            <v>0</v>
          </cell>
          <cell r="K587">
            <v>0</v>
          </cell>
          <cell r="L587">
            <v>-0.18518518518518526</v>
          </cell>
          <cell r="M587">
            <v>-0.25694444444444453</v>
          </cell>
          <cell r="N587">
            <v>-0.24821937321937332</v>
          </cell>
          <cell r="O587">
            <v>-0.31116452991452997</v>
          </cell>
          <cell r="P587">
            <v>-0.2861100636835931</v>
          </cell>
          <cell r="Q587">
            <v>-0.24925577518456785</v>
          </cell>
          <cell r="R587">
            <v>-0.17840557275541802</v>
          </cell>
          <cell r="S587">
            <v>-7.192409127393655E-2</v>
          </cell>
          <cell r="T587">
            <v>-2.2904483430799229E-2</v>
          </cell>
          <cell r="U587">
            <v>-1.9249512670565332E-2</v>
          </cell>
          <cell r="V587">
            <v>-5.423280423280416E-2</v>
          </cell>
          <cell r="W587">
            <v>-7.9365079365080315E-3</v>
          </cell>
          <cell r="X587">
            <v>-3.3189033189033261E-2</v>
          </cell>
          <cell r="Y587">
            <v>1.3732888732888643E-2</v>
          </cell>
          <cell r="Z587">
            <v>4.5974952224952202E-2</v>
          </cell>
          <cell r="AA587">
            <v>-3.5043566293566274E-2</v>
          </cell>
          <cell r="AB587">
            <v>-2.4410924081976759E-2</v>
          </cell>
          <cell r="AC587">
            <v>-1.2999512670565341E-2</v>
          </cell>
          <cell r="AD587">
            <v>-2.8318140121545741E-2</v>
          </cell>
          <cell r="AE587">
            <v>4.0074115770710121E-2</v>
          </cell>
          <cell r="AF587">
            <v>5.4693998811645841E-2</v>
          </cell>
          <cell r="AG587">
            <v>4.4416221033868081E-2</v>
          </cell>
          <cell r="AH587">
            <v>7.7095959595959593E-2</v>
          </cell>
          <cell r="AI587">
            <v>7.5833333333333364E-2</v>
          </cell>
          <cell r="AJ587">
            <v>6.2500000000000028E-2</v>
          </cell>
          <cell r="AK587">
            <v>7.7777777777777724E-2</v>
          </cell>
          <cell r="AL587">
            <v>6.0555555555555425E-2</v>
          </cell>
          <cell r="AM587">
            <v>6.2499999999999903E-2</v>
          </cell>
          <cell r="AN587">
            <v>4.8888888888888808E-2</v>
          </cell>
          <cell r="AO587">
            <v>3.5277777777777838E-2</v>
          </cell>
          <cell r="AP587">
            <v>3.3333333333333236E-2</v>
          </cell>
          <cell r="AQ587">
            <v>2.333333333333323E-2</v>
          </cell>
          <cell r="AR587">
            <v>3.3333333333333361E-2</v>
          </cell>
          <cell r="AS587">
            <v>3.4444444444444472E-2</v>
          </cell>
          <cell r="AT587" t="e">
            <v>#DIV/0!</v>
          </cell>
          <cell r="AU587" t="e">
            <v>#DIV/0!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G588">
            <v>566</v>
          </cell>
          <cell r="H588" t="str">
            <v>Actual</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170</v>
          </cell>
          <cell r="AA588">
            <v>170</v>
          </cell>
          <cell r="AB588">
            <v>170</v>
          </cell>
          <cell r="AC588">
            <v>170</v>
          </cell>
          <cell r="AD588">
            <v>128.30000000000001</v>
          </cell>
          <cell r="AE588">
            <v>128.30000000000001</v>
          </cell>
          <cell r="AF588">
            <v>103.1</v>
          </cell>
          <cell r="AG588">
            <v>103.1</v>
          </cell>
          <cell r="AH588">
            <v>103</v>
          </cell>
          <cell r="AI588">
            <v>93.1</v>
          </cell>
          <cell r="AJ588">
            <v>93.2</v>
          </cell>
          <cell r="AK588">
            <v>93.2</v>
          </cell>
          <cell r="AL588">
            <v>93.2</v>
          </cell>
          <cell r="AM588">
            <v>105.6</v>
          </cell>
          <cell r="AN588">
            <v>105.6</v>
          </cell>
          <cell r="AO588">
            <v>105.6</v>
          </cell>
          <cell r="AP588">
            <v>68</v>
          </cell>
          <cell r="AQ588">
            <v>347.11666745999997</v>
          </cell>
          <cell r="AR588">
            <v>309.56489217000001</v>
          </cell>
          <cell r="AS588">
            <v>280.41311688000002</v>
          </cell>
          <cell r="AT588">
            <v>288.80655844</v>
          </cell>
          <cell r="AU588">
            <v>220.8</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G589">
            <v>567</v>
          </cell>
          <cell r="H589" t="str">
            <v>Target (Budget)</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160.1</v>
          </cell>
          <cell r="AA589">
            <v>160.1</v>
          </cell>
          <cell r="AB589">
            <v>160.1</v>
          </cell>
          <cell r="AC589">
            <v>160.1</v>
          </cell>
          <cell r="AD589">
            <v>191.6</v>
          </cell>
          <cell r="AE589">
            <v>191.6</v>
          </cell>
          <cell r="AF589">
            <v>153</v>
          </cell>
          <cell r="AG589">
            <v>153</v>
          </cell>
          <cell r="AH589">
            <v>153</v>
          </cell>
          <cell r="AI589">
            <v>113.8</v>
          </cell>
          <cell r="AJ589">
            <v>113.8</v>
          </cell>
          <cell r="AK589">
            <v>113.8</v>
          </cell>
          <cell r="AL589">
            <v>113.8</v>
          </cell>
          <cell r="AM589">
            <v>90.6</v>
          </cell>
          <cell r="AN589">
            <v>90.6</v>
          </cell>
          <cell r="AO589">
            <v>90.6</v>
          </cell>
          <cell r="AP589">
            <v>84.4</v>
          </cell>
          <cell r="AQ589">
            <v>350</v>
          </cell>
          <cell r="AR589">
            <v>343.79999999999995</v>
          </cell>
          <cell r="AS589">
            <v>337.03000000000003</v>
          </cell>
          <cell r="AT589">
            <v>336.46</v>
          </cell>
          <cell r="AU589">
            <v>252.06</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G590">
            <v>568</v>
          </cell>
          <cell r="H590" t="str">
            <v>Target (Budget) Variance</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9.9000000000000057</v>
          </cell>
          <cell r="AA590">
            <v>298.39999999999998</v>
          </cell>
          <cell r="AB590">
            <v>9.9000000000000057</v>
          </cell>
          <cell r="AC590">
            <v>9.9000000000000057</v>
          </cell>
          <cell r="AD590">
            <v>-63.299999999999983</v>
          </cell>
          <cell r="AE590">
            <v>-63.299999999999983</v>
          </cell>
          <cell r="AF590">
            <v>-49.900000000000006</v>
          </cell>
          <cell r="AG590">
            <v>-49.900000000000006</v>
          </cell>
          <cell r="AH590">
            <v>-50</v>
          </cell>
          <cell r="AI590">
            <v>-20.700000000000003</v>
          </cell>
          <cell r="AJ590">
            <v>-20.599999999999994</v>
          </cell>
          <cell r="AK590">
            <v>-20.599999999999994</v>
          </cell>
          <cell r="AL590">
            <v>-20.599999999999994</v>
          </cell>
          <cell r="AM590">
            <v>15</v>
          </cell>
          <cell r="AN590">
            <v>15</v>
          </cell>
          <cell r="AO590">
            <v>15</v>
          </cell>
          <cell r="AP590">
            <v>-16.400000000000006</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G591">
            <v>569</v>
          </cell>
          <cell r="H591" t="str">
            <v>Target (Budget) %Var</v>
          </cell>
          <cell r="I591">
            <v>0</v>
          </cell>
          <cell r="J591">
            <v>0</v>
          </cell>
          <cell r="K591">
            <v>0</v>
          </cell>
          <cell r="L591" t="e">
            <v>#DIV/0!</v>
          </cell>
          <cell r="M591" t="e">
            <v>#DIV/0!</v>
          </cell>
          <cell r="N591" t="e">
            <v>#DIV/0!</v>
          </cell>
          <cell r="O591" t="e">
            <v>#DIV/0!</v>
          </cell>
          <cell r="P591" t="e">
            <v>#DIV/0!</v>
          </cell>
          <cell r="Q591" t="e">
            <v>#DIV/0!</v>
          </cell>
          <cell r="R591" t="e">
            <v>#DIV/0!</v>
          </cell>
          <cell r="S591" t="e">
            <v>#DIV/0!</v>
          </cell>
          <cell r="T591" t="e">
            <v>#DIV/0!</v>
          </cell>
          <cell r="U591" t="e">
            <v>#DIV/0!</v>
          </cell>
          <cell r="V591" t="e">
            <v>#DIV/0!</v>
          </cell>
          <cell r="W591" t="e">
            <v>#DIV/0!</v>
          </cell>
          <cell r="X591" t="e">
            <v>#DIV/0!</v>
          </cell>
          <cell r="Y591" t="e">
            <v>#DIV/0!</v>
          </cell>
          <cell r="Z591">
            <v>6.1836352279825146E-2</v>
          </cell>
          <cell r="AA591">
            <v>373.6</v>
          </cell>
          <cell r="AB591">
            <v>6.1836352279825146E-2</v>
          </cell>
          <cell r="AC591">
            <v>6.1836352279825146E-2</v>
          </cell>
          <cell r="AD591">
            <v>-0.330375782881002</v>
          </cell>
          <cell r="AE591">
            <v>-0.330375782881002</v>
          </cell>
          <cell r="AF591">
            <v>-0.32614379084967327</v>
          </cell>
          <cell r="AG591">
            <v>-0.32614379084967327</v>
          </cell>
          <cell r="AH591">
            <v>-0.32679738562091504</v>
          </cell>
          <cell r="AI591">
            <v>-0.1818980667838313</v>
          </cell>
          <cell r="AJ591">
            <v>-0.18101933216168711</v>
          </cell>
          <cell r="AK591">
            <v>-0.18101933216168711</v>
          </cell>
          <cell r="AL591">
            <v>-0.18101933216168711</v>
          </cell>
          <cell r="AM591">
            <v>0.16556291390728478</v>
          </cell>
          <cell r="AN591">
            <v>0.16556291390728478</v>
          </cell>
          <cell r="AO591">
            <v>0.16556291390728478</v>
          </cell>
          <cell r="AP591">
            <v>-0.19431279620853087</v>
          </cell>
          <cell r="AQ591" t="e">
            <v>#DIV/0!</v>
          </cell>
          <cell r="AR591" t="e">
            <v>#DIV/0!</v>
          </cell>
          <cell r="AS591" t="e">
            <v>#DIV/0!</v>
          </cell>
          <cell r="AT591" t="e">
            <v>#DIV/0!</v>
          </cell>
          <cell r="AU591" t="e">
            <v>#DIV/0!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G592">
            <v>570</v>
          </cell>
          <cell r="H592" t="str">
            <v>YTD Actual</v>
          </cell>
          <cell r="I592">
            <v>0</v>
          </cell>
          <cell r="J592">
            <v>0</v>
          </cell>
          <cell r="K592">
            <v>0</v>
          </cell>
          <cell r="L592" t="e">
            <v>#DIV/0!</v>
          </cell>
          <cell r="M592" t="e">
            <v>#DIV/0!</v>
          </cell>
          <cell r="N592">
            <v>6.1836352279825146E-2</v>
          </cell>
          <cell r="O592">
            <v>6.1836352279825146E-2</v>
          </cell>
          <cell r="P592">
            <v>6.1836352279825209E-2</v>
          </cell>
          <cell r="Q592">
            <v>6.1836352279825146E-2</v>
          </cell>
          <cell r="R592">
            <v>-5.0007441583569019E-2</v>
          </cell>
          <cell r="S592">
            <v>-0.15183394938868347</v>
          </cell>
          <cell r="T592">
            <v>-0.23926468476231497</v>
          </cell>
          <cell r="U592">
            <v>-0.32849680789320945</v>
          </cell>
          <cell r="V592">
            <v>-0.32754380571779895</v>
          </cell>
          <cell r="W592">
            <v>-0.2976606145251397</v>
          </cell>
          <cell r="X592">
            <v>0</v>
          </cell>
          <cell r="Y592">
            <v>0</v>
          </cell>
          <cell r="Z592">
            <v>170</v>
          </cell>
          <cell r="AA592">
            <v>170</v>
          </cell>
          <cell r="AB592">
            <v>170</v>
          </cell>
          <cell r="AC592">
            <v>170</v>
          </cell>
          <cell r="AD592">
            <v>298.39999999999998</v>
          </cell>
          <cell r="AE592">
            <v>298.39999999999998</v>
          </cell>
          <cell r="AF592">
            <v>401.1</v>
          </cell>
          <cell r="AG592">
            <v>401.1</v>
          </cell>
          <cell r="AH592">
            <v>401.1</v>
          </cell>
          <cell r="AI592">
            <v>494.5</v>
          </cell>
          <cell r="AJ592">
            <v>494.5</v>
          </cell>
          <cell r="AK592">
            <v>494.5</v>
          </cell>
          <cell r="AL592">
            <v>494.5</v>
          </cell>
          <cell r="AM592">
            <v>105.6</v>
          </cell>
          <cell r="AN592">
            <v>105.6</v>
          </cell>
          <cell r="AO592">
            <v>105.6</v>
          </cell>
          <cell r="AP592">
            <v>173.6</v>
          </cell>
          <cell r="AQ592">
            <v>2.4692828591185845</v>
          </cell>
          <cell r="AR592">
            <v>2.5071258707055035</v>
          </cell>
          <cell r="AS592">
            <v>2.5621974667318819</v>
          </cell>
          <cell r="AT592">
            <v>2.4224755021841426</v>
          </cell>
          <cell r="AU592" t="e">
            <v>#DIV/0!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G593">
            <v>571</v>
          </cell>
          <cell r="H593" t="str">
            <v>YTD Target (Budget)</v>
          </cell>
          <cell r="I593">
            <v>0</v>
          </cell>
          <cell r="J593">
            <v>0</v>
          </cell>
          <cell r="K593">
            <v>0</v>
          </cell>
          <cell r="L593">
            <v>0.10543766578249338</v>
          </cell>
          <cell r="M593">
            <v>9.5225464190981435E-2</v>
          </cell>
          <cell r="N593">
            <v>9.5225464190981435E-2</v>
          </cell>
          <cell r="O593">
            <v>9.5225464190981435E-2</v>
          </cell>
          <cell r="P593">
            <v>9.5225464190981435E-2</v>
          </cell>
          <cell r="Q593">
            <v>9.5225464190981435E-2</v>
          </cell>
          <cell r="R593">
            <v>0.70928381962864717</v>
          </cell>
          <cell r="S593">
            <v>2.08</v>
          </cell>
          <cell r="T593">
            <v>2.0482197972710865</v>
          </cell>
          <cell r="U593">
            <v>2.04</v>
          </cell>
          <cell r="V593">
            <v>1.8116699999999999</v>
          </cell>
          <cell r="W593">
            <v>2.2000000000000002</v>
          </cell>
          <cell r="X593">
            <v>0</v>
          </cell>
          <cell r="Y593">
            <v>0</v>
          </cell>
          <cell r="Z593">
            <v>160.1</v>
          </cell>
          <cell r="AA593">
            <v>160.1</v>
          </cell>
          <cell r="AB593">
            <v>160.1</v>
          </cell>
          <cell r="AC593">
            <v>160.1</v>
          </cell>
          <cell r="AD593">
            <v>373.6</v>
          </cell>
          <cell r="AE593">
            <v>373.6</v>
          </cell>
          <cell r="AF593">
            <v>526.6</v>
          </cell>
          <cell r="AG593">
            <v>526.6</v>
          </cell>
          <cell r="AH593">
            <v>526.6</v>
          </cell>
          <cell r="AI593">
            <v>640.6</v>
          </cell>
          <cell r="AJ593">
            <v>640.6</v>
          </cell>
          <cell r="AK593">
            <v>640.6</v>
          </cell>
          <cell r="AL593">
            <v>640.6</v>
          </cell>
          <cell r="AM593">
            <v>90.6</v>
          </cell>
          <cell r="AN593">
            <v>90.6</v>
          </cell>
          <cell r="AO593">
            <v>90.6</v>
          </cell>
          <cell r="AP593">
            <v>175</v>
          </cell>
          <cell r="AQ593">
            <v>2.3198461823885581</v>
          </cell>
          <cell r="AR593">
            <v>2.3918554249380177</v>
          </cell>
          <cell r="AS593">
            <v>2.1789521175220523</v>
          </cell>
          <cell r="AT593">
            <v>2.4310224148690356</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G594">
            <v>572</v>
          </cell>
          <cell r="H594" t="str">
            <v>YTD Target (Budget) Var</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9.9000000000000057</v>
          </cell>
          <cell r="AA594">
            <v>9.9000000000000057</v>
          </cell>
          <cell r="AB594">
            <v>9.9000000000000057</v>
          </cell>
          <cell r="AC594">
            <v>9.9000000000000057</v>
          </cell>
          <cell r="AD594">
            <v>-75.200000000000045</v>
          </cell>
          <cell r="AE594">
            <v>-75.200000000000045</v>
          </cell>
          <cell r="AF594">
            <v>-125.5</v>
          </cell>
          <cell r="AG594">
            <v>-125.5</v>
          </cell>
          <cell r="AH594">
            <v>-125.5</v>
          </cell>
          <cell r="AI594">
            <v>-146.10000000000002</v>
          </cell>
          <cell r="AJ594">
            <v>-146.10000000000002</v>
          </cell>
          <cell r="AK594">
            <v>-146.10000000000002</v>
          </cell>
          <cell r="AL594">
            <v>-146.10000000000002</v>
          </cell>
          <cell r="AM594">
            <v>15</v>
          </cell>
          <cell r="AN594">
            <v>15</v>
          </cell>
          <cell r="AO594">
            <v>15</v>
          </cell>
          <cell r="AP594">
            <v>-1.4000000000000057</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G595">
            <v>573</v>
          </cell>
          <cell r="H595" t="str">
            <v>YTD %Var</v>
          </cell>
          <cell r="I595">
            <v>0</v>
          </cell>
          <cell r="J595">
            <v>0</v>
          </cell>
          <cell r="K595">
            <v>0</v>
          </cell>
          <cell r="L595" t="e">
            <v>#DIV/0!</v>
          </cell>
          <cell r="M595" t="e">
            <v>#DIV/0!</v>
          </cell>
          <cell r="N595" t="e">
            <v>#DIV/0!</v>
          </cell>
          <cell r="O595" t="e">
            <v>#DIV/0!</v>
          </cell>
          <cell r="P595" t="e">
            <v>#DIV/0!</v>
          </cell>
          <cell r="Q595" t="e">
            <v>#DIV/0!</v>
          </cell>
          <cell r="R595" t="e">
            <v>#DIV/0!</v>
          </cell>
          <cell r="S595" t="e">
            <v>#DIV/0!</v>
          </cell>
          <cell r="T595" t="e">
            <v>#DIV/0!</v>
          </cell>
          <cell r="U595" t="e">
            <v>#DIV/0!</v>
          </cell>
          <cell r="V595" t="e">
            <v>#DIV/0!</v>
          </cell>
          <cell r="W595" t="e">
            <v>#DIV/0!</v>
          </cell>
          <cell r="X595" t="e">
            <v>#DIV/0!</v>
          </cell>
          <cell r="Y595" t="e">
            <v>#DIV/0!</v>
          </cell>
          <cell r="Z595">
            <v>6.1836352279825146E-2</v>
          </cell>
          <cell r="AA595">
            <v>6.1836352279825146E-2</v>
          </cell>
          <cell r="AB595">
            <v>6.1836352279825146E-2</v>
          </cell>
          <cell r="AC595">
            <v>6.1836352279825146E-2</v>
          </cell>
          <cell r="AD595">
            <v>-0.20128479657387591</v>
          </cell>
          <cell r="AE595">
            <v>-0.20128479657387591</v>
          </cell>
          <cell r="AF595">
            <v>-0.23832130649449296</v>
          </cell>
          <cell r="AG595">
            <v>-0.23832130649449296</v>
          </cell>
          <cell r="AH595">
            <v>-0.23832130649449296</v>
          </cell>
          <cell r="AI595">
            <v>-0.22806743677802063</v>
          </cell>
          <cell r="AJ595">
            <v>-0.22806743677802063</v>
          </cell>
          <cell r="AK595">
            <v>-0.22806743677802063</v>
          </cell>
          <cell r="AL595">
            <v>-0.22806743677802063</v>
          </cell>
          <cell r="AM595">
            <v>0.16556291390728478</v>
          </cell>
          <cell r="AN595">
            <v>0.16556291390728478</v>
          </cell>
          <cell r="AO595">
            <v>0.16556291390728478</v>
          </cell>
          <cell r="AP595">
            <v>-8.0000000000000331E-3</v>
          </cell>
          <cell r="AQ595" t="e">
            <v>#DIV/0!</v>
          </cell>
          <cell r="AR595" t="e">
            <v>#DIV/0!</v>
          </cell>
          <cell r="AS595" t="e">
            <v>#DIV/0!</v>
          </cell>
          <cell r="AT595" t="e">
            <v>#DIV/0!</v>
          </cell>
          <cell r="AU595" t="e">
            <v>#DIV/0!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G596">
            <v>574</v>
          </cell>
          <cell r="H596" t="str">
            <v>4 Month Actual</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170</v>
          </cell>
          <cell r="AA596">
            <v>340</v>
          </cell>
          <cell r="AB596">
            <v>510</v>
          </cell>
          <cell r="AC596">
            <v>680</v>
          </cell>
          <cell r="AD596">
            <v>638.29999999999995</v>
          </cell>
          <cell r="AE596">
            <v>596.6</v>
          </cell>
          <cell r="AF596">
            <v>529.70000000000005</v>
          </cell>
          <cell r="AG596">
            <v>462.80000000000007</v>
          </cell>
          <cell r="AH596">
            <v>437.5</v>
          </cell>
          <cell r="AI596">
            <v>402.29999999999995</v>
          </cell>
          <cell r="AJ596">
            <v>392.4</v>
          </cell>
          <cell r="AK596">
            <v>382.5</v>
          </cell>
          <cell r="AL596">
            <v>372.7</v>
          </cell>
          <cell r="AM596">
            <v>385.20000000000005</v>
          </cell>
          <cell r="AN596">
            <v>397.6</v>
          </cell>
          <cell r="AO596">
            <v>410</v>
          </cell>
          <cell r="AP596">
            <v>384.79999999999995</v>
          </cell>
          <cell r="AQ596">
            <v>279.2</v>
          </cell>
          <cell r="AR596">
            <v>173.6</v>
          </cell>
          <cell r="AS596">
            <v>68</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G597">
            <v>575</v>
          </cell>
          <cell r="H597" t="str">
            <v>4 Month Target (Budget)</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160.1</v>
          </cell>
          <cell r="AA597">
            <v>320.2</v>
          </cell>
          <cell r="AB597">
            <v>480.29999999999995</v>
          </cell>
          <cell r="AC597">
            <v>640.4</v>
          </cell>
          <cell r="AD597">
            <v>671.9</v>
          </cell>
          <cell r="AE597">
            <v>703.4</v>
          </cell>
          <cell r="AF597">
            <v>696.3</v>
          </cell>
          <cell r="AG597">
            <v>689.2</v>
          </cell>
          <cell r="AH597">
            <v>650.6</v>
          </cell>
          <cell r="AI597">
            <v>572.79999999999995</v>
          </cell>
          <cell r="AJ597">
            <v>533.6</v>
          </cell>
          <cell r="AK597">
            <v>494.40000000000003</v>
          </cell>
          <cell r="AL597">
            <v>455.2</v>
          </cell>
          <cell r="AM597">
            <v>432</v>
          </cell>
          <cell r="AN597">
            <v>408.79999999999995</v>
          </cell>
          <cell r="AO597">
            <v>385.6</v>
          </cell>
          <cell r="AP597">
            <v>356.19999999999993</v>
          </cell>
          <cell r="AQ597">
            <v>265.60000000000002</v>
          </cell>
          <cell r="AR597">
            <v>175</v>
          </cell>
          <cell r="AS597">
            <v>84.4</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G598">
            <v>576</v>
          </cell>
          <cell r="H598" t="str">
            <v>4 Month Target (Budget) Var</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9.9000000000000057</v>
          </cell>
          <cell r="AA598">
            <v>19.800000000000011</v>
          </cell>
          <cell r="AB598">
            <v>29.700000000000045</v>
          </cell>
          <cell r="AC598">
            <v>39.600000000000023</v>
          </cell>
          <cell r="AD598">
            <v>-33.600000000000023</v>
          </cell>
          <cell r="AE598">
            <v>-106.79999999999995</v>
          </cell>
          <cell r="AF598">
            <v>-166.59999999999991</v>
          </cell>
          <cell r="AG598">
            <v>-226.39999999999998</v>
          </cell>
          <cell r="AH598">
            <v>-213.10000000000002</v>
          </cell>
          <cell r="AI598">
            <v>-170.5</v>
          </cell>
          <cell r="AJ598">
            <v>-141.20000000000005</v>
          </cell>
          <cell r="AK598">
            <v>-111.90000000000003</v>
          </cell>
          <cell r="AL598">
            <v>-82.5</v>
          </cell>
          <cell r="AM598">
            <v>-46.799999999999955</v>
          </cell>
          <cell r="AN598">
            <v>-11.199999999999932</v>
          </cell>
          <cell r="AO598">
            <v>24.399999999999977</v>
          </cell>
          <cell r="AP598">
            <v>28.600000000000023</v>
          </cell>
          <cell r="AQ598">
            <v>13.599999999999966</v>
          </cell>
          <cell r="AR598">
            <v>-1.4000000000000057</v>
          </cell>
          <cell r="AS598">
            <v>-16.400000000000006</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G599">
            <v>577</v>
          </cell>
          <cell r="H599" t="str">
            <v>4 Month Target (Budget) % Var</v>
          </cell>
          <cell r="I599">
            <v>0</v>
          </cell>
          <cell r="J599">
            <v>0</v>
          </cell>
          <cell r="K599">
            <v>0</v>
          </cell>
          <cell r="L599" t="e">
            <v>#DIV/0!</v>
          </cell>
          <cell r="M599" t="e">
            <v>#DIV/0!</v>
          </cell>
          <cell r="N599" t="e">
            <v>#DIV/0!</v>
          </cell>
          <cell r="O599" t="e">
            <v>#DIV/0!</v>
          </cell>
          <cell r="P599" t="e">
            <v>#DIV/0!</v>
          </cell>
          <cell r="Q599" t="e">
            <v>#DIV/0!</v>
          </cell>
          <cell r="R599" t="e">
            <v>#DIV/0!</v>
          </cell>
          <cell r="S599" t="e">
            <v>#DIV/0!</v>
          </cell>
          <cell r="T599" t="e">
            <v>#DIV/0!</v>
          </cell>
          <cell r="U599" t="e">
            <v>#DIV/0!</v>
          </cell>
          <cell r="V599" t="e">
            <v>#DIV/0!</v>
          </cell>
          <cell r="W599" t="e">
            <v>#DIV/0!</v>
          </cell>
          <cell r="X599" t="e">
            <v>#DIV/0!</v>
          </cell>
          <cell r="Y599" t="e">
            <v>#DIV/0!</v>
          </cell>
          <cell r="Z599">
            <v>6.1836352279825146E-2</v>
          </cell>
          <cell r="AA599">
            <v>6.1836352279825146E-2</v>
          </cell>
          <cell r="AB599">
            <v>6.1836352279825209E-2</v>
          </cell>
          <cell r="AC599">
            <v>6.1836352279825146E-2</v>
          </cell>
          <cell r="AD599">
            <v>-5.0007441583569019E-2</v>
          </cell>
          <cell r="AE599">
            <v>-0.15183394938868347</v>
          </cell>
          <cell r="AF599">
            <v>-0.23926468476231497</v>
          </cell>
          <cell r="AG599">
            <v>-0.32849680789320945</v>
          </cell>
          <cell r="AH599">
            <v>-0.32754380571779895</v>
          </cell>
          <cell r="AI599">
            <v>-0.2976606145251397</v>
          </cell>
          <cell r="AJ599">
            <v>-0.26461769115442285</v>
          </cell>
          <cell r="AK599">
            <v>-0.22633495145631075</v>
          </cell>
          <cell r="AL599">
            <v>-0.18123901581722321</v>
          </cell>
          <cell r="AM599">
            <v>-0.10833333333333323</v>
          </cell>
          <cell r="AN599">
            <v>-2.7397260273972438E-2</v>
          </cell>
          <cell r="AO599">
            <v>6.3278008298755128E-2</v>
          </cell>
          <cell r="AP599">
            <v>8.029197080291979E-2</v>
          </cell>
          <cell r="AQ599">
            <v>5.12048192771083E-2</v>
          </cell>
          <cell r="AR599">
            <v>-8.0000000000000331E-3</v>
          </cell>
          <cell r="AS599">
            <v>-0.19431279620853087</v>
          </cell>
          <cell r="AT599" t="e">
            <v>#DIV/0!</v>
          </cell>
          <cell r="AU599" t="e">
            <v>#DIV/0!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G600">
            <v>578</v>
          </cell>
          <cell r="H600" t="str">
            <v>Actual</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0.10543766578249338</v>
          </cell>
          <cell r="Y600">
            <v>9.5225464190981435E-2</v>
          </cell>
          <cell r="Z600">
            <v>9.5225464190981435E-2</v>
          </cell>
          <cell r="AA600">
            <v>9.5225464190981435E-2</v>
          </cell>
          <cell r="AB600">
            <v>9.5225464190981435E-2</v>
          </cell>
          <cell r="AC600">
            <v>9.5225464190981435E-2</v>
          </cell>
          <cell r="AD600">
            <v>0.70928381962864717</v>
          </cell>
          <cell r="AE600">
            <v>2.08</v>
          </cell>
          <cell r="AF600">
            <v>2.0482197972710865</v>
          </cell>
          <cell r="AG600">
            <v>2.04</v>
          </cell>
          <cell r="AH600">
            <v>1.8116699999999999</v>
          </cell>
          <cell r="AI600">
            <v>2.2000000000000002</v>
          </cell>
          <cell r="AJ600">
            <v>2.1786906950464657</v>
          </cell>
          <cell r="AK600">
            <v>1.8937697120979575</v>
          </cell>
          <cell r="AL600">
            <v>2.3797372282471203</v>
          </cell>
          <cell r="AM600">
            <v>3.0213017152687591</v>
          </cell>
          <cell r="AN600">
            <v>2.8323944612167109</v>
          </cell>
          <cell r="AO600">
            <v>1.7925949975544349</v>
          </cell>
          <cell r="AP600">
            <v>3.125836973571031</v>
          </cell>
          <cell r="AQ600">
            <v>10.22010929146076</v>
          </cell>
          <cell r="AR600">
            <v>9.8948407009495547</v>
          </cell>
          <cell r="AS600">
            <v>10.664443170127001</v>
          </cell>
          <cell r="AT600">
            <v>9.961081698740113</v>
          </cell>
          <cell r="AU600">
            <v>7.491798839621528</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G601">
            <v>579</v>
          </cell>
          <cell r="H601" t="str">
            <v>Target (Budget)</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9.1379310344827588E-2</v>
          </cell>
          <cell r="Y601">
            <v>9.1379310344827588E-2</v>
          </cell>
          <cell r="Z601">
            <v>0.10278514588859416</v>
          </cell>
          <cell r="AA601">
            <v>9.1379310344827588E-2</v>
          </cell>
          <cell r="AB601">
            <v>9.1379310344827588E-2</v>
          </cell>
          <cell r="AC601">
            <v>0.10278514588859416</v>
          </cell>
          <cell r="AD601">
            <v>9.1379310344827588E-2</v>
          </cell>
          <cell r="AE601">
            <v>0.23</v>
          </cell>
          <cell r="AF601">
            <v>2.6741700000000002</v>
          </cell>
          <cell r="AG601">
            <v>2.2799999999999998</v>
          </cell>
          <cell r="AH601">
            <v>2.287585</v>
          </cell>
          <cell r="AI601">
            <v>2.69</v>
          </cell>
          <cell r="AJ601">
            <v>2.33189</v>
          </cell>
          <cell r="AK601">
            <v>3.1044100000000001</v>
          </cell>
          <cell r="AL601">
            <v>2.7611750000000002</v>
          </cell>
          <cell r="AM601">
            <v>2.5900850000000002</v>
          </cell>
          <cell r="AN601">
            <v>3.10812</v>
          </cell>
          <cell r="AO601">
            <v>2.3905398795770014</v>
          </cell>
          <cell r="AP601">
            <v>1.9862711035401663</v>
          </cell>
          <cell r="AQ601">
            <v>9.8047771655057261</v>
          </cell>
          <cell r="AR601">
            <v>9.0885125904437452</v>
          </cell>
          <cell r="AS601">
            <v>8.8769248283887947</v>
          </cell>
          <cell r="AT601">
            <v>9.3216761397176633</v>
          </cell>
          <cell r="AU601">
            <v>7.0018299573291056</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G602">
            <v>580</v>
          </cell>
          <cell r="H602" t="str">
            <v>Target (Budget) Variance</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1.4058355437665787E-2</v>
          </cell>
          <cell r="Y602">
            <v>3.8461538461538464E-3</v>
          </cell>
          <cell r="Z602">
            <v>-7.5596816976127301E-3</v>
          </cell>
          <cell r="AA602">
            <v>3.8461538461538464E-3</v>
          </cell>
          <cell r="AB602">
            <v>3.8461538461538464E-3</v>
          </cell>
          <cell r="AC602">
            <v>-7.5596816976127301E-3</v>
          </cell>
          <cell r="AD602">
            <v>0.61790450928381957</v>
          </cell>
          <cell r="AE602">
            <v>1.85</v>
          </cell>
          <cell r="AF602">
            <v>-0.62595020272891366</v>
          </cell>
          <cell r="AG602">
            <v>-0.23999999999999977</v>
          </cell>
          <cell r="AH602">
            <v>-0.47591500000000009</v>
          </cell>
          <cell r="AI602">
            <v>-0.48999999999999977</v>
          </cell>
          <cell r="AJ602">
            <v>-0.15319930495353429</v>
          </cell>
          <cell r="AK602">
            <v>-1.2106402879020426</v>
          </cell>
          <cell r="AL602">
            <v>-0.38143777175287985</v>
          </cell>
          <cell r="AM602">
            <v>0.43121671526875893</v>
          </cell>
          <cell r="AN602">
            <v>-0.27572553878328909</v>
          </cell>
          <cell r="AO602">
            <v>-0.59794488202256657</v>
          </cell>
          <cell r="AP602">
            <v>1.1395658700308646</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G603">
            <v>581</v>
          </cell>
          <cell r="H603" t="str">
            <v>Target (Budget) %Var</v>
          </cell>
          <cell r="I603">
            <v>0</v>
          </cell>
          <cell r="J603">
            <v>0</v>
          </cell>
          <cell r="K603">
            <v>0</v>
          </cell>
          <cell r="L603" t="e">
            <v>#DIV/0!</v>
          </cell>
          <cell r="M603" t="e">
            <v>#DIV/0!</v>
          </cell>
          <cell r="N603" t="e">
            <v>#DIV/0!</v>
          </cell>
          <cell r="O603" t="e">
            <v>#DIV/0!</v>
          </cell>
          <cell r="P603" t="e">
            <v>#DIV/0!</v>
          </cell>
          <cell r="Q603" t="e">
            <v>#DIV/0!</v>
          </cell>
          <cell r="R603" t="e">
            <v>#DIV/0!</v>
          </cell>
          <cell r="S603" t="e">
            <v>#DIV/0!</v>
          </cell>
          <cell r="T603" t="e">
            <v>#DIV/0!</v>
          </cell>
          <cell r="U603" t="e">
            <v>#DIV/0!</v>
          </cell>
          <cell r="V603" t="e">
            <v>#DIV/0!</v>
          </cell>
          <cell r="W603" t="e">
            <v>#DIV/0!</v>
          </cell>
          <cell r="X603">
            <v>0.15384615384615388</v>
          </cell>
          <cell r="Y603">
            <v>4.2089985486211901E-2</v>
          </cell>
          <cell r="Z603">
            <v>-7.3548387096774179E-2</v>
          </cell>
          <cell r="AA603">
            <v>4.2089985486211901E-2</v>
          </cell>
          <cell r="AB603">
            <v>4.2089985486211901E-2</v>
          </cell>
          <cell r="AC603">
            <v>-2.4930355957196901E-8</v>
          </cell>
          <cell r="AD603">
            <v>6.7619738751814218</v>
          </cell>
          <cell r="AE603">
            <v>8.0434782608695645</v>
          </cell>
          <cell r="AF603">
            <v>-0.234072703952596</v>
          </cell>
          <cell r="AG603">
            <v>-0.10526315789473675</v>
          </cell>
          <cell r="AH603">
            <v>-0.20804254268147418</v>
          </cell>
          <cell r="AI603">
            <v>-0.1821561338289962</v>
          </cell>
          <cell r="AJ603">
            <v>-6.5697483566349302E-2</v>
          </cell>
          <cell r="AK603">
            <v>-0.3899743551599314</v>
          </cell>
          <cell r="AL603">
            <v>-0.13814328021689312</v>
          </cell>
          <cell r="AM603">
            <v>0.1664874763835005</v>
          </cell>
          <cell r="AN603">
            <v>-8.871135566943654E-2</v>
          </cell>
          <cell r="AO603">
            <v>-0.25012964106182201</v>
          </cell>
          <cell r="AP603">
            <v>0.57372121459140002</v>
          </cell>
          <cell r="AQ603" t="e">
            <v>#DIV/0!</v>
          </cell>
          <cell r="AR603" t="e">
            <v>#DIV/0!</v>
          </cell>
          <cell r="AS603" t="e">
            <v>#DIV/0!</v>
          </cell>
          <cell r="AT603" t="e">
            <v>#DIV/0!</v>
          </cell>
          <cell r="AU603" t="e">
            <v>#DIV/0!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G604">
            <v>582</v>
          </cell>
          <cell r="H604" t="str">
            <v>YTD Actual</v>
          </cell>
          <cell r="I604">
            <v>0</v>
          </cell>
          <cell r="J604">
            <v>0</v>
          </cell>
          <cell r="K604">
            <v>0</v>
          </cell>
          <cell r="L604">
            <v>0</v>
          </cell>
          <cell r="M604">
            <v>0</v>
          </cell>
          <cell r="N604">
            <v>0</v>
          </cell>
          <cell r="O604">
            <v>0</v>
          </cell>
          <cell r="P604">
            <v>0</v>
          </cell>
          <cell r="Q604">
            <v>0</v>
          </cell>
          <cell r="R604">
            <v>0</v>
          </cell>
          <cell r="S604">
            <v>4.7797900802634281</v>
          </cell>
          <cell r="T604">
            <v>1172147</v>
          </cell>
          <cell r="U604">
            <v>174528</v>
          </cell>
          <cell r="V604">
            <v>103058</v>
          </cell>
          <cell r="W604">
            <v>76495</v>
          </cell>
          <cell r="X604">
            <v>0.10543766578249338</v>
          </cell>
          <cell r="Y604">
            <v>0.1003315649867374</v>
          </cell>
          <cell r="Z604">
            <v>9.8629531388152072E-2</v>
          </cell>
          <cell r="AA604">
            <v>9.7778514588859416E-2</v>
          </cell>
          <cell r="AB604">
            <v>9.7267904509283812E-2</v>
          </cell>
          <cell r="AC604">
            <v>9.6927497789566761E-2</v>
          </cell>
          <cell r="AD604">
            <v>0.18440697233800682</v>
          </cell>
          <cell r="AE604">
            <v>12.65</v>
          </cell>
          <cell r="AF604">
            <v>14.56</v>
          </cell>
          <cell r="AG604">
            <v>16.5</v>
          </cell>
          <cell r="AH604">
            <v>18.269520463174</v>
          </cell>
          <cell r="AI604">
            <v>20.350000000000001</v>
          </cell>
          <cell r="AJ604">
            <v>2.1893453475232327</v>
          </cell>
          <cell r="AK604">
            <v>2.0908201357148077</v>
          </cell>
          <cell r="AL604">
            <v>2.1630494088478858</v>
          </cell>
          <cell r="AM604">
            <v>2.3346998701320603</v>
          </cell>
          <cell r="AN604">
            <v>2.4176489686461688</v>
          </cell>
          <cell r="AO604">
            <v>2.3283555442044923</v>
          </cell>
          <cell r="AP604">
            <v>2.4280407228753096</v>
          </cell>
          <cell r="AQ604">
            <v>2.4280407228753096</v>
          </cell>
          <cell r="AR604">
            <v>2.4280407228753096</v>
          </cell>
          <cell r="AS604">
            <v>2.4280407228753096</v>
          </cell>
          <cell r="AT604">
            <v>2.4280407228753096</v>
          </cell>
          <cell r="AU604">
            <v>2.4280407228753096</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G605">
            <v>583</v>
          </cell>
          <cell r="H605" t="str">
            <v>YTD Target (Budget)</v>
          </cell>
          <cell r="I605">
            <v>0</v>
          </cell>
          <cell r="J605">
            <v>0</v>
          </cell>
          <cell r="K605">
            <v>0</v>
          </cell>
          <cell r="L605">
            <v>0</v>
          </cell>
          <cell r="M605">
            <v>0</v>
          </cell>
          <cell r="N605">
            <v>0</v>
          </cell>
          <cell r="O605">
            <v>0</v>
          </cell>
          <cell r="P605">
            <v>0</v>
          </cell>
          <cell r="Q605">
            <v>0</v>
          </cell>
          <cell r="R605">
            <v>0</v>
          </cell>
          <cell r="S605">
            <v>191980</v>
          </cell>
          <cell r="T605">
            <v>0</v>
          </cell>
          <cell r="U605">
            <v>0</v>
          </cell>
          <cell r="V605">
            <v>0</v>
          </cell>
          <cell r="W605">
            <v>0</v>
          </cell>
          <cell r="X605">
            <v>9.1379310344827588E-2</v>
          </cell>
          <cell r="Y605">
            <v>9.1379310344827588E-2</v>
          </cell>
          <cell r="Z605">
            <v>9.5181255526083114E-2</v>
          </cell>
          <cell r="AA605">
            <v>9.4230769230769229E-2</v>
          </cell>
          <cell r="AB605">
            <v>9.3660477453580915E-2</v>
          </cell>
          <cell r="AC605">
            <v>9.5181255526083114E-2</v>
          </cell>
          <cell r="AD605">
            <v>9.4638120500189465E-2</v>
          </cell>
          <cell r="AE605">
            <v>19.46</v>
          </cell>
          <cell r="AF605">
            <v>22.13</v>
          </cell>
          <cell r="AG605">
            <v>24.42</v>
          </cell>
          <cell r="AH605">
            <v>26.706710000000001</v>
          </cell>
          <cell r="AI605">
            <v>29.4</v>
          </cell>
          <cell r="AJ605">
            <v>2.3501451737616161</v>
          </cell>
          <cell r="AK605">
            <v>2.3997934011907369</v>
          </cell>
          <cell r="AL605">
            <v>2.4424590794239429</v>
          </cell>
          <cell r="AM605">
            <v>2.5151059350660305</v>
          </cell>
          <cell r="AN605">
            <v>2.5909644843230848</v>
          </cell>
          <cell r="AO605">
            <v>2.5196220492148891</v>
          </cell>
          <cell r="AP605">
            <v>2.5241760478824782</v>
          </cell>
          <cell r="AQ605">
            <v>2.5241760478824782</v>
          </cell>
          <cell r="AR605">
            <v>2.5241760478824782</v>
          </cell>
          <cell r="AS605">
            <v>2.5241760478824782</v>
          </cell>
          <cell r="AT605">
            <v>2.5241760478824782</v>
          </cell>
          <cell r="AU605">
            <v>2.5241760478824782</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G606">
            <v>584</v>
          </cell>
          <cell r="H606" t="str">
            <v>YTD Target (Budget) Var</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1.4058355437665787E-2</v>
          </cell>
          <cell r="Y606">
            <v>8.9522546419098098E-3</v>
          </cell>
          <cell r="Z606">
            <v>3.4482758620689585E-3</v>
          </cell>
          <cell r="AA606">
            <v>3.5477453580901874E-3</v>
          </cell>
          <cell r="AB606">
            <v>3.607427055702897E-3</v>
          </cell>
          <cell r="AC606">
            <v>1.7462422634836466E-3</v>
          </cell>
          <cell r="AD606">
            <v>8.9768851837817354E-2</v>
          </cell>
          <cell r="AE606">
            <v>-6.8100000000000005</v>
          </cell>
          <cell r="AF606">
            <v>-7.5699999999999985</v>
          </cell>
          <cell r="AG606">
            <v>-7.9200000000000017</v>
          </cell>
          <cell r="AH606">
            <v>-8.4371895368260006</v>
          </cell>
          <cell r="AI606">
            <v>-9.0499999999999972</v>
          </cell>
          <cell r="AJ606">
            <v>-0.1607998262383834</v>
          </cell>
          <cell r="AK606">
            <v>-0.30897326547592918</v>
          </cell>
          <cell r="AL606">
            <v>-0.27940967057605715</v>
          </cell>
          <cell r="AM606">
            <v>-0.18040606493397027</v>
          </cell>
          <cell r="AN606">
            <v>-0.17331551567691594</v>
          </cell>
          <cell r="AO606">
            <v>-0.19126650501039677</v>
          </cell>
          <cell r="AP606">
            <v>-9.6135325007168593E-2</v>
          </cell>
          <cell r="AQ606">
            <v>-9.6135325007168593E-2</v>
          </cell>
          <cell r="AR606">
            <v>-9.6135325007168593E-2</v>
          </cell>
          <cell r="AS606">
            <v>-9.6135325007168593E-2</v>
          </cell>
          <cell r="AT606">
            <v>-9.6135325007168593E-2</v>
          </cell>
          <cell r="AU606">
            <v>-9.6135325007168593E-2</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G607">
            <v>585</v>
          </cell>
          <cell r="H607" t="str">
            <v>YTD %Var</v>
          </cell>
          <cell r="I607">
            <v>0</v>
          </cell>
          <cell r="J607">
            <v>0</v>
          </cell>
          <cell r="K607">
            <v>0</v>
          </cell>
          <cell r="L607" t="e">
            <v>#DIV/0!</v>
          </cell>
          <cell r="M607" t="e">
            <v>#DIV/0!</v>
          </cell>
          <cell r="N607" t="e">
            <v>#DIV/0!</v>
          </cell>
          <cell r="O607" t="e">
            <v>#DIV/0!</v>
          </cell>
          <cell r="P607" t="e">
            <v>#DIV/0!</v>
          </cell>
          <cell r="Q607" t="e">
            <v>#DIV/0!</v>
          </cell>
          <cell r="R607" t="e">
            <v>#DIV/0!</v>
          </cell>
          <cell r="S607" t="e">
            <v>#DIV/0!</v>
          </cell>
          <cell r="T607" t="e">
            <v>#DIV/0!</v>
          </cell>
          <cell r="U607" t="e">
            <v>#DIV/0!</v>
          </cell>
          <cell r="V607" t="e">
            <v>#DIV/0!</v>
          </cell>
          <cell r="W607" t="e">
            <v>#DIV/0!</v>
          </cell>
          <cell r="X607">
            <v>0.15384615384615388</v>
          </cell>
          <cell r="Y607">
            <v>9.7968069666182822E-2</v>
          </cell>
          <cell r="Z607">
            <v>3.622851834649319E-2</v>
          </cell>
          <cell r="AA607">
            <v>3.7649542575650972E-2</v>
          </cell>
          <cell r="AB607">
            <v>3.8516001132823337E-2</v>
          </cell>
          <cell r="AC607">
            <v>1.8346493265211372E-2</v>
          </cell>
          <cell r="AD607">
            <v>0.94854854854854853</v>
          </cell>
          <cell r="AE607">
            <v>-0.34994861253854059</v>
          </cell>
          <cell r="AF607">
            <v>-0.34206958879349292</v>
          </cell>
          <cell r="AG607">
            <v>-0.3243243243243244</v>
          </cell>
          <cell r="AH607">
            <v>-0.31592021393971775</v>
          </cell>
          <cell r="AI607">
            <v>-0.30782312925170058</v>
          </cell>
          <cell r="AJ607">
            <v>-6.8421231179097333E-2</v>
          </cell>
          <cell r="AK607">
            <v>-0.12874994377541912</v>
          </cell>
          <cell r="AL607">
            <v>-0.11439686868447199</v>
          </cell>
          <cell r="AM607">
            <v>-7.1729012451809099E-2</v>
          </cell>
          <cell r="AN607">
            <v>-6.6892277653970364E-2</v>
          </cell>
          <cell r="AO607">
            <v>-7.5910791886424064E-2</v>
          </cell>
          <cell r="AP607">
            <v>-3.8085824119841467E-2</v>
          </cell>
          <cell r="AQ607">
            <v>-3.8085824119841467E-2</v>
          </cell>
          <cell r="AR607">
            <v>-3.8085824119841467E-2</v>
          </cell>
          <cell r="AS607">
            <v>-3.8085824119841467E-2</v>
          </cell>
          <cell r="AT607">
            <v>-3.8085824119841467E-2</v>
          </cell>
          <cell r="AU607">
            <v>-3.8085824119841467E-2</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G608">
            <v>586</v>
          </cell>
          <cell r="H608" t="str">
            <v>4 Month Actual</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0.10543766578249338</v>
          </cell>
          <cell r="Y608">
            <v>0.2006631299734748</v>
          </cell>
          <cell r="Z608">
            <v>0.29588859416445623</v>
          </cell>
          <cell r="AA608">
            <v>0.39111405835543767</v>
          </cell>
          <cell r="AB608">
            <v>0.38090185676392574</v>
          </cell>
          <cell r="AC608">
            <v>0.38090185676392574</v>
          </cell>
          <cell r="AD608">
            <v>0.99496021220159148</v>
          </cell>
          <cell r="AE608">
            <v>2.97973474801061</v>
          </cell>
          <cell r="AF608">
            <v>4.9327290810907147</v>
          </cell>
          <cell r="AG608">
            <v>6.8775036168997339</v>
          </cell>
          <cell r="AH608">
            <v>7.9798897972710865</v>
          </cell>
          <cell r="AI608">
            <v>8.0998897972710857</v>
          </cell>
          <cell r="AJ608">
            <v>8.2303606950464658</v>
          </cell>
          <cell r="AK608">
            <v>8.0841304071444249</v>
          </cell>
          <cell r="AL608">
            <v>8.6521976353915431</v>
          </cell>
          <cell r="AM608">
            <v>9.4734993506603029</v>
          </cell>
          <cell r="AN608">
            <v>10.127203116830547</v>
          </cell>
          <cell r="AO608">
            <v>10.026028402287025</v>
          </cell>
          <cell r="AP608">
            <v>10.772128147610935</v>
          </cell>
          <cell r="AQ608">
            <v>7.7508264323421763</v>
          </cell>
          <cell r="AR608">
            <v>4.9184319711254663</v>
          </cell>
          <cell r="AS608">
            <v>3.125836973571031</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G609">
            <v>587</v>
          </cell>
          <cell r="H609" t="str">
            <v>4 Month Target (Budget)</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9.1379310344827588E-2</v>
          </cell>
          <cell r="Y609">
            <v>0.18275862068965518</v>
          </cell>
          <cell r="Z609">
            <v>0.28554376657824931</v>
          </cell>
          <cell r="AA609">
            <v>0.37692307692307692</v>
          </cell>
          <cell r="AB609">
            <v>0.37692307692307697</v>
          </cell>
          <cell r="AC609">
            <v>0.38832891246684353</v>
          </cell>
          <cell r="AD609">
            <v>0.37692307692307692</v>
          </cell>
          <cell r="AE609">
            <v>0.51554376657824941</v>
          </cell>
          <cell r="AF609">
            <v>3.0983344562334221</v>
          </cell>
          <cell r="AG609">
            <v>5.275549310344827</v>
          </cell>
          <cell r="AH609">
            <v>7.4717549999999999</v>
          </cell>
          <cell r="AI609">
            <v>9.931754999999999</v>
          </cell>
          <cell r="AJ609">
            <v>9.5894749999999984</v>
          </cell>
          <cell r="AK609">
            <v>10.413884999999999</v>
          </cell>
          <cell r="AL609">
            <v>10.887475</v>
          </cell>
          <cell r="AM609">
            <v>10.787560000000001</v>
          </cell>
          <cell r="AN609">
            <v>11.563790000000001</v>
          </cell>
          <cell r="AO609">
            <v>10.849919879577001</v>
          </cell>
          <cell r="AP609">
            <v>10.075015983117169</v>
          </cell>
          <cell r="AQ609">
            <v>7.4849309831171675</v>
          </cell>
          <cell r="AR609">
            <v>4.376810983117168</v>
          </cell>
          <cell r="AS609">
            <v>1.9862711035401663</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G610">
            <v>588</v>
          </cell>
          <cell r="H610" t="str">
            <v>4 Month Target (Budget) Var</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1.4058355437665787E-2</v>
          </cell>
          <cell r="Y610">
            <v>1.790450928381962E-2</v>
          </cell>
          <cell r="Z610">
            <v>1.0344827586206917E-2</v>
          </cell>
          <cell r="AA610">
            <v>1.419098143236075E-2</v>
          </cell>
          <cell r="AB610">
            <v>3.9787798408487673E-3</v>
          </cell>
          <cell r="AC610">
            <v>-7.4270557029177953E-3</v>
          </cell>
          <cell r="AD610">
            <v>0.61803713527851456</v>
          </cell>
          <cell r="AE610">
            <v>2.4641909814323606</v>
          </cell>
          <cell r="AF610">
            <v>1.8343946248572927</v>
          </cell>
          <cell r="AG610">
            <v>1.6019543065549069</v>
          </cell>
          <cell r="AH610">
            <v>0.50813479727108657</v>
          </cell>
          <cell r="AI610">
            <v>-1.8318652027289133</v>
          </cell>
          <cell r="AJ610">
            <v>-1.3591143049535326</v>
          </cell>
          <cell r="AK610">
            <v>-2.3297545928555738</v>
          </cell>
          <cell r="AL610">
            <v>-2.2352773646084572</v>
          </cell>
          <cell r="AM610">
            <v>-1.314060649339698</v>
          </cell>
          <cell r="AN610">
            <v>-1.4365868831694542</v>
          </cell>
          <cell r="AO610">
            <v>-0.82389147728997614</v>
          </cell>
          <cell r="AP610">
            <v>0.69711216449376678</v>
          </cell>
          <cell r="AQ610">
            <v>0.26589544922500874</v>
          </cell>
          <cell r="AR610">
            <v>0.54162098800829828</v>
          </cell>
          <cell r="AS610">
            <v>1.1395658700308646</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G611">
            <v>589</v>
          </cell>
          <cell r="H611" t="str">
            <v>4 Month Target (Budget) % Var</v>
          </cell>
          <cell r="I611">
            <v>0</v>
          </cell>
          <cell r="J611">
            <v>0</v>
          </cell>
          <cell r="K611">
            <v>0</v>
          </cell>
          <cell r="L611" t="e">
            <v>#DIV/0!</v>
          </cell>
          <cell r="M611" t="e">
            <v>#DIV/0!</v>
          </cell>
          <cell r="N611" t="e">
            <v>#DIV/0!</v>
          </cell>
          <cell r="O611" t="e">
            <v>#DIV/0!</v>
          </cell>
          <cell r="P611" t="e">
            <v>#DIV/0!</v>
          </cell>
          <cell r="Q611" t="e">
            <v>#DIV/0!</v>
          </cell>
          <cell r="R611" t="e">
            <v>#DIV/0!</v>
          </cell>
          <cell r="S611" t="e">
            <v>#DIV/0!</v>
          </cell>
          <cell r="T611" t="e">
            <v>#DIV/0!</v>
          </cell>
          <cell r="U611" t="e">
            <v>#DIV/0!</v>
          </cell>
          <cell r="V611" t="e">
            <v>#DIV/0!</v>
          </cell>
          <cell r="W611" t="e">
            <v>#DIV/0!</v>
          </cell>
          <cell r="X611">
            <v>0.15384615384615388</v>
          </cell>
          <cell r="Y611">
            <v>9.7968069666182822E-2</v>
          </cell>
          <cell r="Z611">
            <v>3.6228518346493342E-2</v>
          </cell>
          <cell r="AA611">
            <v>3.7649542575650972E-2</v>
          </cell>
          <cell r="AB611">
            <v>1.0555946516537545E-2</v>
          </cell>
          <cell r="AC611">
            <v>-1.9125683060109349E-2</v>
          </cell>
          <cell r="AD611">
            <v>1.6396903589021816</v>
          </cell>
          <cell r="AE611">
            <v>4.7797900802634281</v>
          </cell>
          <cell r="AF611">
            <v>0.59205829802097165</v>
          </cell>
          <cell r="AG611">
            <v>0.30365639904334396</v>
          </cell>
          <cell r="AH611">
            <v>6.8007422255023958E-2</v>
          </cell>
          <cell r="AI611">
            <v>-0.1844452669975159</v>
          </cell>
          <cell r="AJ611">
            <v>-0.1417297928148864</v>
          </cell>
          <cell r="AK611">
            <v>-0.22371618208339866</v>
          </cell>
          <cell r="AL611">
            <v>-0.20530723281646637</v>
          </cell>
          <cell r="AM611">
            <v>-0.12181259240641053</v>
          </cell>
          <cell r="AN611">
            <v>-0.12423149185253746</v>
          </cell>
          <cell r="AO611">
            <v>-7.5935259101848465E-2</v>
          </cell>
          <cell r="AP611">
            <v>6.9192164624048882E-2</v>
          </cell>
          <cell r="AQ611">
            <v>3.5524101668372922E-2</v>
          </cell>
          <cell r="AR611">
            <v>0.12374785890857809</v>
          </cell>
          <cell r="AS611">
            <v>0.57372121459140002</v>
          </cell>
          <cell r="AT611" t="e">
            <v>#DIV/0!</v>
          </cell>
          <cell r="AU611" t="e">
            <v>#DIV/0!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G612">
            <v>602</v>
          </cell>
          <cell r="H612" t="str">
            <v>Actual</v>
          </cell>
          <cell r="I612">
            <v>0</v>
          </cell>
          <cell r="J612">
            <v>0</v>
          </cell>
          <cell r="K612">
            <v>0</v>
          </cell>
          <cell r="L612">
            <v>0</v>
          </cell>
          <cell r="M612">
            <v>0</v>
          </cell>
          <cell r="N612">
            <v>0</v>
          </cell>
          <cell r="O612">
            <v>0</v>
          </cell>
          <cell r="P612">
            <v>0</v>
          </cell>
          <cell r="Q612">
            <v>0</v>
          </cell>
          <cell r="R612">
            <v>0</v>
          </cell>
          <cell r="S612">
            <v>0</v>
          </cell>
          <cell r="T612">
            <v>1172147</v>
          </cell>
          <cell r="U612">
            <v>174528</v>
          </cell>
          <cell r="V612">
            <v>103058</v>
          </cell>
          <cell r="W612">
            <v>76495</v>
          </cell>
          <cell r="X612">
            <v>36479</v>
          </cell>
          <cell r="Y612">
            <v>77417</v>
          </cell>
          <cell r="Z612">
            <v>432788</v>
          </cell>
          <cell r="AA612">
            <v>381686</v>
          </cell>
          <cell r="AB612">
            <v>549463</v>
          </cell>
          <cell r="AC612">
            <v>255350</v>
          </cell>
          <cell r="AD612">
            <v>234897</v>
          </cell>
          <cell r="AE612">
            <v>187246</v>
          </cell>
          <cell r="AF612">
            <v>314480</v>
          </cell>
          <cell r="AG612">
            <v>276585</v>
          </cell>
          <cell r="AH612">
            <v>242062</v>
          </cell>
          <cell r="AI612">
            <v>219021</v>
          </cell>
          <cell r="AJ612">
            <v>58675</v>
          </cell>
          <cell r="AK612">
            <v>180572</v>
          </cell>
          <cell r="AL612">
            <v>369758</v>
          </cell>
          <cell r="AM612">
            <v>389628</v>
          </cell>
          <cell r="AN612">
            <v>396710</v>
          </cell>
          <cell r="AO612">
            <v>235238</v>
          </cell>
          <cell r="AP612">
            <v>191610</v>
          </cell>
          <cell r="AQ612">
            <v>1034273</v>
          </cell>
          <cell r="AR612">
            <v>916796</v>
          </cell>
          <cell r="AS612">
            <v>1081266</v>
          </cell>
          <cell r="AT612">
            <v>1129142</v>
          </cell>
          <cell r="AU612">
            <v>918427</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G613">
            <v>603</v>
          </cell>
          <cell r="H613" t="str">
            <v>Target (Budget)</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37000</v>
          </cell>
          <cell r="Y613">
            <v>86492</v>
          </cell>
          <cell r="Z613">
            <v>463174</v>
          </cell>
          <cell r="AA613">
            <v>356660</v>
          </cell>
          <cell r="AB613">
            <v>621860</v>
          </cell>
          <cell r="AC613">
            <v>306640</v>
          </cell>
          <cell r="AD613">
            <v>269520</v>
          </cell>
          <cell r="AE613">
            <v>319490</v>
          </cell>
          <cell r="AF613">
            <v>1172147</v>
          </cell>
          <cell r="AG613">
            <v>174528</v>
          </cell>
          <cell r="AH613">
            <v>103058</v>
          </cell>
          <cell r="AI613">
            <v>88495</v>
          </cell>
          <cell r="AJ613">
            <v>37000</v>
          </cell>
          <cell r="AK613">
            <v>78000</v>
          </cell>
          <cell r="AL613">
            <v>430000</v>
          </cell>
          <cell r="AM613">
            <v>490000</v>
          </cell>
          <cell r="AN613">
            <v>375000</v>
          </cell>
          <cell r="AO613">
            <v>256000</v>
          </cell>
          <cell r="AP613">
            <v>235000</v>
          </cell>
          <cell r="AQ613">
            <v>1056000</v>
          </cell>
          <cell r="AR613">
            <v>991000</v>
          </cell>
          <cell r="AS613">
            <v>1012000</v>
          </cell>
          <cell r="AT613">
            <v>947000</v>
          </cell>
          <cell r="AU613">
            <v>757000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G614">
            <v>604</v>
          </cell>
          <cell r="H614" t="str">
            <v>Target (Budget) Variance</v>
          </cell>
          <cell r="I614">
            <v>0</v>
          </cell>
          <cell r="J614">
            <v>0</v>
          </cell>
          <cell r="K614">
            <v>0</v>
          </cell>
          <cell r="L614">
            <v>0</v>
          </cell>
          <cell r="M614">
            <v>0</v>
          </cell>
          <cell r="N614">
            <v>0</v>
          </cell>
          <cell r="O614">
            <v>0</v>
          </cell>
          <cell r="P614">
            <v>0</v>
          </cell>
          <cell r="Q614">
            <v>0</v>
          </cell>
          <cell r="R614">
            <v>0</v>
          </cell>
          <cell r="S614">
            <v>0</v>
          </cell>
          <cell r="T614">
            <v>1172147</v>
          </cell>
          <cell r="U614">
            <v>174528</v>
          </cell>
          <cell r="V614">
            <v>103058</v>
          </cell>
          <cell r="W614">
            <v>76495</v>
          </cell>
          <cell r="X614">
            <v>-521</v>
          </cell>
          <cell r="Y614">
            <v>-9075</v>
          </cell>
          <cell r="Z614">
            <v>-30386</v>
          </cell>
          <cell r="AA614">
            <v>25026</v>
          </cell>
          <cell r="AB614">
            <v>-72397</v>
          </cell>
          <cell r="AC614">
            <v>-51290</v>
          </cell>
          <cell r="AD614">
            <v>-34623</v>
          </cell>
          <cell r="AE614">
            <v>-132244</v>
          </cell>
          <cell r="AF614">
            <v>-857667</v>
          </cell>
          <cell r="AG614">
            <v>102057</v>
          </cell>
          <cell r="AH614">
            <v>139004</v>
          </cell>
          <cell r="AI614">
            <v>130526</v>
          </cell>
          <cell r="AJ614">
            <v>21675</v>
          </cell>
          <cell r="AK614">
            <v>102572</v>
          </cell>
          <cell r="AL614">
            <v>-60242</v>
          </cell>
          <cell r="AM614">
            <v>-100372</v>
          </cell>
          <cell r="AN614">
            <v>21710</v>
          </cell>
          <cell r="AO614">
            <v>-20762</v>
          </cell>
          <cell r="AP614">
            <v>-43390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G615">
            <v>605</v>
          </cell>
          <cell r="H615" t="str">
            <v>Target (Budget) %Var</v>
          </cell>
          <cell r="I615">
            <v>0</v>
          </cell>
          <cell r="J615">
            <v>0</v>
          </cell>
          <cell r="K615">
            <v>0</v>
          </cell>
          <cell r="L615" t="e">
            <v>#DIV/0!</v>
          </cell>
          <cell r="M615" t="e">
            <v>#DIV/0!</v>
          </cell>
          <cell r="N615" t="e">
            <v>#DIV/0!</v>
          </cell>
          <cell r="O615" t="e">
            <v>#DIV/0!</v>
          </cell>
          <cell r="P615" t="e">
            <v>#DIV/0!</v>
          </cell>
          <cell r="Q615" t="e">
            <v>#DIV/0!</v>
          </cell>
          <cell r="R615" t="e">
            <v>#DIV/0!</v>
          </cell>
          <cell r="S615" t="e">
            <v>#DIV/0!</v>
          </cell>
          <cell r="T615" t="e">
            <v>#DIV/0!</v>
          </cell>
          <cell r="U615" t="e">
            <v>#DIV/0!</v>
          </cell>
          <cell r="V615" t="e">
            <v>#DIV/0!</v>
          </cell>
          <cell r="W615" t="e">
            <v>#DIV/0!</v>
          </cell>
          <cell r="X615">
            <v>-1.4081081081081082E-2</v>
          </cell>
          <cell r="Y615">
            <v>-0.1049229986588355</v>
          </cell>
          <cell r="Z615">
            <v>-6.5603855138673589E-2</v>
          </cell>
          <cell r="AA615">
            <v>7.0167666685358607E-2</v>
          </cell>
          <cell r="AB615">
            <v>-0.11642009455504454</v>
          </cell>
          <cell r="AC615">
            <v>-0.16726454474302113</v>
          </cell>
          <cell r="AD615">
            <v>-0.12846170970614426</v>
          </cell>
          <cell r="AE615">
            <v>-0.41392218848790258</v>
          </cell>
          <cell r="AF615">
            <v>-0.73170600615793069</v>
          </cell>
          <cell r="AG615">
            <v>0.58476003850385039</v>
          </cell>
          <cell r="AH615">
            <v>1.3487938830561432</v>
          </cell>
          <cell r="AI615">
            <v>1.4749533871970169</v>
          </cell>
          <cell r="AJ615">
            <v>0.58581081081081077</v>
          </cell>
          <cell r="AK615">
            <v>1.3150256410256411</v>
          </cell>
          <cell r="AL615">
            <v>-0.14009767441860466</v>
          </cell>
          <cell r="AM615">
            <v>-0.20484081632653062</v>
          </cell>
          <cell r="AN615">
            <v>5.7893333333333331E-2</v>
          </cell>
          <cell r="AO615">
            <v>-8.1101562500000002E-2</v>
          </cell>
          <cell r="AP615">
            <v>-0.18463829787234043</v>
          </cell>
          <cell r="AQ615" t="e">
            <v>#DIV/0!</v>
          </cell>
          <cell r="AR615" t="e">
            <v>#DIV/0!</v>
          </cell>
          <cell r="AS615" t="e">
            <v>#DIV/0!</v>
          </cell>
          <cell r="AT615" t="e">
            <v>#DIV/0!</v>
          </cell>
          <cell r="AU615" t="e">
            <v>#DIV/0!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G616">
            <v>606</v>
          </cell>
          <cell r="H616" t="str">
            <v>YTD Actual</v>
          </cell>
          <cell r="I616">
            <v>0</v>
          </cell>
          <cell r="J616">
            <v>0</v>
          </cell>
          <cell r="K616">
            <v>0</v>
          </cell>
          <cell r="L616">
            <v>0</v>
          </cell>
          <cell r="M616">
            <v>0</v>
          </cell>
          <cell r="N616">
            <v>0</v>
          </cell>
          <cell r="O616">
            <v>0</v>
          </cell>
          <cell r="P616">
            <v>0</v>
          </cell>
          <cell r="Q616">
            <v>0</v>
          </cell>
          <cell r="R616">
            <v>0</v>
          </cell>
          <cell r="S616">
            <v>0</v>
          </cell>
          <cell r="T616">
            <v>1172147</v>
          </cell>
          <cell r="U616">
            <v>1346675</v>
          </cell>
          <cell r="V616">
            <v>1449733</v>
          </cell>
          <cell r="W616">
            <v>1526228</v>
          </cell>
          <cell r="X616">
            <v>36479</v>
          </cell>
          <cell r="Y616">
            <v>113896</v>
          </cell>
          <cell r="Z616">
            <v>546684</v>
          </cell>
          <cell r="AA616">
            <v>928370</v>
          </cell>
          <cell r="AB616">
            <v>1477833</v>
          </cell>
          <cell r="AC616">
            <v>1733183</v>
          </cell>
          <cell r="AD616">
            <v>1968080</v>
          </cell>
          <cell r="AE616">
            <v>2155326</v>
          </cell>
          <cell r="AF616">
            <v>2469806</v>
          </cell>
          <cell r="AG616">
            <v>2746391</v>
          </cell>
          <cell r="AH616">
            <v>2988453</v>
          </cell>
          <cell r="AI616">
            <v>3207474</v>
          </cell>
          <cell r="AJ616">
            <v>58675</v>
          </cell>
          <cell r="AK616">
            <v>239247</v>
          </cell>
          <cell r="AL616">
            <v>609005</v>
          </cell>
          <cell r="AM616">
            <v>998633</v>
          </cell>
          <cell r="AN616">
            <v>1395343</v>
          </cell>
          <cell r="AO616">
            <v>1630581</v>
          </cell>
          <cell r="AP616">
            <v>1822191</v>
          </cell>
          <cell r="AQ616">
            <v>1822191</v>
          </cell>
          <cell r="AR616">
            <v>1822191</v>
          </cell>
          <cell r="AS616">
            <v>1822191</v>
          </cell>
          <cell r="AT616">
            <v>1822191</v>
          </cell>
          <cell r="AU616">
            <v>1822191</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G617">
            <v>607</v>
          </cell>
          <cell r="H617" t="str">
            <v>YTD Target (Budget)</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37000</v>
          </cell>
          <cell r="Y617">
            <v>123492</v>
          </cell>
          <cell r="Z617">
            <v>586666</v>
          </cell>
          <cell r="AA617">
            <v>943326</v>
          </cell>
          <cell r="AB617">
            <v>1565186</v>
          </cell>
          <cell r="AC617">
            <v>1871826</v>
          </cell>
          <cell r="AD617">
            <v>2141346</v>
          </cell>
          <cell r="AE617">
            <v>2460836</v>
          </cell>
          <cell r="AF617">
            <v>3632983</v>
          </cell>
          <cell r="AG617">
            <v>3807511</v>
          </cell>
          <cell r="AH617">
            <v>3910569</v>
          </cell>
          <cell r="AI617">
            <v>3999064</v>
          </cell>
          <cell r="AJ617">
            <v>37000</v>
          </cell>
          <cell r="AK617">
            <v>115000</v>
          </cell>
          <cell r="AL617">
            <v>545000</v>
          </cell>
          <cell r="AM617">
            <v>1035000</v>
          </cell>
          <cell r="AN617">
            <v>1410000</v>
          </cell>
          <cell r="AO617">
            <v>1666000</v>
          </cell>
          <cell r="AP617">
            <v>1901000</v>
          </cell>
          <cell r="AQ617">
            <v>1901000</v>
          </cell>
          <cell r="AR617">
            <v>1901000</v>
          </cell>
          <cell r="AS617">
            <v>1901000</v>
          </cell>
          <cell r="AT617">
            <v>1901000</v>
          </cell>
          <cell r="AU617">
            <v>1901000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G618">
            <v>608</v>
          </cell>
          <cell r="H618" t="str">
            <v>YTD Target (Budget) Var</v>
          </cell>
          <cell r="I618">
            <v>0</v>
          </cell>
          <cell r="J618">
            <v>0</v>
          </cell>
          <cell r="K618">
            <v>0</v>
          </cell>
          <cell r="L618">
            <v>0</v>
          </cell>
          <cell r="M618">
            <v>0</v>
          </cell>
          <cell r="N618">
            <v>0</v>
          </cell>
          <cell r="O618">
            <v>0</v>
          </cell>
          <cell r="P618">
            <v>0</v>
          </cell>
          <cell r="Q618">
            <v>0</v>
          </cell>
          <cell r="R618">
            <v>0</v>
          </cell>
          <cell r="S618">
            <v>0</v>
          </cell>
          <cell r="T618">
            <v>1172147</v>
          </cell>
          <cell r="U618">
            <v>1346675</v>
          </cell>
          <cell r="V618">
            <v>1449733</v>
          </cell>
          <cell r="W618">
            <v>1526228</v>
          </cell>
          <cell r="X618">
            <v>-521</v>
          </cell>
          <cell r="Y618">
            <v>-9596</v>
          </cell>
          <cell r="Z618">
            <v>-39982</v>
          </cell>
          <cell r="AA618">
            <v>-14956</v>
          </cell>
          <cell r="AB618">
            <v>-87353</v>
          </cell>
          <cell r="AC618">
            <v>-138643</v>
          </cell>
          <cell r="AD618">
            <v>-173266</v>
          </cell>
          <cell r="AE618">
            <v>-305510</v>
          </cell>
          <cell r="AF618">
            <v>-1163177</v>
          </cell>
          <cell r="AG618">
            <v>-1061120</v>
          </cell>
          <cell r="AH618">
            <v>-922116</v>
          </cell>
          <cell r="AI618">
            <v>-791590</v>
          </cell>
          <cell r="AJ618">
            <v>21675</v>
          </cell>
          <cell r="AK618">
            <v>124247</v>
          </cell>
          <cell r="AL618">
            <v>64005</v>
          </cell>
          <cell r="AM618">
            <v>-36367</v>
          </cell>
          <cell r="AN618">
            <v>-14657</v>
          </cell>
          <cell r="AO618">
            <v>-35419</v>
          </cell>
          <cell r="AP618">
            <v>-78809</v>
          </cell>
          <cell r="AQ618">
            <v>-78809</v>
          </cell>
          <cell r="AR618">
            <v>-78809</v>
          </cell>
          <cell r="AS618">
            <v>-78809</v>
          </cell>
          <cell r="AT618">
            <v>-78809</v>
          </cell>
          <cell r="AU618">
            <v>-78809</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G619">
            <v>609</v>
          </cell>
          <cell r="H619" t="str">
            <v>YTD %Var</v>
          </cell>
          <cell r="I619">
            <v>0</v>
          </cell>
          <cell r="J619">
            <v>0</v>
          </cell>
          <cell r="K619">
            <v>0</v>
          </cell>
          <cell r="L619" t="e">
            <v>#DIV/0!</v>
          </cell>
          <cell r="M619" t="e">
            <v>#DIV/0!</v>
          </cell>
          <cell r="N619" t="e">
            <v>#DIV/0!</v>
          </cell>
          <cell r="O619" t="e">
            <v>#DIV/0!</v>
          </cell>
          <cell r="P619" t="e">
            <v>#DIV/0!</v>
          </cell>
          <cell r="Q619" t="e">
            <v>#DIV/0!</v>
          </cell>
          <cell r="R619" t="e">
            <v>#DIV/0!</v>
          </cell>
          <cell r="S619" t="e">
            <v>#DIV/0!</v>
          </cell>
          <cell r="T619" t="e">
            <v>#DIV/0!</v>
          </cell>
          <cell r="U619" t="e">
            <v>#DIV/0!</v>
          </cell>
          <cell r="V619" t="e">
            <v>#DIV/0!</v>
          </cell>
          <cell r="W619" t="e">
            <v>#DIV/0!</v>
          </cell>
          <cell r="X619">
            <v>-1.4081081081081082E-2</v>
          </cell>
          <cell r="Y619">
            <v>-7.7705438408965766E-2</v>
          </cell>
          <cell r="Z619">
            <v>-6.8151213808197511E-2</v>
          </cell>
          <cell r="AA619">
            <v>-1.585454021197338E-2</v>
          </cell>
          <cell r="AB619">
            <v>-5.5809980411273802E-2</v>
          </cell>
          <cell r="AC619">
            <v>-7.4068316178961077E-2</v>
          </cell>
          <cell r="AD619">
            <v>-8.0914527591524205E-2</v>
          </cell>
          <cell r="AE619">
            <v>-0.12414886648277253</v>
          </cell>
          <cell r="AF619">
            <v>-0.32017133028147943</v>
          </cell>
          <cell r="AG619">
            <v>-0.27869125000558109</v>
          </cell>
          <cell r="AH619">
            <v>-0.23580097934597241</v>
          </cell>
          <cell r="AI619">
            <v>-0.19794381885361176</v>
          </cell>
          <cell r="AJ619">
            <v>0.58581081081081077</v>
          </cell>
          <cell r="AK619">
            <v>1.0804086956521739</v>
          </cell>
          <cell r="AL619">
            <v>0.11744036697247706</v>
          </cell>
          <cell r="AM619">
            <v>-3.5137198067632852E-2</v>
          </cell>
          <cell r="AN619">
            <v>-1.0395035460992907E-2</v>
          </cell>
          <cell r="AO619">
            <v>-2.1259903961584635E-2</v>
          </cell>
          <cell r="AP619">
            <v>-4.1456601788532353E-2</v>
          </cell>
          <cell r="AQ619">
            <v>-4.1456601788532353E-2</v>
          </cell>
          <cell r="AR619">
            <v>-4.1456601788532353E-2</v>
          </cell>
          <cell r="AS619">
            <v>-4.1456601788532353E-2</v>
          </cell>
          <cell r="AT619">
            <v>-4.1456601788532353E-2</v>
          </cell>
          <cell r="AU619">
            <v>-4.1456601788532353E-2</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G620">
            <v>610</v>
          </cell>
          <cell r="H620" t="str">
            <v>4 Month Actual</v>
          </cell>
          <cell r="I620">
            <v>0</v>
          </cell>
          <cell r="J620">
            <v>0</v>
          </cell>
          <cell r="K620">
            <v>0</v>
          </cell>
          <cell r="L620">
            <v>0</v>
          </cell>
          <cell r="M620">
            <v>0</v>
          </cell>
          <cell r="N620">
            <v>0</v>
          </cell>
          <cell r="O620">
            <v>0</v>
          </cell>
          <cell r="P620">
            <v>0</v>
          </cell>
          <cell r="Q620">
            <v>0</v>
          </cell>
          <cell r="R620">
            <v>0</v>
          </cell>
          <cell r="S620">
            <v>0</v>
          </cell>
          <cell r="T620">
            <v>1172147</v>
          </cell>
          <cell r="U620">
            <v>1346675</v>
          </cell>
          <cell r="V620">
            <v>1449733</v>
          </cell>
          <cell r="W620">
            <v>1526228</v>
          </cell>
          <cell r="X620">
            <v>390560</v>
          </cell>
          <cell r="Y620">
            <v>293449</v>
          </cell>
          <cell r="Z620">
            <v>623179</v>
          </cell>
          <cell r="AA620">
            <v>928370</v>
          </cell>
          <cell r="AB620">
            <v>1441354</v>
          </cell>
          <cell r="AC620">
            <v>1619287</v>
          </cell>
          <cell r="AD620">
            <v>1421396</v>
          </cell>
          <cell r="AE620">
            <v>1226956</v>
          </cell>
          <cell r="AF620">
            <v>991973</v>
          </cell>
          <cell r="AG620">
            <v>1013208</v>
          </cell>
          <cell r="AH620">
            <v>1020373</v>
          </cell>
          <cell r="AI620">
            <v>1052148</v>
          </cell>
          <cell r="AJ620">
            <v>796343</v>
          </cell>
          <cell r="AK620">
            <v>700330</v>
          </cell>
          <cell r="AL620">
            <v>828026</v>
          </cell>
          <cell r="AM620">
            <v>998633</v>
          </cell>
          <cell r="AN620">
            <v>1336668</v>
          </cell>
          <cell r="AO620">
            <v>1391334</v>
          </cell>
          <cell r="AP620">
            <v>1213186</v>
          </cell>
          <cell r="AQ620">
            <v>823558</v>
          </cell>
          <cell r="AR620">
            <v>426848</v>
          </cell>
          <cell r="AS620">
            <v>191610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G621">
            <v>611</v>
          </cell>
          <cell r="H621" t="str">
            <v>4 Month Target (Budget)</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37000</v>
          </cell>
          <cell r="Y621">
            <v>123492</v>
          </cell>
          <cell r="Z621">
            <v>586666</v>
          </cell>
          <cell r="AA621">
            <v>943326</v>
          </cell>
          <cell r="AB621">
            <v>1528186</v>
          </cell>
          <cell r="AC621">
            <v>1748334</v>
          </cell>
          <cell r="AD621">
            <v>1554680</v>
          </cell>
          <cell r="AE621">
            <v>1517510</v>
          </cell>
          <cell r="AF621">
            <v>2067797</v>
          </cell>
          <cell r="AG621">
            <v>1935685</v>
          </cell>
          <cell r="AH621">
            <v>1769223</v>
          </cell>
          <cell r="AI621">
            <v>1538228</v>
          </cell>
          <cell r="AJ621">
            <v>403081</v>
          </cell>
          <cell r="AK621">
            <v>306553</v>
          </cell>
          <cell r="AL621">
            <v>633495</v>
          </cell>
          <cell r="AM621">
            <v>1035000</v>
          </cell>
          <cell r="AN621">
            <v>1373000</v>
          </cell>
          <cell r="AO621">
            <v>1551000</v>
          </cell>
          <cell r="AP621">
            <v>1356000</v>
          </cell>
          <cell r="AQ621">
            <v>866000</v>
          </cell>
          <cell r="AR621">
            <v>491000</v>
          </cell>
          <cell r="AS621">
            <v>235000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G622">
            <v>612</v>
          </cell>
          <cell r="H622" t="str">
            <v>4 Month Target (Budget) Var</v>
          </cell>
          <cell r="I622">
            <v>0</v>
          </cell>
          <cell r="J622">
            <v>0</v>
          </cell>
          <cell r="K622">
            <v>0</v>
          </cell>
          <cell r="L622">
            <v>0</v>
          </cell>
          <cell r="M622">
            <v>0</v>
          </cell>
          <cell r="N622">
            <v>0</v>
          </cell>
          <cell r="O622">
            <v>0</v>
          </cell>
          <cell r="P622">
            <v>0</v>
          </cell>
          <cell r="Q622">
            <v>0</v>
          </cell>
          <cell r="R622">
            <v>0</v>
          </cell>
          <cell r="S622">
            <v>0</v>
          </cell>
          <cell r="T622">
            <v>1172147</v>
          </cell>
          <cell r="U622">
            <v>1346675</v>
          </cell>
          <cell r="V622">
            <v>1449733</v>
          </cell>
          <cell r="W622">
            <v>1526228</v>
          </cell>
          <cell r="X622">
            <v>353560</v>
          </cell>
          <cell r="Y622">
            <v>169957</v>
          </cell>
          <cell r="Z622">
            <v>36513</v>
          </cell>
          <cell r="AA622">
            <v>-14956</v>
          </cell>
          <cell r="AB622">
            <v>-86832</v>
          </cell>
          <cell r="AC622">
            <v>-129047</v>
          </cell>
          <cell r="AD622">
            <v>-133284</v>
          </cell>
          <cell r="AE622">
            <v>-290554</v>
          </cell>
          <cell r="AF622">
            <v>-1075824</v>
          </cell>
          <cell r="AG622">
            <v>-922477</v>
          </cell>
          <cell r="AH622">
            <v>-748850</v>
          </cell>
          <cell r="AI622">
            <v>-486080</v>
          </cell>
          <cell r="AJ622">
            <v>393262</v>
          </cell>
          <cell r="AK622">
            <v>393777</v>
          </cell>
          <cell r="AL622">
            <v>194531</v>
          </cell>
          <cell r="AM622">
            <v>-36367</v>
          </cell>
          <cell r="AN622">
            <v>-36332</v>
          </cell>
          <cell r="AO622">
            <v>-159666</v>
          </cell>
          <cell r="AP622">
            <v>-142814</v>
          </cell>
          <cell r="AQ622">
            <v>-42442</v>
          </cell>
          <cell r="AR622">
            <v>-64152</v>
          </cell>
          <cell r="AS622">
            <v>-43390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G623">
            <v>613</v>
          </cell>
          <cell r="H623" t="str">
            <v>4 Month Target (Budget) % Var</v>
          </cell>
          <cell r="I623">
            <v>0</v>
          </cell>
          <cell r="J623">
            <v>0</v>
          </cell>
          <cell r="K623">
            <v>0</v>
          </cell>
          <cell r="L623" t="e">
            <v>#DIV/0!</v>
          </cell>
          <cell r="M623" t="e">
            <v>#DIV/0!</v>
          </cell>
          <cell r="N623" t="e">
            <v>#DIV/0!</v>
          </cell>
          <cell r="O623" t="e">
            <v>#DIV/0!</v>
          </cell>
          <cell r="P623" t="e">
            <v>#DIV/0!</v>
          </cell>
          <cell r="Q623" t="e">
            <v>#DIV/0!</v>
          </cell>
          <cell r="R623" t="e">
            <v>#DIV/0!</v>
          </cell>
          <cell r="S623" t="e">
            <v>#DIV/0!</v>
          </cell>
          <cell r="T623" t="e">
            <v>#DIV/0!</v>
          </cell>
          <cell r="U623" t="e">
            <v>#DIV/0!</v>
          </cell>
          <cell r="V623" t="e">
            <v>#DIV/0!</v>
          </cell>
          <cell r="W623" t="e">
            <v>#DIV/0!</v>
          </cell>
          <cell r="X623">
            <v>9.5556756756756762</v>
          </cell>
          <cell r="Y623">
            <v>1.3762591908787614</v>
          </cell>
          <cell r="Z623">
            <v>6.2238138906976027E-2</v>
          </cell>
          <cell r="AA623">
            <v>-1.585454021197338E-2</v>
          </cell>
          <cell r="AB623">
            <v>-5.6820308522653656E-2</v>
          </cell>
          <cell r="AC623">
            <v>-7.381141132072018E-2</v>
          </cell>
          <cell r="AD623">
            <v>-8.5730825636143773E-2</v>
          </cell>
          <cell r="AE623">
            <v>-0.19146760153145614</v>
          </cell>
          <cell r="AF623">
            <v>-0.52027544289889194</v>
          </cell>
          <cell r="AG623">
            <v>-0.47656359376654778</v>
          </cell>
          <cell r="AH623">
            <v>-0.42326490216326601</v>
          </cell>
          <cell r="AI623">
            <v>-0.3159999687952631</v>
          </cell>
          <cell r="AJ623">
            <v>0.97564013188416221</v>
          </cell>
          <cell r="AK623">
            <v>1.2845315491937772</v>
          </cell>
          <cell r="AL623">
            <v>0.30707582538141581</v>
          </cell>
          <cell r="AM623">
            <v>-3.5137198067632852E-2</v>
          </cell>
          <cell r="AN623">
            <v>-2.646176256372906E-2</v>
          </cell>
          <cell r="AO623">
            <v>-0.10294390715667312</v>
          </cell>
          <cell r="AP623">
            <v>-0.10532005899705014</v>
          </cell>
          <cell r="AQ623">
            <v>-4.9009237875288686E-2</v>
          </cell>
          <cell r="AR623">
            <v>-0.13065580448065173</v>
          </cell>
          <cell r="AS623">
            <v>-0.18463829787234043</v>
          </cell>
          <cell r="AT623" t="e">
            <v>#DIV/0!</v>
          </cell>
          <cell r="AU623" t="e">
            <v>#DIV/0!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G624">
            <v>614</v>
          </cell>
          <cell r="H624" t="str">
            <v>Actual</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100.2</v>
          </cell>
          <cell r="X624">
            <v>141.19999999999999</v>
          </cell>
          <cell r="Y624">
            <v>158.38749999999999</v>
          </cell>
          <cell r="Z624">
            <v>255.83750000000001</v>
          </cell>
          <cell r="AA624">
            <v>312.52499999999998</v>
          </cell>
          <cell r="AB624">
            <v>278.53750000000002</v>
          </cell>
          <cell r="AC624">
            <v>229.9375</v>
          </cell>
          <cell r="AD624">
            <v>285</v>
          </cell>
          <cell r="AE624">
            <v>350.4</v>
          </cell>
          <cell r="AF624">
            <v>397.2</v>
          </cell>
          <cell r="AG624">
            <v>440.1</v>
          </cell>
          <cell r="AH624">
            <v>314.39999999999998</v>
          </cell>
          <cell r="AI624">
            <v>259.89999999999998</v>
          </cell>
          <cell r="AJ624">
            <v>261.8</v>
          </cell>
          <cell r="AK624">
            <v>337.7</v>
          </cell>
          <cell r="AL624">
            <v>346.6</v>
          </cell>
          <cell r="AM624">
            <v>437.8</v>
          </cell>
          <cell r="AN624">
            <v>341.3</v>
          </cell>
          <cell r="AO624">
            <v>265</v>
          </cell>
          <cell r="AP624">
            <v>419</v>
          </cell>
          <cell r="AQ624">
            <v>1523.3</v>
          </cell>
          <cell r="AR624">
            <v>1666</v>
          </cell>
          <cell r="AS624">
            <v>2210</v>
          </cell>
          <cell r="AT624">
            <v>2406</v>
          </cell>
          <cell r="AU624">
            <v>1908</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G625">
            <v>615</v>
          </cell>
          <cell r="H625" t="str">
            <v>Target (Budget)</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100.2</v>
          </cell>
          <cell r="X625">
            <v>205</v>
          </cell>
          <cell r="Y625">
            <v>167</v>
          </cell>
          <cell r="Z625">
            <v>219</v>
          </cell>
          <cell r="AA625">
            <v>248</v>
          </cell>
          <cell r="AB625">
            <v>235</v>
          </cell>
          <cell r="AC625">
            <v>189</v>
          </cell>
          <cell r="AD625">
            <v>215</v>
          </cell>
          <cell r="AE625">
            <v>225</v>
          </cell>
          <cell r="AF625">
            <v>274</v>
          </cell>
          <cell r="AG625">
            <v>258</v>
          </cell>
          <cell r="AH625">
            <v>170</v>
          </cell>
          <cell r="AI625">
            <v>100</v>
          </cell>
          <cell r="AJ625">
            <v>141.19999999999999</v>
          </cell>
          <cell r="AK625">
            <v>158.4</v>
          </cell>
          <cell r="AL625">
            <v>255.8</v>
          </cell>
          <cell r="AM625">
            <v>312.5</v>
          </cell>
          <cell r="AN625">
            <v>278.5</v>
          </cell>
          <cell r="AO625">
            <v>229</v>
          </cell>
          <cell r="AP625">
            <v>285</v>
          </cell>
          <cell r="AQ625">
            <v>1142.9000000000001</v>
          </cell>
          <cell r="AR625">
            <v>1261.5999999999999</v>
          </cell>
          <cell r="AS625">
            <v>1472.6</v>
          </cell>
          <cell r="AT625">
            <v>1501.6</v>
          </cell>
          <cell r="AU625">
            <v>1151.2</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G626">
            <v>616</v>
          </cell>
          <cell r="H626" t="str">
            <v>Target (Budget) Variance</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-63.800000000000011</v>
          </cell>
          <cell r="Y626">
            <v>-8.6125000000000114</v>
          </cell>
          <cell r="Z626">
            <v>36.837500000000006</v>
          </cell>
          <cell r="AA626">
            <v>64.524999999999977</v>
          </cell>
          <cell r="AB626">
            <v>43.537500000000023</v>
          </cell>
          <cell r="AC626">
            <v>40.9375</v>
          </cell>
          <cell r="AD626">
            <v>70</v>
          </cell>
          <cell r="AE626">
            <v>125.39999999999998</v>
          </cell>
          <cell r="AF626">
            <v>123.19999999999999</v>
          </cell>
          <cell r="AG626">
            <v>182.10000000000002</v>
          </cell>
          <cell r="AH626">
            <v>144.39999999999998</v>
          </cell>
          <cell r="AI626">
            <v>159.89999999999998</v>
          </cell>
          <cell r="AJ626">
            <v>120.60000000000002</v>
          </cell>
          <cell r="AK626">
            <v>179.29999999999998</v>
          </cell>
          <cell r="AL626">
            <v>90.800000000000011</v>
          </cell>
          <cell r="AM626">
            <v>125.30000000000001</v>
          </cell>
          <cell r="AN626">
            <v>62.800000000000011</v>
          </cell>
          <cell r="AO626">
            <v>36</v>
          </cell>
          <cell r="AP626">
            <v>134</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G627">
            <v>617</v>
          </cell>
          <cell r="H627" t="str">
            <v>Target (Budget) %Var</v>
          </cell>
          <cell r="I627">
            <v>0</v>
          </cell>
          <cell r="J627">
            <v>0</v>
          </cell>
          <cell r="K627">
            <v>0</v>
          </cell>
          <cell r="L627" t="e">
            <v>#DIV/0!</v>
          </cell>
          <cell r="M627" t="e">
            <v>#DIV/0!</v>
          </cell>
          <cell r="N627" t="e">
            <v>#DIV/0!</v>
          </cell>
          <cell r="O627" t="e">
            <v>#DIV/0!</v>
          </cell>
          <cell r="P627" t="e">
            <v>#DIV/0!</v>
          </cell>
          <cell r="Q627" t="e">
            <v>#DIV/0!</v>
          </cell>
          <cell r="R627" t="e">
            <v>#DIV/0!</v>
          </cell>
          <cell r="S627" t="e">
            <v>#DIV/0!</v>
          </cell>
          <cell r="T627" t="e">
            <v>#DIV/0!</v>
          </cell>
          <cell r="U627" t="e">
            <v>#DIV/0!</v>
          </cell>
          <cell r="V627" t="e">
            <v>#DIV/0!</v>
          </cell>
          <cell r="W627">
            <v>0</v>
          </cell>
          <cell r="X627">
            <v>-0.31121951219512201</v>
          </cell>
          <cell r="Y627">
            <v>-5.1571856287425215E-2</v>
          </cell>
          <cell r="Z627">
            <v>0.16820776255707764</v>
          </cell>
          <cell r="AA627">
            <v>0.26018145161290313</v>
          </cell>
          <cell r="AB627">
            <v>0.1852659574468086</v>
          </cell>
          <cell r="AC627">
            <v>0.2166005291005291</v>
          </cell>
          <cell r="AD627">
            <v>0.32558139534883723</v>
          </cell>
          <cell r="AE627">
            <v>0.55733333333333324</v>
          </cell>
          <cell r="AF627">
            <v>0.44963503649635034</v>
          </cell>
          <cell r="AG627">
            <v>0.70581395348837217</v>
          </cell>
          <cell r="AH627">
            <v>0.8494117647058822</v>
          </cell>
          <cell r="AI627">
            <v>1.5989999999999998</v>
          </cell>
          <cell r="AJ627">
            <v>0.85410764872521272</v>
          </cell>
          <cell r="AK627">
            <v>1.1319444444444442</v>
          </cell>
          <cell r="AL627">
            <v>0.35496481626270526</v>
          </cell>
          <cell r="AM627">
            <v>0.40096000000000004</v>
          </cell>
          <cell r="AN627">
            <v>0.22549371633752249</v>
          </cell>
          <cell r="AO627">
            <v>0.15720524017467249</v>
          </cell>
          <cell r="AP627">
            <v>0.47017543859649125</v>
          </cell>
          <cell r="AQ627" t="e">
            <v>#DIV/0!</v>
          </cell>
          <cell r="AR627" t="e">
            <v>#DIV/0!</v>
          </cell>
          <cell r="AS627" t="e">
            <v>#DIV/0!</v>
          </cell>
          <cell r="AT627" t="e">
            <v>#DIV/0!</v>
          </cell>
          <cell r="AU627" t="e">
            <v>#DIV/0!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G628">
            <v>618</v>
          </cell>
          <cell r="H628" t="str">
            <v>YTD Actual</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100.2</v>
          </cell>
          <cell r="X628">
            <v>141.19999999999999</v>
          </cell>
          <cell r="Y628">
            <v>299.58749999999998</v>
          </cell>
          <cell r="Z628">
            <v>555.42499999999995</v>
          </cell>
          <cell r="AA628">
            <v>867.94999999999993</v>
          </cell>
          <cell r="AB628">
            <v>1146.4875</v>
          </cell>
          <cell r="AC628">
            <v>1376.425</v>
          </cell>
          <cell r="AD628">
            <v>1661.425</v>
          </cell>
          <cell r="AE628">
            <v>2011.8249999999998</v>
          </cell>
          <cell r="AF628">
            <v>2409.0249999999996</v>
          </cell>
          <cell r="AG628">
            <v>2849.1249999999995</v>
          </cell>
          <cell r="AH628">
            <v>3163.5249999999996</v>
          </cell>
          <cell r="AI628">
            <v>3423.4249999999997</v>
          </cell>
          <cell r="AJ628">
            <v>261.8</v>
          </cell>
          <cell r="AK628">
            <v>599.5</v>
          </cell>
          <cell r="AL628">
            <v>946.1</v>
          </cell>
          <cell r="AM628">
            <v>1383.9</v>
          </cell>
          <cell r="AN628">
            <v>1725.2</v>
          </cell>
          <cell r="AO628">
            <v>1990.2</v>
          </cell>
          <cell r="AP628">
            <v>2409.1999999999998</v>
          </cell>
          <cell r="AQ628">
            <v>2409.1999999999998</v>
          </cell>
          <cell r="AR628">
            <v>2409.1999999999998</v>
          </cell>
          <cell r="AS628">
            <v>2409.1999999999998</v>
          </cell>
          <cell r="AT628">
            <v>2409.1999999999998</v>
          </cell>
          <cell r="AU628">
            <v>2409.1999999999998</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G629">
            <v>619</v>
          </cell>
          <cell r="H629" t="str">
            <v>YTD Target (Budget)</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100.2</v>
          </cell>
          <cell r="X629">
            <v>205</v>
          </cell>
          <cell r="Y629">
            <v>372</v>
          </cell>
          <cell r="Z629">
            <v>591</v>
          </cell>
          <cell r="AA629">
            <v>839</v>
          </cell>
          <cell r="AB629">
            <v>1074</v>
          </cell>
          <cell r="AC629">
            <v>1263</v>
          </cell>
          <cell r="AD629">
            <v>1478</v>
          </cell>
          <cell r="AE629">
            <v>1703</v>
          </cell>
          <cell r="AF629">
            <v>1977</v>
          </cell>
          <cell r="AG629">
            <v>2235</v>
          </cell>
          <cell r="AH629">
            <v>2405</v>
          </cell>
          <cell r="AI629">
            <v>2505</v>
          </cell>
          <cell r="AJ629">
            <v>141.19999999999999</v>
          </cell>
          <cell r="AK629">
            <v>299.60000000000002</v>
          </cell>
          <cell r="AL629">
            <v>555.40000000000009</v>
          </cell>
          <cell r="AM629">
            <v>867.90000000000009</v>
          </cell>
          <cell r="AN629">
            <v>1146.4000000000001</v>
          </cell>
          <cell r="AO629">
            <v>1375.4</v>
          </cell>
          <cell r="AP629">
            <v>1660.4</v>
          </cell>
          <cell r="AQ629">
            <v>1660.4</v>
          </cell>
          <cell r="AR629">
            <v>1660.4</v>
          </cell>
          <cell r="AS629">
            <v>1660.4</v>
          </cell>
          <cell r="AT629">
            <v>1660.4</v>
          </cell>
          <cell r="AU629">
            <v>1660.4</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G630">
            <v>620</v>
          </cell>
          <cell r="H630" t="str">
            <v>YTD Target (Budget) Var</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-63.800000000000011</v>
          </cell>
          <cell r="Y630">
            <v>-72.412500000000023</v>
          </cell>
          <cell r="Z630">
            <v>-35.575000000000045</v>
          </cell>
          <cell r="AA630">
            <v>28.949999999999932</v>
          </cell>
          <cell r="AB630">
            <v>72.487499999999955</v>
          </cell>
          <cell r="AC630">
            <v>113.42499999999995</v>
          </cell>
          <cell r="AD630">
            <v>183.42499999999995</v>
          </cell>
          <cell r="AE630">
            <v>308.82499999999982</v>
          </cell>
          <cell r="AF630">
            <v>432.02499999999964</v>
          </cell>
          <cell r="AG630">
            <v>614.12499999999955</v>
          </cell>
          <cell r="AH630">
            <v>758.52499999999964</v>
          </cell>
          <cell r="AI630">
            <v>918.42499999999973</v>
          </cell>
          <cell r="AJ630">
            <v>120.60000000000002</v>
          </cell>
          <cell r="AK630">
            <v>299.89999999999998</v>
          </cell>
          <cell r="AL630">
            <v>390.69999999999993</v>
          </cell>
          <cell r="AM630">
            <v>516</v>
          </cell>
          <cell r="AN630">
            <v>578.79999999999995</v>
          </cell>
          <cell r="AO630">
            <v>614.79999999999995</v>
          </cell>
          <cell r="AP630">
            <v>748.79999999999973</v>
          </cell>
          <cell r="AQ630">
            <v>748.79999999999973</v>
          </cell>
          <cell r="AR630">
            <v>748.79999999999973</v>
          </cell>
          <cell r="AS630">
            <v>748.79999999999973</v>
          </cell>
          <cell r="AT630">
            <v>748.79999999999973</v>
          </cell>
          <cell r="AU630">
            <v>748.79999999999973</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G631">
            <v>621</v>
          </cell>
          <cell r="H631" t="str">
            <v>YTD %Var</v>
          </cell>
          <cell r="I631">
            <v>0</v>
          </cell>
          <cell r="J631">
            <v>0</v>
          </cell>
          <cell r="K631">
            <v>0</v>
          </cell>
          <cell r="L631" t="e">
            <v>#DIV/0!</v>
          </cell>
          <cell r="M631" t="e">
            <v>#DIV/0!</v>
          </cell>
          <cell r="N631" t="e">
            <v>#DIV/0!</v>
          </cell>
          <cell r="O631" t="e">
            <v>#DIV/0!</v>
          </cell>
          <cell r="P631" t="e">
            <v>#DIV/0!</v>
          </cell>
          <cell r="Q631" t="e">
            <v>#DIV/0!</v>
          </cell>
          <cell r="R631" t="e">
            <v>#DIV/0!</v>
          </cell>
          <cell r="S631" t="e">
            <v>#DIV/0!</v>
          </cell>
          <cell r="T631" t="e">
            <v>#DIV/0!</v>
          </cell>
          <cell r="U631" t="e">
            <v>#DIV/0!</v>
          </cell>
          <cell r="V631" t="e">
            <v>#DIV/0!</v>
          </cell>
          <cell r="W631">
            <v>0</v>
          </cell>
          <cell r="X631">
            <v>-0.31121951219512201</v>
          </cell>
          <cell r="Y631">
            <v>-0.1946572580645162</v>
          </cell>
          <cell r="Z631">
            <v>-6.019458544839263E-2</v>
          </cell>
          <cell r="AA631">
            <v>3.4505363528009453E-2</v>
          </cell>
          <cell r="AB631">
            <v>6.7493016759776495E-2</v>
          </cell>
          <cell r="AC631">
            <v>8.9806017418843989E-2</v>
          </cell>
          <cell r="AD631">
            <v>0.12410351826792961</v>
          </cell>
          <cell r="AE631">
            <v>0.18134174985320012</v>
          </cell>
          <cell r="AF631">
            <v>0.21852554375316116</v>
          </cell>
          <cell r="AG631">
            <v>0.27477628635346735</v>
          </cell>
          <cell r="AH631">
            <v>0.31539501039501022</v>
          </cell>
          <cell r="AI631">
            <v>0.3666367265469061</v>
          </cell>
          <cell r="AJ631">
            <v>0.85410764872521272</v>
          </cell>
          <cell r="AK631">
            <v>1.0010013351134845</v>
          </cell>
          <cell r="AL631">
            <v>0.70345696795102608</v>
          </cell>
          <cell r="AM631">
            <v>0.59453854130660211</v>
          </cell>
          <cell r="AN631">
            <v>0.50488485694347518</v>
          </cell>
          <cell r="AO631">
            <v>0.44699723716736944</v>
          </cell>
          <cell r="AP631">
            <v>0.45097566851361098</v>
          </cell>
          <cell r="AQ631">
            <v>0.45097566851361098</v>
          </cell>
          <cell r="AR631">
            <v>0.45097566851361098</v>
          </cell>
          <cell r="AS631">
            <v>0.45097566851361098</v>
          </cell>
          <cell r="AT631">
            <v>0.45097566851361098</v>
          </cell>
          <cell r="AU631">
            <v>0.45097566851361098</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G632">
            <v>622</v>
          </cell>
          <cell r="H632" t="str">
            <v>4 Month Actual</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100.2</v>
          </cell>
          <cell r="X632">
            <v>241.39999999999998</v>
          </cell>
          <cell r="Y632">
            <v>399.78749999999997</v>
          </cell>
          <cell r="Z632">
            <v>655.625</v>
          </cell>
          <cell r="AA632">
            <v>867.94999999999993</v>
          </cell>
          <cell r="AB632">
            <v>1005.2875</v>
          </cell>
          <cell r="AC632">
            <v>1076.8375000000001</v>
          </cell>
          <cell r="AD632">
            <v>1106</v>
          </cell>
          <cell r="AE632">
            <v>1143.875</v>
          </cell>
          <cell r="AF632">
            <v>1262.5374999999999</v>
          </cell>
          <cell r="AG632">
            <v>1472.6999999999998</v>
          </cell>
          <cell r="AH632">
            <v>1502.1</v>
          </cell>
          <cell r="AI632">
            <v>1411.6</v>
          </cell>
          <cell r="AJ632">
            <v>1276.2</v>
          </cell>
          <cell r="AK632">
            <v>1173.8</v>
          </cell>
          <cell r="AL632">
            <v>1206</v>
          </cell>
          <cell r="AM632">
            <v>1383.9</v>
          </cell>
          <cell r="AN632">
            <v>1463.3999999999999</v>
          </cell>
          <cell r="AO632">
            <v>1390.7</v>
          </cell>
          <cell r="AP632">
            <v>1463.1</v>
          </cell>
          <cell r="AQ632">
            <v>1025.3</v>
          </cell>
          <cell r="AR632">
            <v>684</v>
          </cell>
          <cell r="AS632">
            <v>419</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G633">
            <v>623</v>
          </cell>
          <cell r="H633" t="str">
            <v>4 Month Target (Budget)</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100.2</v>
          </cell>
          <cell r="X633">
            <v>305.2</v>
          </cell>
          <cell r="Y633">
            <v>472.2</v>
          </cell>
          <cell r="Z633">
            <v>691.2</v>
          </cell>
          <cell r="AA633">
            <v>839</v>
          </cell>
          <cell r="AB633">
            <v>869</v>
          </cell>
          <cell r="AC633">
            <v>891</v>
          </cell>
          <cell r="AD633">
            <v>887</v>
          </cell>
          <cell r="AE633">
            <v>864</v>
          </cell>
          <cell r="AF633">
            <v>903</v>
          </cell>
          <cell r="AG633">
            <v>972</v>
          </cell>
          <cell r="AH633">
            <v>927</v>
          </cell>
          <cell r="AI633">
            <v>802</v>
          </cell>
          <cell r="AJ633">
            <v>669.2</v>
          </cell>
          <cell r="AK633">
            <v>569.6</v>
          </cell>
          <cell r="AL633">
            <v>655.40000000000009</v>
          </cell>
          <cell r="AM633">
            <v>867.90000000000009</v>
          </cell>
          <cell r="AN633">
            <v>1005.2</v>
          </cell>
          <cell r="AO633">
            <v>1075.8</v>
          </cell>
          <cell r="AP633">
            <v>1105</v>
          </cell>
          <cell r="AQ633">
            <v>792.5</v>
          </cell>
          <cell r="AR633">
            <v>514</v>
          </cell>
          <cell r="AS633">
            <v>285</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G634">
            <v>624</v>
          </cell>
          <cell r="H634" t="str">
            <v>4 Month Target (Budget) Var</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-63.800000000000011</v>
          </cell>
          <cell r="Y634">
            <v>-72.412500000000023</v>
          </cell>
          <cell r="Z634">
            <v>-35.575000000000045</v>
          </cell>
          <cell r="AA634">
            <v>28.949999999999932</v>
          </cell>
          <cell r="AB634">
            <v>136.28750000000002</v>
          </cell>
          <cell r="AC634">
            <v>185.83750000000009</v>
          </cell>
          <cell r="AD634">
            <v>219</v>
          </cell>
          <cell r="AE634">
            <v>279.875</v>
          </cell>
          <cell r="AF634">
            <v>359.53749999999991</v>
          </cell>
          <cell r="AG634">
            <v>500.69999999999982</v>
          </cell>
          <cell r="AH634">
            <v>575.09999999999991</v>
          </cell>
          <cell r="AI634">
            <v>609.59999999999991</v>
          </cell>
          <cell r="AJ634">
            <v>607</v>
          </cell>
          <cell r="AK634">
            <v>604.19999999999993</v>
          </cell>
          <cell r="AL634">
            <v>550.59999999999991</v>
          </cell>
          <cell r="AM634">
            <v>516</v>
          </cell>
          <cell r="AN634">
            <v>458.19999999999982</v>
          </cell>
          <cell r="AO634">
            <v>314.90000000000009</v>
          </cell>
          <cell r="AP634">
            <v>358.09999999999991</v>
          </cell>
          <cell r="AQ634">
            <v>232.79999999999995</v>
          </cell>
          <cell r="AR634">
            <v>170</v>
          </cell>
          <cell r="AS634">
            <v>134</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G635">
            <v>625</v>
          </cell>
          <cell r="H635" t="str">
            <v>4 Month Target (Budget) % Var</v>
          </cell>
          <cell r="I635">
            <v>0</v>
          </cell>
          <cell r="J635">
            <v>0</v>
          </cell>
          <cell r="K635">
            <v>0</v>
          </cell>
          <cell r="L635" t="e">
            <v>#DIV/0!</v>
          </cell>
          <cell r="M635" t="e">
            <v>#DIV/0!</v>
          </cell>
          <cell r="N635" t="e">
            <v>#DIV/0!</v>
          </cell>
          <cell r="O635" t="e">
            <v>#DIV/0!</v>
          </cell>
          <cell r="P635" t="e">
            <v>#DIV/0!</v>
          </cell>
          <cell r="Q635" t="e">
            <v>#DIV/0!</v>
          </cell>
          <cell r="R635" t="e">
            <v>#DIV/0!</v>
          </cell>
          <cell r="S635" t="e">
            <v>#DIV/0!</v>
          </cell>
          <cell r="T635" t="e">
            <v>#DIV/0!</v>
          </cell>
          <cell r="U635" t="e">
            <v>#DIV/0!</v>
          </cell>
          <cell r="V635" t="e">
            <v>#DIV/0!</v>
          </cell>
          <cell r="W635">
            <v>0</v>
          </cell>
          <cell r="X635">
            <v>-0.20904325032765403</v>
          </cell>
          <cell r="Y635">
            <v>-0.15335133418043206</v>
          </cell>
          <cell r="Z635">
            <v>-5.1468460648148209E-2</v>
          </cell>
          <cell r="AA635">
            <v>3.4505363528009453E-2</v>
          </cell>
          <cell r="AB635">
            <v>0.15683256616800922</v>
          </cell>
          <cell r="AC635">
            <v>0.20857182940516283</v>
          </cell>
          <cell r="AD635">
            <v>0.24689966178128522</v>
          </cell>
          <cell r="AE635">
            <v>0.32392939814814814</v>
          </cell>
          <cell r="AF635">
            <v>0.39815891472868209</v>
          </cell>
          <cell r="AG635">
            <v>0.51512345679012328</v>
          </cell>
          <cell r="AH635">
            <v>0.62038834951456301</v>
          </cell>
          <cell r="AI635">
            <v>0.76009975062344126</v>
          </cell>
          <cell r="AJ635">
            <v>0.90705319784817684</v>
          </cell>
          <cell r="AK635">
            <v>1.0607443820224718</v>
          </cell>
          <cell r="AL635">
            <v>0.84009765028989902</v>
          </cell>
          <cell r="AM635">
            <v>0.59453854130660211</v>
          </cell>
          <cell r="AN635">
            <v>0.45582968563469933</v>
          </cell>
          <cell r="AO635">
            <v>0.29271240007436339</v>
          </cell>
          <cell r="AP635">
            <v>0.32407239819004519</v>
          </cell>
          <cell r="AQ635">
            <v>0.29375394321766557</v>
          </cell>
          <cell r="AR635">
            <v>0.33073929961089493</v>
          </cell>
          <cell r="AS635">
            <v>0.47017543859649125</v>
          </cell>
          <cell r="AT635" t="e">
            <v>#DIV/0!</v>
          </cell>
          <cell r="AU635" t="e">
            <v>#DIV/0!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G636">
            <v>626</v>
          </cell>
          <cell r="H636" t="str">
            <v>Actual</v>
          </cell>
          <cell r="I636">
            <v>0</v>
          </cell>
          <cell r="J636">
            <v>0</v>
          </cell>
          <cell r="K636">
            <v>0</v>
          </cell>
          <cell r="L636">
            <v>354.42</v>
          </cell>
          <cell r="M636">
            <v>539.89</v>
          </cell>
          <cell r="N636">
            <v>469.65</v>
          </cell>
          <cell r="O636">
            <v>700.69</v>
          </cell>
          <cell r="P636">
            <v>557</v>
          </cell>
          <cell r="Q636">
            <v>625</v>
          </cell>
          <cell r="R636">
            <v>594</v>
          </cell>
          <cell r="S636">
            <v>694</v>
          </cell>
          <cell r="T636">
            <v>600</v>
          </cell>
          <cell r="U636">
            <v>640</v>
          </cell>
          <cell r="V636">
            <v>629</v>
          </cell>
          <cell r="W636">
            <v>585</v>
          </cell>
          <cell r="X636">
            <v>659</v>
          </cell>
          <cell r="Y636">
            <v>598</v>
          </cell>
          <cell r="Z636">
            <v>632</v>
          </cell>
          <cell r="AA636">
            <v>635</v>
          </cell>
          <cell r="AB636">
            <v>503</v>
          </cell>
          <cell r="AC636">
            <v>707</v>
          </cell>
          <cell r="AD636">
            <v>636</v>
          </cell>
          <cell r="AE636">
            <v>554</v>
          </cell>
          <cell r="AF636">
            <v>592</v>
          </cell>
          <cell r="AG636">
            <v>529</v>
          </cell>
          <cell r="AH636">
            <v>478</v>
          </cell>
          <cell r="AI636">
            <v>543</v>
          </cell>
          <cell r="AJ636">
            <v>611</v>
          </cell>
          <cell r="AK636">
            <v>564</v>
          </cell>
          <cell r="AL636">
            <v>670</v>
          </cell>
          <cell r="AM636">
            <v>729</v>
          </cell>
          <cell r="AN636">
            <v>593</v>
          </cell>
          <cell r="AO636">
            <v>658</v>
          </cell>
          <cell r="AP636">
            <v>631</v>
          </cell>
          <cell r="AQ636">
            <v>2582</v>
          </cell>
          <cell r="AR636">
            <v>2741</v>
          </cell>
          <cell r="AS636">
            <v>2744</v>
          </cell>
          <cell r="AT636">
            <v>2741</v>
          </cell>
          <cell r="AU636">
            <v>2041</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G637">
            <v>627</v>
          </cell>
          <cell r="H637" t="str">
            <v>Target (Budget)</v>
          </cell>
          <cell r="I637">
            <v>0</v>
          </cell>
          <cell r="J637">
            <v>0</v>
          </cell>
          <cell r="K637">
            <v>0</v>
          </cell>
          <cell r="L637">
            <v>354.42</v>
          </cell>
          <cell r="M637">
            <v>389.86</v>
          </cell>
          <cell r="N637">
            <v>425.30399999999997</v>
          </cell>
          <cell r="O637">
            <v>460.74599999999998</v>
          </cell>
          <cell r="P637">
            <v>496.18799999999999</v>
          </cell>
          <cell r="Q637">
            <v>354.42</v>
          </cell>
          <cell r="R637">
            <v>389.86200000000002</v>
          </cell>
          <cell r="S637">
            <v>425.30399999999997</v>
          </cell>
          <cell r="T637">
            <v>460.74599999999998</v>
          </cell>
          <cell r="U637">
            <v>496.18799999999999</v>
          </cell>
          <cell r="V637">
            <v>425.30399999999997</v>
          </cell>
          <cell r="W637">
            <v>354.42</v>
          </cell>
          <cell r="X637">
            <v>659</v>
          </cell>
          <cell r="Y637">
            <v>539</v>
          </cell>
          <cell r="Z637">
            <v>469</v>
          </cell>
          <cell r="AA637">
            <v>700</v>
          </cell>
          <cell r="AB637">
            <v>557</v>
          </cell>
          <cell r="AC637">
            <v>625</v>
          </cell>
          <cell r="AD637">
            <v>594</v>
          </cell>
          <cell r="AE637">
            <v>694</v>
          </cell>
          <cell r="AF637">
            <v>600</v>
          </cell>
          <cell r="AG637">
            <v>640</v>
          </cell>
          <cell r="AH637">
            <v>629</v>
          </cell>
          <cell r="AI637">
            <v>585</v>
          </cell>
          <cell r="AJ637">
            <v>659</v>
          </cell>
          <cell r="AK637">
            <v>598</v>
          </cell>
          <cell r="AL637">
            <v>469</v>
          </cell>
          <cell r="AM637">
            <v>635</v>
          </cell>
          <cell r="AN637">
            <v>503</v>
          </cell>
          <cell r="AO637">
            <v>707</v>
          </cell>
          <cell r="AP637">
            <v>636</v>
          </cell>
          <cell r="AQ637">
            <v>2400</v>
          </cell>
          <cell r="AR637">
            <v>2489</v>
          </cell>
          <cell r="AS637">
            <v>2422</v>
          </cell>
          <cell r="AT637">
            <v>2415</v>
          </cell>
          <cell r="AU637">
            <v>1861</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G638">
            <v>628</v>
          </cell>
          <cell r="H638" t="str">
            <v>Target (Budget) Variance</v>
          </cell>
          <cell r="I638">
            <v>0</v>
          </cell>
          <cell r="J638">
            <v>0</v>
          </cell>
          <cell r="K638">
            <v>0</v>
          </cell>
          <cell r="L638">
            <v>0</v>
          </cell>
          <cell r="M638">
            <v>150.02999999999997</v>
          </cell>
          <cell r="N638">
            <v>44.346000000000004</v>
          </cell>
          <cell r="O638">
            <v>239.94400000000007</v>
          </cell>
          <cell r="P638">
            <v>60.812000000000012</v>
          </cell>
          <cell r="Q638">
            <v>270.58</v>
          </cell>
          <cell r="R638">
            <v>204.13799999999998</v>
          </cell>
          <cell r="S638">
            <v>268.69600000000003</v>
          </cell>
          <cell r="T638">
            <v>139.25400000000002</v>
          </cell>
          <cell r="U638">
            <v>143.81200000000001</v>
          </cell>
          <cell r="V638">
            <v>203.69600000000003</v>
          </cell>
          <cell r="W638">
            <v>230.57999999999998</v>
          </cell>
          <cell r="X638">
            <v>0</v>
          </cell>
          <cell r="Y638">
            <v>59</v>
          </cell>
          <cell r="Z638">
            <v>163</v>
          </cell>
          <cell r="AA638">
            <v>-65</v>
          </cell>
          <cell r="AB638">
            <v>-54</v>
          </cell>
          <cell r="AC638">
            <v>82</v>
          </cell>
          <cell r="AD638">
            <v>42</v>
          </cell>
          <cell r="AE638">
            <v>-140</v>
          </cell>
          <cell r="AF638">
            <v>-8</v>
          </cell>
          <cell r="AG638">
            <v>-111</v>
          </cell>
          <cell r="AH638">
            <v>-151</v>
          </cell>
          <cell r="AI638">
            <v>-42</v>
          </cell>
          <cell r="AJ638">
            <v>-48</v>
          </cell>
          <cell r="AK638">
            <v>-34</v>
          </cell>
          <cell r="AL638">
            <v>201</v>
          </cell>
          <cell r="AM638">
            <v>94</v>
          </cell>
          <cell r="AN638">
            <v>90</v>
          </cell>
          <cell r="AO638">
            <v>-49</v>
          </cell>
          <cell r="AP638">
            <v>-5</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G639">
            <v>629</v>
          </cell>
          <cell r="H639" t="str">
            <v>Target (Budget) %Var</v>
          </cell>
          <cell r="I639">
            <v>0</v>
          </cell>
          <cell r="J639">
            <v>0</v>
          </cell>
          <cell r="K639">
            <v>0</v>
          </cell>
          <cell r="L639">
            <v>0</v>
          </cell>
          <cell r="M639">
            <v>0.38483045195711274</v>
          </cell>
          <cell r="N639">
            <v>0.10426894644771741</v>
          </cell>
          <cell r="O639">
            <v>0.52077283362199578</v>
          </cell>
          <cell r="P639">
            <v>0.12255838512821755</v>
          </cell>
          <cell r="Q639">
            <v>0.76344450087466842</v>
          </cell>
          <cell r="R639">
            <v>0.52361604875571344</v>
          </cell>
          <cell r="S639">
            <v>0.63177397814269332</v>
          </cell>
          <cell r="T639">
            <v>0.30223593910744756</v>
          </cell>
          <cell r="U639">
            <v>0.28983369206832899</v>
          </cell>
          <cell r="V639">
            <v>0.47894212140022208</v>
          </cell>
          <cell r="W639">
            <v>0.65058405281868958</v>
          </cell>
          <cell r="X639">
            <v>0</v>
          </cell>
          <cell r="Y639">
            <v>0.10946196660482375</v>
          </cell>
          <cell r="Z639">
            <v>0.34754797441364604</v>
          </cell>
          <cell r="AA639">
            <v>-9.285714285714286E-2</v>
          </cell>
          <cell r="AB639">
            <v>-9.6947935368043081E-2</v>
          </cell>
          <cell r="AC639">
            <v>0.13120000000000001</v>
          </cell>
          <cell r="AD639">
            <v>7.0707070707070704E-2</v>
          </cell>
          <cell r="AE639">
            <v>-0.20172910662824209</v>
          </cell>
          <cell r="AF639">
            <v>-1.3333333333333334E-2</v>
          </cell>
          <cell r="AG639">
            <v>-0.17343749999999999</v>
          </cell>
          <cell r="AH639">
            <v>-0.24006359300476948</v>
          </cell>
          <cell r="AI639">
            <v>-7.179487179487179E-2</v>
          </cell>
          <cell r="AJ639">
            <v>-7.2837632776934752E-2</v>
          </cell>
          <cell r="AK639">
            <v>-5.6856187290969896E-2</v>
          </cell>
          <cell r="AL639">
            <v>0.42857142857142855</v>
          </cell>
          <cell r="AM639">
            <v>0.14803149606299212</v>
          </cell>
          <cell r="AN639">
            <v>0.17892644135188868</v>
          </cell>
          <cell r="AO639">
            <v>-6.9306930693069313E-2</v>
          </cell>
          <cell r="AP639">
            <v>-7.8616352201257862E-3</v>
          </cell>
          <cell r="AQ639" t="e">
            <v>#DIV/0!</v>
          </cell>
          <cell r="AR639" t="e">
            <v>#DIV/0!</v>
          </cell>
          <cell r="AS639" t="e">
            <v>#DIV/0!</v>
          </cell>
          <cell r="AT639" t="e">
            <v>#DIV/0!</v>
          </cell>
          <cell r="AU639" t="e">
            <v>#DIV/0!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G640">
            <v>630</v>
          </cell>
          <cell r="H640" t="str">
            <v>YTD Actual</v>
          </cell>
          <cell r="I640">
            <v>0</v>
          </cell>
          <cell r="J640">
            <v>0</v>
          </cell>
          <cell r="K640">
            <v>0</v>
          </cell>
          <cell r="L640">
            <v>354.42</v>
          </cell>
          <cell r="M640">
            <v>894.31</v>
          </cell>
          <cell r="N640">
            <v>1363.96</v>
          </cell>
          <cell r="O640">
            <v>2064.65</v>
          </cell>
          <cell r="P640">
            <v>2621.65</v>
          </cell>
          <cell r="Q640">
            <v>3246.65</v>
          </cell>
          <cell r="R640">
            <v>3840.65</v>
          </cell>
          <cell r="S640">
            <v>4534.6499999999996</v>
          </cell>
          <cell r="T640">
            <v>5134.6499999999996</v>
          </cell>
          <cell r="U640">
            <v>5774.65</v>
          </cell>
          <cell r="V640">
            <v>6403.65</v>
          </cell>
          <cell r="W640">
            <v>6988.65</v>
          </cell>
          <cell r="X640">
            <v>659</v>
          </cell>
          <cell r="Y640">
            <v>1257</v>
          </cell>
          <cell r="Z640">
            <v>1889</v>
          </cell>
          <cell r="AA640">
            <v>2524</v>
          </cell>
          <cell r="AB640">
            <v>3027</v>
          </cell>
          <cell r="AC640">
            <v>3734</v>
          </cell>
          <cell r="AD640">
            <v>4370</v>
          </cell>
          <cell r="AE640">
            <v>4924</v>
          </cell>
          <cell r="AF640">
            <v>5516</v>
          </cell>
          <cell r="AG640">
            <v>6045</v>
          </cell>
          <cell r="AH640">
            <v>6523</v>
          </cell>
          <cell r="AI640">
            <v>7066</v>
          </cell>
          <cell r="AJ640">
            <v>611</v>
          </cell>
          <cell r="AK640">
            <v>1175</v>
          </cell>
          <cell r="AL640">
            <v>1845</v>
          </cell>
          <cell r="AM640">
            <v>2574</v>
          </cell>
          <cell r="AN640">
            <v>3167</v>
          </cell>
          <cell r="AO640">
            <v>3825</v>
          </cell>
          <cell r="AP640">
            <v>4456</v>
          </cell>
          <cell r="AQ640">
            <v>4456</v>
          </cell>
          <cell r="AR640">
            <v>4456</v>
          </cell>
          <cell r="AS640">
            <v>4456</v>
          </cell>
          <cell r="AT640">
            <v>4456</v>
          </cell>
          <cell r="AU640">
            <v>4456</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G641">
            <v>631</v>
          </cell>
          <cell r="H641" t="str">
            <v>YTD Target (Budget)</v>
          </cell>
          <cell r="I641">
            <v>0</v>
          </cell>
          <cell r="J641">
            <v>0</v>
          </cell>
          <cell r="K641">
            <v>0</v>
          </cell>
          <cell r="L641">
            <v>354.42</v>
          </cell>
          <cell r="M641">
            <v>744.28</v>
          </cell>
          <cell r="N641">
            <v>1169.5839999999998</v>
          </cell>
          <cell r="O641">
            <v>1630.33</v>
          </cell>
          <cell r="P641">
            <v>2126.518</v>
          </cell>
          <cell r="Q641">
            <v>2480.9380000000001</v>
          </cell>
          <cell r="R641">
            <v>2870.8</v>
          </cell>
          <cell r="S641">
            <v>3296.1040000000003</v>
          </cell>
          <cell r="T641">
            <v>3756.8500000000004</v>
          </cell>
          <cell r="U641">
            <v>4253.0380000000005</v>
          </cell>
          <cell r="V641">
            <v>4678.3420000000006</v>
          </cell>
          <cell r="W641">
            <v>5032.7620000000006</v>
          </cell>
          <cell r="X641">
            <v>659</v>
          </cell>
          <cell r="Y641">
            <v>1198</v>
          </cell>
          <cell r="Z641">
            <v>1667</v>
          </cell>
          <cell r="AA641">
            <v>2367</v>
          </cell>
          <cell r="AB641">
            <v>2924</v>
          </cell>
          <cell r="AC641">
            <v>3549</v>
          </cell>
          <cell r="AD641">
            <v>4143</v>
          </cell>
          <cell r="AE641">
            <v>4837</v>
          </cell>
          <cell r="AF641">
            <v>5437</v>
          </cell>
          <cell r="AG641">
            <v>6077</v>
          </cell>
          <cell r="AH641">
            <v>6706</v>
          </cell>
          <cell r="AI641">
            <v>7291</v>
          </cell>
          <cell r="AJ641">
            <v>659</v>
          </cell>
          <cell r="AK641">
            <v>1257</v>
          </cell>
          <cell r="AL641">
            <v>1726</v>
          </cell>
          <cell r="AM641">
            <v>2361</v>
          </cell>
          <cell r="AN641">
            <v>2864</v>
          </cell>
          <cell r="AO641">
            <v>3571</v>
          </cell>
          <cell r="AP641">
            <v>4207</v>
          </cell>
          <cell r="AQ641">
            <v>4207</v>
          </cell>
          <cell r="AR641">
            <v>4207</v>
          </cell>
          <cell r="AS641">
            <v>4207</v>
          </cell>
          <cell r="AT641">
            <v>4207</v>
          </cell>
          <cell r="AU641">
            <v>4207</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G642">
            <v>632</v>
          </cell>
          <cell r="H642" t="str">
            <v>YTD Target (Budget) Var</v>
          </cell>
          <cell r="I642">
            <v>0</v>
          </cell>
          <cell r="J642">
            <v>0</v>
          </cell>
          <cell r="K642">
            <v>0</v>
          </cell>
          <cell r="L642">
            <v>0</v>
          </cell>
          <cell r="M642">
            <v>150.02999999999997</v>
          </cell>
          <cell r="N642">
            <v>194.3760000000002</v>
          </cell>
          <cell r="O642">
            <v>434.32000000000016</v>
          </cell>
          <cell r="P642">
            <v>495.13200000000006</v>
          </cell>
          <cell r="Q642">
            <v>765.71199999999999</v>
          </cell>
          <cell r="R642">
            <v>969.84999999999991</v>
          </cell>
          <cell r="S642">
            <v>1238.5459999999994</v>
          </cell>
          <cell r="T642">
            <v>1377.7999999999993</v>
          </cell>
          <cell r="U642">
            <v>1521.6119999999992</v>
          </cell>
          <cell r="V642">
            <v>1725.3079999999991</v>
          </cell>
          <cell r="W642">
            <v>1955.887999999999</v>
          </cell>
          <cell r="X642">
            <v>0</v>
          </cell>
          <cell r="Y642">
            <v>59</v>
          </cell>
          <cell r="Z642">
            <v>222</v>
          </cell>
          <cell r="AA642">
            <v>157</v>
          </cell>
          <cell r="AB642">
            <v>103</v>
          </cell>
          <cell r="AC642">
            <v>185</v>
          </cell>
          <cell r="AD642">
            <v>227</v>
          </cell>
          <cell r="AE642">
            <v>87</v>
          </cell>
          <cell r="AF642">
            <v>79</v>
          </cell>
          <cell r="AG642">
            <v>-32</v>
          </cell>
          <cell r="AH642">
            <v>-183</v>
          </cell>
          <cell r="AI642">
            <v>-225</v>
          </cell>
          <cell r="AJ642">
            <v>-48</v>
          </cell>
          <cell r="AK642">
            <v>-82</v>
          </cell>
          <cell r="AL642">
            <v>119</v>
          </cell>
          <cell r="AM642">
            <v>213</v>
          </cell>
          <cell r="AN642">
            <v>303</v>
          </cell>
          <cell r="AO642">
            <v>254</v>
          </cell>
          <cell r="AP642">
            <v>249</v>
          </cell>
          <cell r="AQ642">
            <v>249</v>
          </cell>
          <cell r="AR642">
            <v>249</v>
          </cell>
          <cell r="AS642">
            <v>249</v>
          </cell>
          <cell r="AT642">
            <v>249</v>
          </cell>
          <cell r="AU642">
            <v>249</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G643">
            <v>633</v>
          </cell>
          <cell r="H643" t="str">
            <v>YTD %Var</v>
          </cell>
          <cell r="I643">
            <v>0</v>
          </cell>
          <cell r="J643">
            <v>0</v>
          </cell>
          <cell r="K643">
            <v>0</v>
          </cell>
          <cell r="L643">
            <v>0</v>
          </cell>
          <cell r="M643">
            <v>0.20157736335787604</v>
          </cell>
          <cell r="N643">
            <v>0.16619242397296835</v>
          </cell>
          <cell r="O643">
            <v>0.26640005397680233</v>
          </cell>
          <cell r="P643">
            <v>0.23283696634592327</v>
          </cell>
          <cell r="Q643">
            <v>0.30863810381396067</v>
          </cell>
          <cell r="R643">
            <v>0.33783265988574607</v>
          </cell>
          <cell r="S643">
            <v>0.37576059493268393</v>
          </cell>
          <cell r="T643">
            <v>0.3667434153612732</v>
          </cell>
          <cell r="U643">
            <v>0.35777061009095124</v>
          </cell>
          <cell r="V643">
            <v>0.36878620673734391</v>
          </cell>
          <cell r="W643">
            <v>0.38863113336176014</v>
          </cell>
          <cell r="X643">
            <v>0</v>
          </cell>
          <cell r="Y643">
            <v>4.9248747913188645E-2</v>
          </cell>
          <cell r="Z643">
            <v>0.13317336532693461</v>
          </cell>
          <cell r="AA643">
            <v>6.632868610054922E-2</v>
          </cell>
          <cell r="AB643">
            <v>3.5225718194254449E-2</v>
          </cell>
          <cell r="AC643">
            <v>5.2127359819667513E-2</v>
          </cell>
          <cell r="AD643">
            <v>5.4791214096065653E-2</v>
          </cell>
          <cell r="AE643">
            <v>1.7986355178829853E-2</v>
          </cell>
          <cell r="AF643">
            <v>1.4530071730733861E-2</v>
          </cell>
          <cell r="AG643">
            <v>-5.2657561296692449E-3</v>
          </cell>
          <cell r="AH643">
            <v>-2.7288994929913511E-2</v>
          </cell>
          <cell r="AI643">
            <v>-3.0859964339596764E-2</v>
          </cell>
          <cell r="AJ643">
            <v>-7.2837632776934752E-2</v>
          </cell>
          <cell r="AK643">
            <v>-6.523468575974542E-2</v>
          </cell>
          <cell r="AL643">
            <v>6.8945538818076482E-2</v>
          </cell>
          <cell r="AM643">
            <v>9.0216010165184241E-2</v>
          </cell>
          <cell r="AN643">
            <v>0.10579608938547486</v>
          </cell>
          <cell r="AO643">
            <v>7.1128535424250905E-2</v>
          </cell>
          <cell r="AP643">
            <v>5.9187069170430234E-2</v>
          </cell>
          <cell r="AQ643">
            <v>5.9187069170430234E-2</v>
          </cell>
          <cell r="AR643">
            <v>5.9187069170430234E-2</v>
          </cell>
          <cell r="AS643">
            <v>5.9187069170430234E-2</v>
          </cell>
          <cell r="AT643">
            <v>5.9187069170430234E-2</v>
          </cell>
          <cell r="AU643">
            <v>5.9187069170430234E-2</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G644">
            <v>634</v>
          </cell>
          <cell r="H644" t="str">
            <v>4 Month Actual</v>
          </cell>
          <cell r="I644">
            <v>0</v>
          </cell>
          <cell r="J644">
            <v>0</v>
          </cell>
          <cell r="K644">
            <v>0</v>
          </cell>
          <cell r="L644">
            <v>354.42</v>
          </cell>
          <cell r="M644">
            <v>894.31</v>
          </cell>
          <cell r="N644">
            <v>1363.96</v>
          </cell>
          <cell r="O644">
            <v>2064.65</v>
          </cell>
          <cell r="P644">
            <v>2267.23</v>
          </cell>
          <cell r="Q644">
            <v>2352.34</v>
          </cell>
          <cell r="R644">
            <v>2476.69</v>
          </cell>
          <cell r="S644">
            <v>2470</v>
          </cell>
          <cell r="T644">
            <v>2513</v>
          </cell>
          <cell r="U644">
            <v>2528</v>
          </cell>
          <cell r="V644">
            <v>2563</v>
          </cell>
          <cell r="W644">
            <v>2454</v>
          </cell>
          <cell r="X644">
            <v>2513</v>
          </cell>
          <cell r="Y644">
            <v>2471</v>
          </cell>
          <cell r="Z644">
            <v>2474</v>
          </cell>
          <cell r="AA644">
            <v>2524</v>
          </cell>
          <cell r="AB644">
            <v>2368</v>
          </cell>
          <cell r="AC644">
            <v>2477</v>
          </cell>
          <cell r="AD644">
            <v>2481</v>
          </cell>
          <cell r="AE644">
            <v>2400</v>
          </cell>
          <cell r="AF644">
            <v>2489</v>
          </cell>
          <cell r="AG644">
            <v>2311</v>
          </cell>
          <cell r="AH644">
            <v>2153</v>
          </cell>
          <cell r="AI644">
            <v>2142</v>
          </cell>
          <cell r="AJ644">
            <v>2161</v>
          </cell>
          <cell r="AK644">
            <v>2196</v>
          </cell>
          <cell r="AL644">
            <v>2388</v>
          </cell>
          <cell r="AM644">
            <v>2574</v>
          </cell>
          <cell r="AN644">
            <v>2556</v>
          </cell>
          <cell r="AO644">
            <v>2650</v>
          </cell>
          <cell r="AP644">
            <v>2611</v>
          </cell>
          <cell r="AQ644">
            <v>1882</v>
          </cell>
          <cell r="AR644">
            <v>1289</v>
          </cell>
          <cell r="AS644">
            <v>631</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G645">
            <v>635</v>
          </cell>
          <cell r="H645" t="str">
            <v>4 Month Target (Budget)</v>
          </cell>
          <cell r="I645">
            <v>0</v>
          </cell>
          <cell r="J645">
            <v>0</v>
          </cell>
          <cell r="K645">
            <v>0</v>
          </cell>
          <cell r="L645">
            <v>354.42</v>
          </cell>
          <cell r="M645">
            <v>744.28</v>
          </cell>
          <cell r="N645">
            <v>1169.5839999999998</v>
          </cell>
          <cell r="O645">
            <v>1630.33</v>
          </cell>
          <cell r="P645">
            <v>1772.098</v>
          </cell>
          <cell r="Q645">
            <v>1736.6579999999999</v>
          </cell>
          <cell r="R645">
            <v>1701.2160000000001</v>
          </cell>
          <cell r="S645">
            <v>1665.7739999999999</v>
          </cell>
          <cell r="T645">
            <v>1630.3319999999999</v>
          </cell>
          <cell r="U645">
            <v>1772.1</v>
          </cell>
          <cell r="V645">
            <v>1807.5419999999999</v>
          </cell>
          <cell r="W645">
            <v>1736.6579999999999</v>
          </cell>
          <cell r="X645">
            <v>1934.912</v>
          </cell>
          <cell r="Y645">
            <v>1977.7239999999999</v>
          </cell>
          <cell r="Z645">
            <v>2021.42</v>
          </cell>
          <cell r="AA645">
            <v>2367</v>
          </cell>
          <cell r="AB645">
            <v>2265</v>
          </cell>
          <cell r="AC645">
            <v>2351</v>
          </cell>
          <cell r="AD645">
            <v>2476</v>
          </cell>
          <cell r="AE645">
            <v>2470</v>
          </cell>
          <cell r="AF645">
            <v>2513</v>
          </cell>
          <cell r="AG645">
            <v>2528</v>
          </cell>
          <cell r="AH645">
            <v>2563</v>
          </cell>
          <cell r="AI645">
            <v>2454</v>
          </cell>
          <cell r="AJ645">
            <v>2513</v>
          </cell>
          <cell r="AK645">
            <v>2471</v>
          </cell>
          <cell r="AL645">
            <v>2311</v>
          </cell>
          <cell r="AM645">
            <v>2361</v>
          </cell>
          <cell r="AN645">
            <v>2205</v>
          </cell>
          <cell r="AO645">
            <v>2314</v>
          </cell>
          <cell r="AP645">
            <v>2481</v>
          </cell>
          <cell r="AQ645">
            <v>1846</v>
          </cell>
          <cell r="AR645">
            <v>1343</v>
          </cell>
          <cell r="AS645">
            <v>636</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G646">
            <v>636</v>
          </cell>
          <cell r="H646" t="str">
            <v>4 Month Target (Budget) Var</v>
          </cell>
          <cell r="I646">
            <v>0</v>
          </cell>
          <cell r="J646">
            <v>0</v>
          </cell>
          <cell r="K646">
            <v>0</v>
          </cell>
          <cell r="L646">
            <v>0</v>
          </cell>
          <cell r="M646">
            <v>150.02999999999997</v>
          </cell>
          <cell r="N646">
            <v>194.3760000000002</v>
          </cell>
          <cell r="O646">
            <v>434.32000000000016</v>
          </cell>
          <cell r="P646">
            <v>495.13200000000006</v>
          </cell>
          <cell r="Q646">
            <v>615.68200000000024</v>
          </cell>
          <cell r="R646">
            <v>775.47399999999993</v>
          </cell>
          <cell r="S646">
            <v>804.22600000000011</v>
          </cell>
          <cell r="T646">
            <v>882.66800000000012</v>
          </cell>
          <cell r="U646">
            <v>755.90000000000009</v>
          </cell>
          <cell r="V646">
            <v>755.45800000000008</v>
          </cell>
          <cell r="W646">
            <v>717.3420000000001</v>
          </cell>
          <cell r="X646">
            <v>578.08799999999997</v>
          </cell>
          <cell r="Y646">
            <v>493.27600000000007</v>
          </cell>
          <cell r="Z646">
            <v>452.57999999999993</v>
          </cell>
          <cell r="AA646">
            <v>157</v>
          </cell>
          <cell r="AB646">
            <v>103</v>
          </cell>
          <cell r="AC646">
            <v>126</v>
          </cell>
          <cell r="AD646">
            <v>5</v>
          </cell>
          <cell r="AE646">
            <v>-70</v>
          </cell>
          <cell r="AF646">
            <v>-24</v>
          </cell>
          <cell r="AG646">
            <v>-217</v>
          </cell>
          <cell r="AH646">
            <v>-410</v>
          </cell>
          <cell r="AI646">
            <v>-312</v>
          </cell>
          <cell r="AJ646">
            <v>-352</v>
          </cell>
          <cell r="AK646">
            <v>-275</v>
          </cell>
          <cell r="AL646">
            <v>77</v>
          </cell>
          <cell r="AM646">
            <v>213</v>
          </cell>
          <cell r="AN646">
            <v>351</v>
          </cell>
          <cell r="AO646">
            <v>336</v>
          </cell>
          <cell r="AP646">
            <v>130</v>
          </cell>
          <cell r="AQ646">
            <v>36</v>
          </cell>
          <cell r="AR646">
            <v>-54</v>
          </cell>
          <cell r="AS646">
            <v>-5</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G647">
            <v>637</v>
          </cell>
          <cell r="H647" t="str">
            <v>4 Month Target (Budget) % Var</v>
          </cell>
          <cell r="I647">
            <v>0</v>
          </cell>
          <cell r="J647">
            <v>0</v>
          </cell>
          <cell r="K647">
            <v>0</v>
          </cell>
          <cell r="L647">
            <v>0</v>
          </cell>
          <cell r="M647">
            <v>0.20157736335787604</v>
          </cell>
          <cell r="N647">
            <v>0.16619242397296835</v>
          </cell>
          <cell r="O647">
            <v>0.26640005397680233</v>
          </cell>
          <cell r="P647">
            <v>0.27940441217133594</v>
          </cell>
          <cell r="Q647">
            <v>0.35452115500000592</v>
          </cell>
          <cell r="R647">
            <v>0.4558351202904275</v>
          </cell>
          <cell r="S647">
            <v>0.48279418456525325</v>
          </cell>
          <cell r="T647">
            <v>0.54140383676453641</v>
          </cell>
          <cell r="U647">
            <v>0.42655606342757191</v>
          </cell>
          <cell r="V647">
            <v>0.41794768807585114</v>
          </cell>
          <cell r="W647">
            <v>0.4130588751498569</v>
          </cell>
          <cell r="X647">
            <v>0.29876707571197036</v>
          </cell>
          <cell r="Y647">
            <v>0.24941599535627826</v>
          </cell>
          <cell r="Z647">
            <v>0.22389211544359902</v>
          </cell>
          <cell r="AA647">
            <v>6.632868610054922E-2</v>
          </cell>
          <cell r="AB647">
            <v>4.5474613686534215E-2</v>
          </cell>
          <cell r="AC647">
            <v>5.359421522756274E-2</v>
          </cell>
          <cell r="AD647">
            <v>2.0193861066235864E-3</v>
          </cell>
          <cell r="AE647">
            <v>-2.8340080971659919E-2</v>
          </cell>
          <cell r="AF647">
            <v>-9.5503382411460409E-3</v>
          </cell>
          <cell r="AG647">
            <v>-8.5838607594936708E-2</v>
          </cell>
          <cell r="AH647">
            <v>-0.15996878657822863</v>
          </cell>
          <cell r="AI647">
            <v>-0.12713936430317849</v>
          </cell>
          <cell r="AJ647">
            <v>-0.1400716275368086</v>
          </cell>
          <cell r="AK647">
            <v>-0.1112909753136382</v>
          </cell>
          <cell r="AL647">
            <v>3.3318909562959756E-2</v>
          </cell>
          <cell r="AM647">
            <v>9.0216010165184241E-2</v>
          </cell>
          <cell r="AN647">
            <v>0.15918367346938775</v>
          </cell>
          <cell r="AO647">
            <v>0.14520311149524634</v>
          </cell>
          <cell r="AP647">
            <v>5.2398226521563888E-2</v>
          </cell>
          <cell r="AQ647">
            <v>1.9501625135427952E-2</v>
          </cell>
          <cell r="AR647">
            <v>-4.0208488458674606E-2</v>
          </cell>
          <cell r="AS647">
            <v>-7.8616352201257862E-3</v>
          </cell>
          <cell r="AT647" t="e">
            <v>#DIV/0!</v>
          </cell>
          <cell r="AU647" t="e">
            <v>#DIV/0!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G648">
            <v>638</v>
          </cell>
          <cell r="H648" t="str">
            <v>Actual</v>
          </cell>
          <cell r="I648">
            <v>0</v>
          </cell>
          <cell r="J648">
            <v>0</v>
          </cell>
          <cell r="K648">
            <v>0</v>
          </cell>
          <cell r="L648">
            <v>42</v>
          </cell>
          <cell r="M648">
            <v>49</v>
          </cell>
          <cell r="N648">
            <v>75</v>
          </cell>
          <cell r="O648">
            <v>99</v>
          </cell>
          <cell r="P648">
            <v>84</v>
          </cell>
          <cell r="Q648">
            <v>40</v>
          </cell>
          <cell r="R648">
            <v>33</v>
          </cell>
          <cell r="S648">
            <v>56</v>
          </cell>
          <cell r="T648">
            <v>89</v>
          </cell>
          <cell r="U648">
            <v>95</v>
          </cell>
          <cell r="V648">
            <v>41</v>
          </cell>
          <cell r="W648">
            <v>21</v>
          </cell>
          <cell r="X648">
            <v>31</v>
          </cell>
          <cell r="Y648">
            <v>43</v>
          </cell>
          <cell r="Z648">
            <v>76</v>
          </cell>
          <cell r="AA648">
            <v>95</v>
          </cell>
          <cell r="AB648">
            <v>84</v>
          </cell>
          <cell r="AC648">
            <v>21</v>
          </cell>
          <cell r="AD648">
            <v>42</v>
          </cell>
          <cell r="AE648">
            <v>43</v>
          </cell>
          <cell r="AF648">
            <v>91</v>
          </cell>
          <cell r="AG648">
            <v>80</v>
          </cell>
          <cell r="AH648">
            <v>53</v>
          </cell>
          <cell r="AI648">
            <v>37</v>
          </cell>
          <cell r="AJ648">
            <v>41</v>
          </cell>
          <cell r="AK648">
            <v>49</v>
          </cell>
          <cell r="AL648">
            <v>65</v>
          </cell>
          <cell r="AM648">
            <v>110</v>
          </cell>
          <cell r="AN648">
            <v>72</v>
          </cell>
          <cell r="AO648">
            <v>20</v>
          </cell>
          <cell r="AP648">
            <v>37</v>
          </cell>
          <cell r="AQ648">
            <v>5285</v>
          </cell>
          <cell r="AR648">
            <v>5293</v>
          </cell>
          <cell r="AS648">
            <v>5366</v>
          </cell>
          <cell r="AT648">
            <v>5364</v>
          </cell>
          <cell r="AU648">
            <v>208</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G649">
            <v>639</v>
          </cell>
          <cell r="H649" t="str">
            <v>Target (Budget)</v>
          </cell>
          <cell r="I649">
            <v>0</v>
          </cell>
          <cell r="J649">
            <v>0</v>
          </cell>
          <cell r="K649">
            <v>0</v>
          </cell>
          <cell r="L649">
            <v>36</v>
          </cell>
          <cell r="M649">
            <v>39.6</v>
          </cell>
          <cell r="N649">
            <v>43.2</v>
          </cell>
          <cell r="O649">
            <v>46.8</v>
          </cell>
          <cell r="P649">
            <v>50.4</v>
          </cell>
          <cell r="Q649">
            <v>36</v>
          </cell>
          <cell r="R649">
            <v>39.6</v>
          </cell>
          <cell r="S649">
            <v>43.2</v>
          </cell>
          <cell r="T649">
            <v>46.8</v>
          </cell>
          <cell r="U649">
            <v>50.4</v>
          </cell>
          <cell r="V649">
            <v>43.2</v>
          </cell>
          <cell r="W649">
            <v>36</v>
          </cell>
          <cell r="X649">
            <v>31</v>
          </cell>
          <cell r="Y649">
            <v>49</v>
          </cell>
          <cell r="Z649">
            <v>75</v>
          </cell>
          <cell r="AA649">
            <v>99</v>
          </cell>
          <cell r="AB649">
            <v>84</v>
          </cell>
          <cell r="AC649">
            <v>40</v>
          </cell>
          <cell r="AD649">
            <v>33</v>
          </cell>
          <cell r="AE649">
            <v>56</v>
          </cell>
          <cell r="AF649">
            <v>89</v>
          </cell>
          <cell r="AG649">
            <v>95</v>
          </cell>
          <cell r="AH649">
            <v>41</v>
          </cell>
          <cell r="AI649">
            <v>21</v>
          </cell>
          <cell r="AJ649">
            <v>31</v>
          </cell>
          <cell r="AK649">
            <v>43</v>
          </cell>
          <cell r="AL649">
            <v>75</v>
          </cell>
          <cell r="AM649">
            <v>95</v>
          </cell>
          <cell r="AN649">
            <v>84</v>
          </cell>
          <cell r="AO649">
            <v>21</v>
          </cell>
          <cell r="AP649">
            <v>42</v>
          </cell>
          <cell r="AQ649">
            <v>4908</v>
          </cell>
          <cell r="AR649">
            <v>4915</v>
          </cell>
          <cell r="AS649">
            <v>4989</v>
          </cell>
          <cell r="AT649">
            <v>4988</v>
          </cell>
          <cell r="AU649">
            <v>227</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G650">
            <v>640</v>
          </cell>
          <cell r="H650" t="str">
            <v>Target (Budget) Variance</v>
          </cell>
          <cell r="I650">
            <v>0</v>
          </cell>
          <cell r="J650">
            <v>0</v>
          </cell>
          <cell r="K650">
            <v>0</v>
          </cell>
          <cell r="L650">
            <v>6</v>
          </cell>
          <cell r="M650">
            <v>9.3999999999999986</v>
          </cell>
          <cell r="N650">
            <v>31.799999999999997</v>
          </cell>
          <cell r="O650">
            <v>52.2</v>
          </cell>
          <cell r="P650">
            <v>33.6</v>
          </cell>
          <cell r="Q650">
            <v>4</v>
          </cell>
          <cell r="R650">
            <v>-6.6000000000000014</v>
          </cell>
          <cell r="S650">
            <v>12.799999999999997</v>
          </cell>
          <cell r="T650">
            <v>42.2</v>
          </cell>
          <cell r="U650">
            <v>44.6</v>
          </cell>
          <cell r="V650">
            <v>-2.2000000000000028</v>
          </cell>
          <cell r="W650">
            <v>-15</v>
          </cell>
          <cell r="X650">
            <v>0</v>
          </cell>
          <cell r="Y650">
            <v>-6</v>
          </cell>
          <cell r="Z650">
            <v>1</v>
          </cell>
          <cell r="AA650">
            <v>-4</v>
          </cell>
          <cell r="AB650">
            <v>0</v>
          </cell>
          <cell r="AC650">
            <v>-19</v>
          </cell>
          <cell r="AD650">
            <v>9</v>
          </cell>
          <cell r="AE650">
            <v>-13</v>
          </cell>
          <cell r="AF650">
            <v>2</v>
          </cell>
          <cell r="AG650">
            <v>-15</v>
          </cell>
          <cell r="AH650">
            <v>12</v>
          </cell>
          <cell r="AI650">
            <v>16</v>
          </cell>
          <cell r="AJ650">
            <v>10</v>
          </cell>
          <cell r="AK650">
            <v>6</v>
          </cell>
          <cell r="AL650">
            <v>-10</v>
          </cell>
          <cell r="AM650">
            <v>15</v>
          </cell>
          <cell r="AN650">
            <v>-12</v>
          </cell>
          <cell r="AO650">
            <v>-1</v>
          </cell>
          <cell r="AP650">
            <v>-5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G651">
            <v>641</v>
          </cell>
          <cell r="H651" t="str">
            <v>Target (Budget) %Var</v>
          </cell>
          <cell r="I651">
            <v>0</v>
          </cell>
          <cell r="J651">
            <v>0</v>
          </cell>
          <cell r="K651">
            <v>0</v>
          </cell>
          <cell r="L651">
            <v>0.16666666666666666</v>
          </cell>
          <cell r="M651">
            <v>0.23737373737373732</v>
          </cell>
          <cell r="N651">
            <v>0.73611111111111105</v>
          </cell>
          <cell r="O651">
            <v>1.1153846153846154</v>
          </cell>
          <cell r="P651">
            <v>0.66666666666666674</v>
          </cell>
          <cell r="Q651">
            <v>0.1111111111111111</v>
          </cell>
          <cell r="R651">
            <v>-0.16666666666666669</v>
          </cell>
          <cell r="S651">
            <v>0.29629629629629622</v>
          </cell>
          <cell r="T651">
            <v>0.90170940170940184</v>
          </cell>
          <cell r="U651">
            <v>0.884920634920635</v>
          </cell>
          <cell r="V651">
            <v>-5.0925925925925986E-2</v>
          </cell>
          <cell r="W651">
            <v>-0.41666666666666669</v>
          </cell>
          <cell r="X651">
            <v>0</v>
          </cell>
          <cell r="Y651">
            <v>-0.12244897959183673</v>
          </cell>
          <cell r="Z651">
            <v>1.3333333333333334E-2</v>
          </cell>
          <cell r="AA651">
            <v>-4.0404040404040407E-2</v>
          </cell>
          <cell r="AB651">
            <v>0</v>
          </cell>
          <cell r="AC651">
            <v>-0.47499999999999998</v>
          </cell>
          <cell r="AD651">
            <v>0.27272727272727271</v>
          </cell>
          <cell r="AE651">
            <v>-0.23214285714285715</v>
          </cell>
          <cell r="AF651">
            <v>2.247191011235955E-2</v>
          </cell>
          <cell r="AG651">
            <v>-0.15789473684210525</v>
          </cell>
          <cell r="AH651">
            <v>0.29268292682926828</v>
          </cell>
          <cell r="AI651">
            <v>0.76190476190476186</v>
          </cell>
          <cell r="AJ651">
            <v>0.32258064516129031</v>
          </cell>
          <cell r="AK651">
            <v>0.13953488372093023</v>
          </cell>
          <cell r="AL651">
            <v>-0.13333333333333333</v>
          </cell>
          <cell r="AM651">
            <v>0.15789473684210525</v>
          </cell>
          <cell r="AN651">
            <v>-0.14285714285714285</v>
          </cell>
          <cell r="AO651">
            <v>-4.7619047619047616E-2</v>
          </cell>
          <cell r="AP651">
            <v>-0.11904761904761904</v>
          </cell>
          <cell r="AQ651" t="e">
            <v>#DIV/0!</v>
          </cell>
          <cell r="AR651" t="e">
            <v>#DIV/0!</v>
          </cell>
          <cell r="AS651" t="e">
            <v>#DIV/0!</v>
          </cell>
          <cell r="AT651" t="e">
            <v>#DIV/0!</v>
          </cell>
          <cell r="AU651" t="e">
            <v>#DIV/0!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G652">
            <v>642</v>
          </cell>
          <cell r="H652" t="str">
            <v>YTD Actual</v>
          </cell>
          <cell r="I652">
            <v>0</v>
          </cell>
          <cell r="J652">
            <v>0</v>
          </cell>
          <cell r="K652">
            <v>0</v>
          </cell>
          <cell r="L652">
            <v>42</v>
          </cell>
          <cell r="M652">
            <v>91</v>
          </cell>
          <cell r="N652">
            <v>166</v>
          </cell>
          <cell r="O652">
            <v>265</v>
          </cell>
          <cell r="P652">
            <v>349</v>
          </cell>
          <cell r="Q652">
            <v>389</v>
          </cell>
          <cell r="R652">
            <v>422</v>
          </cell>
          <cell r="S652">
            <v>478</v>
          </cell>
          <cell r="T652">
            <v>567</v>
          </cell>
          <cell r="U652">
            <v>662</v>
          </cell>
          <cell r="V652">
            <v>703</v>
          </cell>
          <cell r="W652">
            <v>724</v>
          </cell>
          <cell r="X652">
            <v>31</v>
          </cell>
          <cell r="Y652">
            <v>74</v>
          </cell>
          <cell r="Z652">
            <v>150</v>
          </cell>
          <cell r="AA652">
            <v>245</v>
          </cell>
          <cell r="AB652">
            <v>329</v>
          </cell>
          <cell r="AC652">
            <v>350</v>
          </cell>
          <cell r="AD652">
            <v>392</v>
          </cell>
          <cell r="AE652">
            <v>435</v>
          </cell>
          <cell r="AF652">
            <v>526</v>
          </cell>
          <cell r="AG652">
            <v>606</v>
          </cell>
          <cell r="AH652">
            <v>659</v>
          </cell>
          <cell r="AI652">
            <v>696</v>
          </cell>
          <cell r="AJ652">
            <v>41</v>
          </cell>
          <cell r="AK652">
            <v>90</v>
          </cell>
          <cell r="AL652">
            <v>155</v>
          </cell>
          <cell r="AM652">
            <v>265</v>
          </cell>
          <cell r="AN652">
            <v>337</v>
          </cell>
          <cell r="AO652">
            <v>357</v>
          </cell>
          <cell r="AP652">
            <v>394</v>
          </cell>
          <cell r="AQ652">
            <v>394</v>
          </cell>
          <cell r="AR652">
            <v>394</v>
          </cell>
          <cell r="AS652">
            <v>394</v>
          </cell>
          <cell r="AT652">
            <v>394</v>
          </cell>
          <cell r="AU652">
            <v>394</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G653">
            <v>643</v>
          </cell>
          <cell r="H653" t="str">
            <v>YTD Target (Budget)</v>
          </cell>
          <cell r="I653">
            <v>0</v>
          </cell>
          <cell r="J653">
            <v>0</v>
          </cell>
          <cell r="K653">
            <v>0</v>
          </cell>
          <cell r="L653">
            <v>36</v>
          </cell>
          <cell r="M653">
            <v>75.599999999999994</v>
          </cell>
          <cell r="N653">
            <v>118.8</v>
          </cell>
          <cell r="O653">
            <v>165.6</v>
          </cell>
          <cell r="P653">
            <v>216</v>
          </cell>
          <cell r="Q653">
            <v>252</v>
          </cell>
          <cell r="R653">
            <v>291.60000000000002</v>
          </cell>
          <cell r="S653">
            <v>334.8</v>
          </cell>
          <cell r="T653">
            <v>381.6</v>
          </cell>
          <cell r="U653">
            <v>432</v>
          </cell>
          <cell r="V653">
            <v>475.2</v>
          </cell>
          <cell r="W653">
            <v>511.2</v>
          </cell>
          <cell r="X653">
            <v>31</v>
          </cell>
          <cell r="Y653">
            <v>80</v>
          </cell>
          <cell r="Z653">
            <v>155</v>
          </cell>
          <cell r="AA653">
            <v>254</v>
          </cell>
          <cell r="AB653">
            <v>338</v>
          </cell>
          <cell r="AC653">
            <v>378</v>
          </cell>
          <cell r="AD653">
            <v>411</v>
          </cell>
          <cell r="AE653">
            <v>467</v>
          </cell>
          <cell r="AF653">
            <v>556</v>
          </cell>
          <cell r="AG653">
            <v>651</v>
          </cell>
          <cell r="AH653">
            <v>692</v>
          </cell>
          <cell r="AI653">
            <v>713</v>
          </cell>
          <cell r="AJ653">
            <v>31</v>
          </cell>
          <cell r="AK653">
            <v>74</v>
          </cell>
          <cell r="AL653">
            <v>149</v>
          </cell>
          <cell r="AM653">
            <v>244</v>
          </cell>
          <cell r="AN653">
            <v>328</v>
          </cell>
          <cell r="AO653">
            <v>349</v>
          </cell>
          <cell r="AP653">
            <v>391</v>
          </cell>
          <cell r="AQ653">
            <v>391</v>
          </cell>
          <cell r="AR653">
            <v>391</v>
          </cell>
          <cell r="AS653">
            <v>391</v>
          </cell>
          <cell r="AT653">
            <v>391</v>
          </cell>
          <cell r="AU653">
            <v>391</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G654">
            <v>644</v>
          </cell>
          <cell r="H654" t="str">
            <v>YTD Target (Budget) Var</v>
          </cell>
          <cell r="I654">
            <v>0</v>
          </cell>
          <cell r="J654">
            <v>0</v>
          </cell>
          <cell r="K654">
            <v>0</v>
          </cell>
          <cell r="L654">
            <v>6</v>
          </cell>
          <cell r="M654">
            <v>15.400000000000006</v>
          </cell>
          <cell r="N654">
            <v>47.2</v>
          </cell>
          <cell r="O654">
            <v>99.4</v>
          </cell>
          <cell r="P654">
            <v>133</v>
          </cell>
          <cell r="Q654">
            <v>137</v>
          </cell>
          <cell r="R654">
            <v>130.39999999999998</v>
          </cell>
          <cell r="S654">
            <v>143.19999999999999</v>
          </cell>
          <cell r="T654">
            <v>185.39999999999998</v>
          </cell>
          <cell r="U654">
            <v>230</v>
          </cell>
          <cell r="V654">
            <v>227.8</v>
          </cell>
          <cell r="W654">
            <v>212.8</v>
          </cell>
          <cell r="X654">
            <v>0</v>
          </cell>
          <cell r="Y654">
            <v>-6</v>
          </cell>
          <cell r="Z654">
            <v>-5</v>
          </cell>
          <cell r="AA654">
            <v>-9</v>
          </cell>
          <cell r="AB654">
            <v>-9</v>
          </cell>
          <cell r="AC654">
            <v>-28</v>
          </cell>
          <cell r="AD654">
            <v>-19</v>
          </cell>
          <cell r="AE654">
            <v>-32</v>
          </cell>
          <cell r="AF654">
            <v>-30</v>
          </cell>
          <cell r="AG654">
            <v>-45</v>
          </cell>
          <cell r="AH654">
            <v>-33</v>
          </cell>
          <cell r="AI654">
            <v>-17</v>
          </cell>
          <cell r="AJ654">
            <v>10</v>
          </cell>
          <cell r="AK654">
            <v>16</v>
          </cell>
          <cell r="AL654">
            <v>6</v>
          </cell>
          <cell r="AM654">
            <v>21</v>
          </cell>
          <cell r="AN654">
            <v>9</v>
          </cell>
          <cell r="AO654">
            <v>8</v>
          </cell>
          <cell r="AP654">
            <v>3</v>
          </cell>
          <cell r="AQ654">
            <v>3</v>
          </cell>
          <cell r="AR654">
            <v>3</v>
          </cell>
          <cell r="AS654">
            <v>3</v>
          </cell>
          <cell r="AT654">
            <v>3</v>
          </cell>
          <cell r="AU654">
            <v>3</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G655">
            <v>645</v>
          </cell>
          <cell r="H655" t="str">
            <v>YTD %Var</v>
          </cell>
          <cell r="I655">
            <v>0</v>
          </cell>
          <cell r="J655">
            <v>0</v>
          </cell>
          <cell r="K655">
            <v>0</v>
          </cell>
          <cell r="L655">
            <v>0.16666666666666666</v>
          </cell>
          <cell r="M655">
            <v>0.2037037037037038</v>
          </cell>
          <cell r="N655">
            <v>0.39730639730639733</v>
          </cell>
          <cell r="O655">
            <v>0.60024154589371981</v>
          </cell>
          <cell r="P655">
            <v>0.6157407407407407</v>
          </cell>
          <cell r="Q655">
            <v>0.54365079365079361</v>
          </cell>
          <cell r="R655">
            <v>0.44718792866941004</v>
          </cell>
          <cell r="S655">
            <v>0.42771804062126639</v>
          </cell>
          <cell r="T655">
            <v>0.48584905660377348</v>
          </cell>
          <cell r="U655">
            <v>0.53240740740740744</v>
          </cell>
          <cell r="V655">
            <v>0.4793771043771044</v>
          </cell>
          <cell r="W655">
            <v>0.41627543035993742</v>
          </cell>
          <cell r="X655">
            <v>0</v>
          </cell>
          <cell r="Y655">
            <v>-7.4999999999999997E-2</v>
          </cell>
          <cell r="Z655">
            <v>-3.2258064516129031E-2</v>
          </cell>
          <cell r="AA655">
            <v>-3.5433070866141732E-2</v>
          </cell>
          <cell r="AB655">
            <v>-2.6627218934911243E-2</v>
          </cell>
          <cell r="AC655">
            <v>-7.407407407407407E-2</v>
          </cell>
          <cell r="AD655">
            <v>-4.6228710462287104E-2</v>
          </cell>
          <cell r="AE655">
            <v>-6.852248394004283E-2</v>
          </cell>
          <cell r="AF655">
            <v>-5.3956834532374098E-2</v>
          </cell>
          <cell r="AG655">
            <v>-6.9124423963133647E-2</v>
          </cell>
          <cell r="AH655">
            <v>-4.7687861271676298E-2</v>
          </cell>
          <cell r="AI655">
            <v>-2.3842917251051893E-2</v>
          </cell>
          <cell r="AJ655">
            <v>0.32258064516129031</v>
          </cell>
          <cell r="AK655">
            <v>0.21621621621621623</v>
          </cell>
          <cell r="AL655">
            <v>4.0268456375838924E-2</v>
          </cell>
          <cell r="AM655">
            <v>8.6065573770491802E-2</v>
          </cell>
          <cell r="AN655">
            <v>2.7439024390243903E-2</v>
          </cell>
          <cell r="AO655">
            <v>2.2922636103151862E-2</v>
          </cell>
          <cell r="AP655">
            <v>7.6726342710997444E-3</v>
          </cell>
          <cell r="AQ655">
            <v>7.6726342710997444E-3</v>
          </cell>
          <cell r="AR655">
            <v>7.6726342710997444E-3</v>
          </cell>
          <cell r="AS655">
            <v>7.6726342710997444E-3</v>
          </cell>
          <cell r="AT655">
            <v>7.6726342710997444E-3</v>
          </cell>
          <cell r="AU655">
            <v>7.6726342710997444E-3</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G656">
            <v>646</v>
          </cell>
          <cell r="H656" t="str">
            <v>4 Month Actual</v>
          </cell>
          <cell r="I656">
            <v>0</v>
          </cell>
          <cell r="J656">
            <v>0</v>
          </cell>
          <cell r="K656">
            <v>0</v>
          </cell>
          <cell r="L656">
            <v>42</v>
          </cell>
          <cell r="M656">
            <v>91</v>
          </cell>
          <cell r="N656">
            <v>166</v>
          </cell>
          <cell r="O656">
            <v>265</v>
          </cell>
          <cell r="P656">
            <v>307</v>
          </cell>
          <cell r="Q656">
            <v>298</v>
          </cell>
          <cell r="R656">
            <v>256</v>
          </cell>
          <cell r="S656">
            <v>213</v>
          </cell>
          <cell r="T656">
            <v>218</v>
          </cell>
          <cell r="U656">
            <v>273</v>
          </cell>
          <cell r="V656">
            <v>281</v>
          </cell>
          <cell r="W656">
            <v>246</v>
          </cell>
          <cell r="X656">
            <v>188</v>
          </cell>
          <cell r="Y656">
            <v>136</v>
          </cell>
          <cell r="Z656">
            <v>171</v>
          </cell>
          <cell r="AA656">
            <v>245</v>
          </cell>
          <cell r="AB656">
            <v>298</v>
          </cell>
          <cell r="AC656">
            <v>276</v>
          </cell>
          <cell r="AD656">
            <v>242</v>
          </cell>
          <cell r="AE656">
            <v>190</v>
          </cell>
          <cell r="AF656">
            <v>197</v>
          </cell>
          <cell r="AG656">
            <v>256</v>
          </cell>
          <cell r="AH656">
            <v>267</v>
          </cell>
          <cell r="AI656">
            <v>261</v>
          </cell>
          <cell r="AJ656">
            <v>211</v>
          </cell>
          <cell r="AK656">
            <v>180</v>
          </cell>
          <cell r="AL656">
            <v>192</v>
          </cell>
          <cell r="AM656">
            <v>265</v>
          </cell>
          <cell r="AN656">
            <v>296</v>
          </cell>
          <cell r="AO656">
            <v>267</v>
          </cell>
          <cell r="AP656">
            <v>239</v>
          </cell>
          <cell r="AQ656">
            <v>129</v>
          </cell>
          <cell r="AR656">
            <v>57</v>
          </cell>
          <cell r="AS656">
            <v>37</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G657">
            <v>647</v>
          </cell>
          <cell r="H657" t="str">
            <v>4 Month Target (Budget)</v>
          </cell>
          <cell r="I657">
            <v>0</v>
          </cell>
          <cell r="J657">
            <v>0</v>
          </cell>
          <cell r="K657">
            <v>0</v>
          </cell>
          <cell r="L657">
            <v>36</v>
          </cell>
          <cell r="M657">
            <v>75.599999999999994</v>
          </cell>
          <cell r="N657">
            <v>118.8</v>
          </cell>
          <cell r="O657">
            <v>165.6</v>
          </cell>
          <cell r="P657">
            <v>180.00000000000003</v>
          </cell>
          <cell r="Q657">
            <v>176.4</v>
          </cell>
          <cell r="R657">
            <v>172.79999999999998</v>
          </cell>
          <cell r="S657">
            <v>169.2</v>
          </cell>
          <cell r="T657">
            <v>165.6</v>
          </cell>
          <cell r="U657">
            <v>180.00000000000003</v>
          </cell>
          <cell r="V657">
            <v>183.60000000000002</v>
          </cell>
          <cell r="W657">
            <v>176.39999999999998</v>
          </cell>
          <cell r="X657">
            <v>160.6</v>
          </cell>
          <cell r="Y657">
            <v>159.19999999999999</v>
          </cell>
          <cell r="Z657">
            <v>191</v>
          </cell>
          <cell r="AA657">
            <v>254</v>
          </cell>
          <cell r="AB657">
            <v>307</v>
          </cell>
          <cell r="AC657">
            <v>298</v>
          </cell>
          <cell r="AD657">
            <v>256</v>
          </cell>
          <cell r="AE657">
            <v>213</v>
          </cell>
          <cell r="AF657">
            <v>218</v>
          </cell>
          <cell r="AG657">
            <v>273</v>
          </cell>
          <cell r="AH657">
            <v>281</v>
          </cell>
          <cell r="AI657">
            <v>246</v>
          </cell>
          <cell r="AJ657">
            <v>188</v>
          </cell>
          <cell r="AK657">
            <v>136</v>
          </cell>
          <cell r="AL657">
            <v>170</v>
          </cell>
          <cell r="AM657">
            <v>244</v>
          </cell>
          <cell r="AN657">
            <v>297</v>
          </cell>
          <cell r="AO657">
            <v>275</v>
          </cell>
          <cell r="AP657">
            <v>242</v>
          </cell>
          <cell r="AQ657">
            <v>147</v>
          </cell>
          <cell r="AR657">
            <v>63</v>
          </cell>
          <cell r="AS657">
            <v>42</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G658">
            <v>648</v>
          </cell>
          <cell r="H658" t="str">
            <v>4 Month Target (Budget) Var</v>
          </cell>
          <cell r="I658">
            <v>0</v>
          </cell>
          <cell r="J658">
            <v>0</v>
          </cell>
          <cell r="K658">
            <v>0</v>
          </cell>
          <cell r="L658">
            <v>6</v>
          </cell>
          <cell r="M658">
            <v>15.400000000000006</v>
          </cell>
          <cell r="N658">
            <v>47.2</v>
          </cell>
          <cell r="O658">
            <v>99.4</v>
          </cell>
          <cell r="P658">
            <v>126.99999999999997</v>
          </cell>
          <cell r="Q658">
            <v>121.6</v>
          </cell>
          <cell r="R658">
            <v>83.200000000000017</v>
          </cell>
          <cell r="S658">
            <v>43.800000000000011</v>
          </cell>
          <cell r="T658">
            <v>52.400000000000006</v>
          </cell>
          <cell r="U658">
            <v>92.999999999999972</v>
          </cell>
          <cell r="V658">
            <v>97.399999999999977</v>
          </cell>
          <cell r="W658">
            <v>69.600000000000023</v>
          </cell>
          <cell r="X658">
            <v>27.400000000000006</v>
          </cell>
          <cell r="Y658">
            <v>-23.199999999999989</v>
          </cell>
          <cell r="Z658">
            <v>-20</v>
          </cell>
          <cell r="AA658">
            <v>-9</v>
          </cell>
          <cell r="AB658">
            <v>-9</v>
          </cell>
          <cell r="AC658">
            <v>-22</v>
          </cell>
          <cell r="AD658">
            <v>-14</v>
          </cell>
          <cell r="AE658">
            <v>-23</v>
          </cell>
          <cell r="AF658">
            <v>-21</v>
          </cell>
          <cell r="AG658">
            <v>-17</v>
          </cell>
          <cell r="AH658">
            <v>-14</v>
          </cell>
          <cell r="AI658">
            <v>15</v>
          </cell>
          <cell r="AJ658">
            <v>23</v>
          </cell>
          <cell r="AK658">
            <v>44</v>
          </cell>
          <cell r="AL658">
            <v>22</v>
          </cell>
          <cell r="AM658">
            <v>21</v>
          </cell>
          <cell r="AN658">
            <v>-1</v>
          </cell>
          <cell r="AO658">
            <v>-8</v>
          </cell>
          <cell r="AP658">
            <v>-3</v>
          </cell>
          <cell r="AQ658">
            <v>-18</v>
          </cell>
          <cell r="AR658">
            <v>-6</v>
          </cell>
          <cell r="AS658">
            <v>-5</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G659">
            <v>649</v>
          </cell>
          <cell r="H659" t="str">
            <v>4 Month Target (Budget) % Var</v>
          </cell>
          <cell r="I659">
            <v>0</v>
          </cell>
          <cell r="J659">
            <v>0</v>
          </cell>
          <cell r="K659">
            <v>0</v>
          </cell>
          <cell r="L659">
            <v>0.16666666666666666</v>
          </cell>
          <cell r="M659">
            <v>0.2037037037037038</v>
          </cell>
          <cell r="N659">
            <v>0.39730639730639733</v>
          </cell>
          <cell r="O659">
            <v>0.60024154589371981</v>
          </cell>
          <cell r="P659">
            <v>0.70555555555555527</v>
          </cell>
          <cell r="Q659">
            <v>0.68934240362811783</v>
          </cell>
          <cell r="R659">
            <v>0.48148148148148162</v>
          </cell>
          <cell r="S659">
            <v>0.25886524822695045</v>
          </cell>
          <cell r="T659">
            <v>0.31642512077294693</v>
          </cell>
          <cell r="U659">
            <v>0.51666666666666639</v>
          </cell>
          <cell r="V659">
            <v>0.53050108932461859</v>
          </cell>
          <cell r="W659">
            <v>0.39455782312925186</v>
          </cell>
          <cell r="X659">
            <v>0.17061021170610216</v>
          </cell>
          <cell r="Y659">
            <v>-0.14572864321608034</v>
          </cell>
          <cell r="Z659">
            <v>-0.10471204188481675</v>
          </cell>
          <cell r="AA659">
            <v>-3.5433070866141732E-2</v>
          </cell>
          <cell r="AB659">
            <v>-2.9315960912052116E-2</v>
          </cell>
          <cell r="AC659">
            <v>-7.3825503355704702E-2</v>
          </cell>
          <cell r="AD659">
            <v>-5.46875E-2</v>
          </cell>
          <cell r="AE659">
            <v>-0.107981220657277</v>
          </cell>
          <cell r="AF659">
            <v>-9.6330275229357804E-2</v>
          </cell>
          <cell r="AG659">
            <v>-6.2271062271062272E-2</v>
          </cell>
          <cell r="AH659">
            <v>-4.9822064056939501E-2</v>
          </cell>
          <cell r="AI659">
            <v>6.097560975609756E-2</v>
          </cell>
          <cell r="AJ659">
            <v>0.12234042553191489</v>
          </cell>
          <cell r="AK659">
            <v>0.3235294117647059</v>
          </cell>
          <cell r="AL659">
            <v>0.12941176470588237</v>
          </cell>
          <cell r="AM659">
            <v>8.6065573770491802E-2</v>
          </cell>
          <cell r="AN659">
            <v>-3.3670033670033669E-3</v>
          </cell>
          <cell r="AO659">
            <v>-2.9090909090909091E-2</v>
          </cell>
          <cell r="AP659">
            <v>-1.2396694214876033E-2</v>
          </cell>
          <cell r="AQ659">
            <v>-0.12244897959183673</v>
          </cell>
          <cell r="AR659">
            <v>-9.5238095238095233E-2</v>
          </cell>
          <cell r="AS659">
            <v>-0.11904761904761904</v>
          </cell>
          <cell r="AT659" t="e">
            <v>#DIV/0!</v>
          </cell>
          <cell r="AU659" t="e">
            <v>#DIV/0!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G660">
            <v>650</v>
          </cell>
          <cell r="H660" t="str">
            <v>Actual</v>
          </cell>
          <cell r="I660">
            <v>0</v>
          </cell>
          <cell r="J660">
            <v>0</v>
          </cell>
          <cell r="K660">
            <v>0</v>
          </cell>
          <cell r="L660">
            <v>1446.5150000000001</v>
          </cell>
          <cell r="M660">
            <v>1596.796</v>
          </cell>
          <cell r="N660">
            <v>1646.8620000000001</v>
          </cell>
          <cell r="O660">
            <v>1494.893</v>
          </cell>
          <cell r="P660">
            <v>1838.2760000000001</v>
          </cell>
          <cell r="Q660">
            <v>1015.934</v>
          </cell>
          <cell r="R660">
            <v>1304.33</v>
          </cell>
          <cell r="S660">
            <v>1485.4480000000001</v>
          </cell>
          <cell r="T660">
            <v>1688.5219999999999</v>
          </cell>
          <cell r="U660">
            <v>1350.348</v>
          </cell>
          <cell r="V660">
            <v>1017.624</v>
          </cell>
          <cell r="W660">
            <v>1822.57</v>
          </cell>
          <cell r="X660">
            <v>1609.3679999999999</v>
          </cell>
          <cell r="Y660">
            <v>1769.72</v>
          </cell>
          <cell r="Z660">
            <v>1428.5530000000001</v>
          </cell>
          <cell r="AA660">
            <v>2018.82</v>
          </cell>
          <cell r="AB660">
            <v>2033.63</v>
          </cell>
          <cell r="AC660">
            <v>1111.8699999999999</v>
          </cell>
          <cell r="AD660">
            <v>1695</v>
          </cell>
          <cell r="AE660">
            <v>1230</v>
          </cell>
          <cell r="AF660">
            <v>2057</v>
          </cell>
          <cell r="AG660">
            <v>1466</v>
          </cell>
          <cell r="AH660">
            <v>1167</v>
          </cell>
          <cell r="AI660">
            <v>1960.4</v>
          </cell>
          <cell r="AJ660">
            <v>1466</v>
          </cell>
          <cell r="AK660">
            <v>1962</v>
          </cell>
          <cell r="AL660">
            <v>1414</v>
          </cell>
          <cell r="AM660">
            <v>1865</v>
          </cell>
          <cell r="AN660">
            <v>1700</v>
          </cell>
          <cell r="AO660">
            <v>1048</v>
          </cell>
          <cell r="AP660">
            <v>1314</v>
          </cell>
          <cell r="AQ660">
            <v>5396</v>
          </cell>
          <cell r="AR660">
            <v>5412</v>
          </cell>
          <cell r="AS660">
            <v>6633</v>
          </cell>
          <cell r="AT660">
            <v>6185.75</v>
          </cell>
          <cell r="AU660">
            <v>4851.75</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G661">
            <v>651</v>
          </cell>
          <cell r="H661" t="str">
            <v>Target (Budget)</v>
          </cell>
          <cell r="I661">
            <v>0</v>
          </cell>
          <cell r="J661">
            <v>0</v>
          </cell>
          <cell r="K661">
            <v>0</v>
          </cell>
          <cell r="L661">
            <v>700</v>
          </cell>
          <cell r="M661">
            <v>470</v>
          </cell>
          <cell r="N661">
            <v>590</v>
          </cell>
          <cell r="O661">
            <v>700</v>
          </cell>
          <cell r="P661">
            <v>630</v>
          </cell>
          <cell r="Q661">
            <v>330</v>
          </cell>
          <cell r="R661">
            <v>605</v>
          </cell>
          <cell r="S661">
            <v>720</v>
          </cell>
          <cell r="T661">
            <v>1050</v>
          </cell>
          <cell r="U661">
            <v>450</v>
          </cell>
          <cell r="V661">
            <v>420</v>
          </cell>
          <cell r="W661">
            <v>810</v>
          </cell>
          <cell r="X661">
            <v>1609.3679999999999</v>
          </cell>
          <cell r="Y661">
            <v>1580</v>
          </cell>
          <cell r="Z661">
            <v>1610</v>
          </cell>
          <cell r="AA661">
            <v>1550</v>
          </cell>
          <cell r="AB661">
            <v>1830</v>
          </cell>
          <cell r="AC661">
            <v>1000</v>
          </cell>
          <cell r="AD661">
            <v>1400</v>
          </cell>
          <cell r="AE661">
            <v>1460</v>
          </cell>
          <cell r="AF661">
            <v>1750</v>
          </cell>
          <cell r="AG661">
            <v>1300</v>
          </cell>
          <cell r="AH661">
            <v>950</v>
          </cell>
          <cell r="AI661">
            <v>1750</v>
          </cell>
          <cell r="AJ661">
            <v>1550</v>
          </cell>
          <cell r="AK661">
            <v>1620</v>
          </cell>
          <cell r="AL661">
            <v>1500</v>
          </cell>
          <cell r="AM661">
            <v>1650</v>
          </cell>
          <cell r="AN661">
            <v>1800</v>
          </cell>
          <cell r="AO661">
            <v>1050</v>
          </cell>
          <cell r="AP661">
            <v>1500</v>
          </cell>
          <cell r="AQ661">
            <v>5800</v>
          </cell>
          <cell r="AR661">
            <v>5800</v>
          </cell>
          <cell r="AS661">
            <v>6100</v>
          </cell>
          <cell r="AT661">
            <v>5600</v>
          </cell>
          <cell r="AU661">
            <v>4150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G662">
            <v>652</v>
          </cell>
          <cell r="H662" t="str">
            <v>Target (Budget) Variance</v>
          </cell>
          <cell r="I662">
            <v>0</v>
          </cell>
          <cell r="J662">
            <v>0</v>
          </cell>
          <cell r="K662">
            <v>0</v>
          </cell>
          <cell r="L662">
            <v>746.5150000000001</v>
          </cell>
          <cell r="M662">
            <v>1126.796</v>
          </cell>
          <cell r="N662">
            <v>1056.8620000000001</v>
          </cell>
          <cell r="O662">
            <v>794.89300000000003</v>
          </cell>
          <cell r="P662">
            <v>1208.2760000000001</v>
          </cell>
          <cell r="Q662">
            <v>685.93399999999997</v>
          </cell>
          <cell r="R662">
            <v>699.32999999999993</v>
          </cell>
          <cell r="S662">
            <v>765.44800000000009</v>
          </cell>
          <cell r="T662">
            <v>638.52199999999993</v>
          </cell>
          <cell r="U662">
            <v>900.34799999999996</v>
          </cell>
          <cell r="V662">
            <v>597.62400000000002</v>
          </cell>
          <cell r="W662">
            <v>1012.5699999999999</v>
          </cell>
          <cell r="X662">
            <v>0</v>
          </cell>
          <cell r="Y662">
            <v>189.72000000000003</v>
          </cell>
          <cell r="Z662">
            <v>-181.44699999999989</v>
          </cell>
          <cell r="AA662">
            <v>468.81999999999994</v>
          </cell>
          <cell r="AB662">
            <v>203.63000000000011</v>
          </cell>
          <cell r="AC662">
            <v>111.86999999999989</v>
          </cell>
          <cell r="AD662">
            <v>295</v>
          </cell>
          <cell r="AE662">
            <v>-230</v>
          </cell>
          <cell r="AF662">
            <v>307</v>
          </cell>
          <cell r="AG662">
            <v>166</v>
          </cell>
          <cell r="AH662">
            <v>217</v>
          </cell>
          <cell r="AI662">
            <v>210.40000000000009</v>
          </cell>
          <cell r="AJ662">
            <v>-84</v>
          </cell>
          <cell r="AK662">
            <v>342</v>
          </cell>
          <cell r="AL662">
            <v>-86</v>
          </cell>
          <cell r="AM662">
            <v>215</v>
          </cell>
          <cell r="AN662">
            <v>-100</v>
          </cell>
          <cell r="AO662">
            <v>-2</v>
          </cell>
          <cell r="AP662">
            <v>-186</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G663">
            <v>653</v>
          </cell>
          <cell r="H663" t="str">
            <v>Target (Budget) %Var</v>
          </cell>
          <cell r="I663">
            <v>0</v>
          </cell>
          <cell r="J663">
            <v>0</v>
          </cell>
          <cell r="K663">
            <v>0</v>
          </cell>
          <cell r="L663">
            <v>1.0664500000000001</v>
          </cell>
          <cell r="M663">
            <v>2.3974382978723408</v>
          </cell>
          <cell r="N663">
            <v>1.7912915254237289</v>
          </cell>
          <cell r="O663">
            <v>1.1355614285714286</v>
          </cell>
          <cell r="P663">
            <v>1.9178984126984129</v>
          </cell>
          <cell r="Q663">
            <v>2.0785878787878787</v>
          </cell>
          <cell r="R663">
            <v>1.1559173553719007</v>
          </cell>
          <cell r="S663">
            <v>1.0631222222222223</v>
          </cell>
          <cell r="T663">
            <v>0.60811619047619037</v>
          </cell>
          <cell r="U663">
            <v>2.0007733333333331</v>
          </cell>
          <cell r="V663">
            <v>1.4229142857142858</v>
          </cell>
          <cell r="W663">
            <v>1.2500864197530863</v>
          </cell>
          <cell r="X663">
            <v>0</v>
          </cell>
          <cell r="Y663">
            <v>0.12007594936708862</v>
          </cell>
          <cell r="Z663">
            <v>-0.11269999999999993</v>
          </cell>
          <cell r="AA663">
            <v>0.30246451612903219</v>
          </cell>
          <cell r="AB663">
            <v>0.11127322404371591</v>
          </cell>
          <cell r="AC663">
            <v>0.11186999999999989</v>
          </cell>
          <cell r="AD663">
            <v>0.21071428571428572</v>
          </cell>
          <cell r="AE663">
            <v>-0.15753424657534246</v>
          </cell>
          <cell r="AF663">
            <v>0.17542857142857143</v>
          </cell>
          <cell r="AG663">
            <v>0.12769230769230769</v>
          </cell>
          <cell r="AH663">
            <v>0.22842105263157894</v>
          </cell>
          <cell r="AI663">
            <v>0.12022857142857148</v>
          </cell>
          <cell r="AJ663">
            <v>-5.4193548387096772E-2</v>
          </cell>
          <cell r="AK663">
            <v>0.21111111111111111</v>
          </cell>
          <cell r="AL663">
            <v>-5.7333333333333333E-2</v>
          </cell>
          <cell r="AM663">
            <v>0.13030303030303031</v>
          </cell>
          <cell r="AN663">
            <v>-5.5555555555555552E-2</v>
          </cell>
          <cell r="AO663">
            <v>-1.9047619047619048E-3</v>
          </cell>
          <cell r="AP663">
            <v>-0.124</v>
          </cell>
          <cell r="AQ663" t="e">
            <v>#DIV/0!</v>
          </cell>
          <cell r="AR663" t="e">
            <v>#DIV/0!</v>
          </cell>
          <cell r="AS663" t="e">
            <v>#DIV/0!</v>
          </cell>
          <cell r="AT663" t="e">
            <v>#DIV/0!</v>
          </cell>
          <cell r="AU663" t="e">
            <v>#DIV/0!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G664">
            <v>654</v>
          </cell>
          <cell r="H664" t="str">
            <v>YTD Actual</v>
          </cell>
          <cell r="I664">
            <v>0</v>
          </cell>
          <cell r="J664">
            <v>0</v>
          </cell>
          <cell r="K664">
            <v>0</v>
          </cell>
          <cell r="L664">
            <v>1446.5150000000001</v>
          </cell>
          <cell r="M664">
            <v>3043.3110000000001</v>
          </cell>
          <cell r="N664">
            <v>4690.1730000000007</v>
          </cell>
          <cell r="O664">
            <v>6185.0660000000007</v>
          </cell>
          <cell r="P664">
            <v>8023.3420000000006</v>
          </cell>
          <cell r="Q664">
            <v>9039.2759999999998</v>
          </cell>
          <cell r="R664">
            <v>10343.606</v>
          </cell>
          <cell r="S664">
            <v>11829.054</v>
          </cell>
          <cell r="T664">
            <v>13517.576000000001</v>
          </cell>
          <cell r="U664">
            <v>14867.924000000001</v>
          </cell>
          <cell r="V664">
            <v>15885.548000000001</v>
          </cell>
          <cell r="W664">
            <v>17708.118000000002</v>
          </cell>
          <cell r="X664">
            <v>1609.3679999999999</v>
          </cell>
          <cell r="Y664">
            <v>3379.0879999999997</v>
          </cell>
          <cell r="Z664">
            <v>4807.6409999999996</v>
          </cell>
          <cell r="AA664">
            <v>6826.4609999999993</v>
          </cell>
          <cell r="AB664">
            <v>8860.0910000000003</v>
          </cell>
          <cell r="AC664">
            <v>9971.9609999999993</v>
          </cell>
          <cell r="AD664">
            <v>11666.960999999999</v>
          </cell>
          <cell r="AE664">
            <v>12896.960999999999</v>
          </cell>
          <cell r="AF664">
            <v>14953.960999999999</v>
          </cell>
          <cell r="AG664">
            <v>16419.960999999999</v>
          </cell>
          <cell r="AH664">
            <v>17586.960999999999</v>
          </cell>
          <cell r="AI664">
            <v>19547.361000000001</v>
          </cell>
          <cell r="AJ664">
            <v>1466</v>
          </cell>
          <cell r="AK664">
            <v>3428</v>
          </cell>
          <cell r="AL664">
            <v>4842</v>
          </cell>
          <cell r="AM664">
            <v>6707</v>
          </cell>
          <cell r="AN664">
            <v>8407</v>
          </cell>
          <cell r="AO664">
            <v>9455</v>
          </cell>
          <cell r="AP664">
            <v>10769</v>
          </cell>
          <cell r="AQ664">
            <v>10769</v>
          </cell>
          <cell r="AR664">
            <v>10769</v>
          </cell>
          <cell r="AS664">
            <v>10769</v>
          </cell>
          <cell r="AT664">
            <v>10769</v>
          </cell>
          <cell r="AU664">
            <v>10769</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G665">
            <v>655</v>
          </cell>
          <cell r="H665" t="str">
            <v>YTD Target (Budget)</v>
          </cell>
          <cell r="I665">
            <v>0</v>
          </cell>
          <cell r="J665">
            <v>0</v>
          </cell>
          <cell r="K665">
            <v>0</v>
          </cell>
          <cell r="L665">
            <v>700</v>
          </cell>
          <cell r="M665">
            <v>1170</v>
          </cell>
          <cell r="N665">
            <v>1760</v>
          </cell>
          <cell r="O665">
            <v>2460</v>
          </cell>
          <cell r="P665">
            <v>3090</v>
          </cell>
          <cell r="Q665">
            <v>3420</v>
          </cell>
          <cell r="R665">
            <v>4025</v>
          </cell>
          <cell r="S665">
            <v>4745</v>
          </cell>
          <cell r="T665">
            <v>5795</v>
          </cell>
          <cell r="U665">
            <v>6245</v>
          </cell>
          <cell r="V665">
            <v>6665</v>
          </cell>
          <cell r="W665">
            <v>7475</v>
          </cell>
          <cell r="X665">
            <v>1609.3679999999999</v>
          </cell>
          <cell r="Y665">
            <v>3189.3679999999999</v>
          </cell>
          <cell r="Z665">
            <v>4799.3680000000004</v>
          </cell>
          <cell r="AA665">
            <v>6349.3680000000004</v>
          </cell>
          <cell r="AB665">
            <v>8179.3680000000004</v>
          </cell>
          <cell r="AC665">
            <v>9179.3680000000004</v>
          </cell>
          <cell r="AD665">
            <v>10579.368</v>
          </cell>
          <cell r="AE665">
            <v>12039.368</v>
          </cell>
          <cell r="AF665">
            <v>13789.368</v>
          </cell>
          <cell r="AG665">
            <v>15089.368</v>
          </cell>
          <cell r="AH665">
            <v>16039.368</v>
          </cell>
          <cell r="AI665">
            <v>17789.368000000002</v>
          </cell>
          <cell r="AJ665">
            <v>1550</v>
          </cell>
          <cell r="AK665">
            <v>3170</v>
          </cell>
          <cell r="AL665">
            <v>4670</v>
          </cell>
          <cell r="AM665">
            <v>6320</v>
          </cell>
          <cell r="AN665">
            <v>8120</v>
          </cell>
          <cell r="AO665">
            <v>9170</v>
          </cell>
          <cell r="AP665">
            <v>10670</v>
          </cell>
          <cell r="AQ665">
            <v>10670</v>
          </cell>
          <cell r="AR665">
            <v>10670</v>
          </cell>
          <cell r="AS665">
            <v>10670</v>
          </cell>
          <cell r="AT665">
            <v>10670</v>
          </cell>
          <cell r="AU665">
            <v>10670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666">
          <cell r="G666">
            <v>656</v>
          </cell>
          <cell r="H666" t="str">
            <v>YTD Target (Budget) Var</v>
          </cell>
          <cell r="I666">
            <v>0</v>
          </cell>
          <cell r="J666">
            <v>0</v>
          </cell>
          <cell r="K666">
            <v>0</v>
          </cell>
          <cell r="L666">
            <v>746.5150000000001</v>
          </cell>
          <cell r="M666">
            <v>1873.3110000000001</v>
          </cell>
          <cell r="N666">
            <v>2930.1730000000007</v>
          </cell>
          <cell r="O666">
            <v>3725.0660000000007</v>
          </cell>
          <cell r="P666">
            <v>4933.3420000000006</v>
          </cell>
          <cell r="Q666">
            <v>5619.2759999999998</v>
          </cell>
          <cell r="R666">
            <v>6318.6059999999998</v>
          </cell>
          <cell r="S666">
            <v>7084.0540000000001</v>
          </cell>
          <cell r="T666">
            <v>7722.5760000000009</v>
          </cell>
          <cell r="U666">
            <v>8622.9240000000009</v>
          </cell>
          <cell r="V666">
            <v>9220.5480000000007</v>
          </cell>
          <cell r="W666">
            <v>10233.118000000002</v>
          </cell>
          <cell r="X666">
            <v>0</v>
          </cell>
          <cell r="Y666">
            <v>189.7199999999998</v>
          </cell>
          <cell r="Z666">
            <v>8.2729999999992287</v>
          </cell>
          <cell r="AA666">
            <v>477.09299999999894</v>
          </cell>
          <cell r="AB666">
            <v>680.72299999999996</v>
          </cell>
          <cell r="AC666">
            <v>792.59299999999894</v>
          </cell>
          <cell r="AD666">
            <v>1087.5929999999989</v>
          </cell>
          <cell r="AE666">
            <v>857.59299999999894</v>
          </cell>
          <cell r="AF666">
            <v>1164.5929999999989</v>
          </cell>
          <cell r="AG666">
            <v>1330.5929999999989</v>
          </cell>
          <cell r="AH666">
            <v>1547.5929999999989</v>
          </cell>
          <cell r="AI666">
            <v>1757.9929999999986</v>
          </cell>
          <cell r="AJ666">
            <v>-84</v>
          </cell>
          <cell r="AK666">
            <v>258</v>
          </cell>
          <cell r="AL666">
            <v>172</v>
          </cell>
          <cell r="AM666">
            <v>387</v>
          </cell>
          <cell r="AN666">
            <v>287</v>
          </cell>
          <cell r="AO666">
            <v>285</v>
          </cell>
          <cell r="AP666">
            <v>99</v>
          </cell>
          <cell r="AQ666">
            <v>99</v>
          </cell>
          <cell r="AR666">
            <v>99</v>
          </cell>
          <cell r="AS666">
            <v>99</v>
          </cell>
          <cell r="AT666">
            <v>99</v>
          </cell>
          <cell r="AU666">
            <v>99</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cell r="BL666">
            <v>0</v>
          </cell>
        </row>
        <row r="667">
          <cell r="G667">
            <v>657</v>
          </cell>
          <cell r="H667" t="str">
            <v>YTD %Var</v>
          </cell>
          <cell r="I667">
            <v>0</v>
          </cell>
          <cell r="J667">
            <v>0</v>
          </cell>
          <cell r="K667">
            <v>0</v>
          </cell>
          <cell r="L667">
            <v>1.0664500000000001</v>
          </cell>
          <cell r="M667">
            <v>1.601120512820513</v>
          </cell>
          <cell r="N667">
            <v>1.6648710227272732</v>
          </cell>
          <cell r="O667">
            <v>1.5142544715447157</v>
          </cell>
          <cell r="P667">
            <v>1.5965508090614888</v>
          </cell>
          <cell r="Q667">
            <v>1.6430631578947368</v>
          </cell>
          <cell r="R667">
            <v>1.5698399999999999</v>
          </cell>
          <cell r="S667">
            <v>1.4929513171759747</v>
          </cell>
          <cell r="T667">
            <v>1.3326274374460743</v>
          </cell>
          <cell r="U667">
            <v>1.3807724579663732</v>
          </cell>
          <cell r="V667">
            <v>1.3834280570142536</v>
          </cell>
          <cell r="W667">
            <v>1.3689789966555186</v>
          </cell>
          <cell r="X667">
            <v>0</v>
          </cell>
          <cell r="Y667">
            <v>5.9485139375575286E-2</v>
          </cell>
          <cell r="Z667">
            <v>1.7237686295360614E-3</v>
          </cell>
          <cell r="AA667">
            <v>7.5140234429631247E-2</v>
          </cell>
          <cell r="AB667">
            <v>8.322440071164422E-2</v>
          </cell>
          <cell r="AC667">
            <v>8.6345051206139556E-2</v>
          </cell>
          <cell r="AD667">
            <v>0.10280321092904594</v>
          </cell>
          <cell r="AE667">
            <v>7.1232393594082261E-2</v>
          </cell>
          <cell r="AF667">
            <v>8.4455864837315167E-2</v>
          </cell>
          <cell r="AG667">
            <v>8.8180830370098925E-2</v>
          </cell>
          <cell r="AH667">
            <v>9.6487155853023573E-2</v>
          </cell>
          <cell r="AI667">
            <v>9.8822678804553282E-2</v>
          </cell>
          <cell r="AJ667">
            <v>-5.4193548387096772E-2</v>
          </cell>
          <cell r="AK667">
            <v>8.1388012618296535E-2</v>
          </cell>
          <cell r="AL667">
            <v>3.683083511777302E-2</v>
          </cell>
          <cell r="AM667">
            <v>6.1234177215189874E-2</v>
          </cell>
          <cell r="AN667">
            <v>3.5344827586206898E-2</v>
          </cell>
          <cell r="AO667">
            <v>3.1079607415485277E-2</v>
          </cell>
          <cell r="AP667">
            <v>9.2783505154639175E-3</v>
          </cell>
          <cell r="AQ667">
            <v>9.2783505154639175E-3</v>
          </cell>
          <cell r="AR667">
            <v>9.2783505154639175E-3</v>
          </cell>
          <cell r="AS667">
            <v>9.2783505154639175E-3</v>
          </cell>
          <cell r="AT667">
            <v>9.2783505154639175E-3</v>
          </cell>
          <cell r="AU667">
            <v>9.2783505154639175E-3</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0</v>
          </cell>
          <cell r="BK667">
            <v>0</v>
          </cell>
          <cell r="BL667">
            <v>0</v>
          </cell>
        </row>
        <row r="668">
          <cell r="G668">
            <v>658</v>
          </cell>
          <cell r="H668" t="str">
            <v>4 Month Actual</v>
          </cell>
          <cell r="I668">
            <v>0</v>
          </cell>
          <cell r="J668">
            <v>0</v>
          </cell>
          <cell r="K668">
            <v>0</v>
          </cell>
          <cell r="L668">
            <v>1446.5150000000001</v>
          </cell>
          <cell r="M668">
            <v>3043.3110000000001</v>
          </cell>
          <cell r="N668">
            <v>4690.1730000000007</v>
          </cell>
          <cell r="O668">
            <v>6185.0660000000007</v>
          </cell>
          <cell r="P668">
            <v>6576.8270000000002</v>
          </cell>
          <cell r="Q668">
            <v>5995.9650000000001</v>
          </cell>
          <cell r="R668">
            <v>5653.433</v>
          </cell>
          <cell r="S668">
            <v>5643.9880000000003</v>
          </cell>
          <cell r="T668">
            <v>5494.2340000000004</v>
          </cell>
          <cell r="U668">
            <v>5828.6480000000001</v>
          </cell>
          <cell r="V668">
            <v>5541.942</v>
          </cell>
          <cell r="W668">
            <v>5879.0639999999994</v>
          </cell>
          <cell r="X668">
            <v>5799.91</v>
          </cell>
          <cell r="Y668">
            <v>6219.2820000000002</v>
          </cell>
          <cell r="Z668">
            <v>6630.2110000000002</v>
          </cell>
          <cell r="AA668">
            <v>6826.4609999999993</v>
          </cell>
          <cell r="AB668">
            <v>7250.723</v>
          </cell>
          <cell r="AC668">
            <v>6592.8730000000005</v>
          </cell>
          <cell r="AD668">
            <v>6859.32</v>
          </cell>
          <cell r="AE668">
            <v>6070.5</v>
          </cell>
          <cell r="AF668">
            <v>6093.87</v>
          </cell>
          <cell r="AG668">
            <v>6448</v>
          </cell>
          <cell r="AH668">
            <v>5920</v>
          </cell>
          <cell r="AI668">
            <v>6650.4</v>
          </cell>
          <cell r="AJ668">
            <v>6059.4</v>
          </cell>
          <cell r="AK668">
            <v>6555.4</v>
          </cell>
          <cell r="AL668">
            <v>6802.4</v>
          </cell>
          <cell r="AM668">
            <v>6707</v>
          </cell>
          <cell r="AN668">
            <v>6941</v>
          </cell>
          <cell r="AO668">
            <v>6027</v>
          </cell>
          <cell r="AP668">
            <v>5927</v>
          </cell>
          <cell r="AQ668">
            <v>4062</v>
          </cell>
          <cell r="AR668">
            <v>2362</v>
          </cell>
          <cell r="AS668">
            <v>1314</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v>0</v>
          </cell>
          <cell r="BK668">
            <v>0</v>
          </cell>
          <cell r="BL668">
            <v>0</v>
          </cell>
        </row>
        <row r="669">
          <cell r="G669">
            <v>659</v>
          </cell>
          <cell r="H669" t="str">
            <v>4 Month Target (Budget)</v>
          </cell>
          <cell r="I669">
            <v>0</v>
          </cell>
          <cell r="J669">
            <v>0</v>
          </cell>
          <cell r="K669">
            <v>0</v>
          </cell>
          <cell r="L669">
            <v>700</v>
          </cell>
          <cell r="M669">
            <v>1170</v>
          </cell>
          <cell r="N669">
            <v>1760</v>
          </cell>
          <cell r="O669">
            <v>2460</v>
          </cell>
          <cell r="P669">
            <v>2390</v>
          </cell>
          <cell r="Q669">
            <v>2250</v>
          </cell>
          <cell r="R669">
            <v>2265</v>
          </cell>
          <cell r="S669">
            <v>2285</v>
          </cell>
          <cell r="T669">
            <v>2705</v>
          </cell>
          <cell r="U669">
            <v>2825</v>
          </cell>
          <cell r="V669">
            <v>2640</v>
          </cell>
          <cell r="W669">
            <v>2730</v>
          </cell>
          <cell r="X669">
            <v>3289.3679999999999</v>
          </cell>
          <cell r="Y669">
            <v>4419.3680000000004</v>
          </cell>
          <cell r="Z669">
            <v>5609.3680000000004</v>
          </cell>
          <cell r="AA669">
            <v>6349.3680000000004</v>
          </cell>
          <cell r="AB669">
            <v>6570</v>
          </cell>
          <cell r="AC669">
            <v>5990</v>
          </cell>
          <cell r="AD669">
            <v>5780</v>
          </cell>
          <cell r="AE669">
            <v>5690</v>
          </cell>
          <cell r="AF669">
            <v>5610</v>
          </cell>
          <cell r="AG669">
            <v>5910</v>
          </cell>
          <cell r="AH669">
            <v>5460</v>
          </cell>
          <cell r="AI669">
            <v>5750</v>
          </cell>
          <cell r="AJ669">
            <v>5550</v>
          </cell>
          <cell r="AK669">
            <v>5870</v>
          </cell>
          <cell r="AL669">
            <v>6420</v>
          </cell>
          <cell r="AM669">
            <v>6320</v>
          </cell>
          <cell r="AN669">
            <v>6570</v>
          </cell>
          <cell r="AO669">
            <v>6000</v>
          </cell>
          <cell r="AP669">
            <v>6000</v>
          </cell>
          <cell r="AQ669">
            <v>4350</v>
          </cell>
          <cell r="AR669">
            <v>2550</v>
          </cell>
          <cell r="AS669">
            <v>1500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cell r="BL669">
            <v>0</v>
          </cell>
        </row>
        <row r="670">
          <cell r="G670">
            <v>660</v>
          </cell>
          <cell r="H670" t="str">
            <v>4 Month Target (Budget) Var</v>
          </cell>
          <cell r="I670">
            <v>0</v>
          </cell>
          <cell r="J670">
            <v>0</v>
          </cell>
          <cell r="K670">
            <v>0</v>
          </cell>
          <cell r="L670">
            <v>746.5150000000001</v>
          </cell>
          <cell r="M670">
            <v>1873.3110000000001</v>
          </cell>
          <cell r="N670">
            <v>2930.1730000000007</v>
          </cell>
          <cell r="O670">
            <v>3725.0660000000007</v>
          </cell>
          <cell r="P670">
            <v>4186.8270000000002</v>
          </cell>
          <cell r="Q670">
            <v>3745.9650000000001</v>
          </cell>
          <cell r="R670">
            <v>3388.433</v>
          </cell>
          <cell r="S670">
            <v>3358.9880000000003</v>
          </cell>
          <cell r="T670">
            <v>2789.2340000000004</v>
          </cell>
          <cell r="U670">
            <v>3003.6480000000001</v>
          </cell>
          <cell r="V670">
            <v>2901.942</v>
          </cell>
          <cell r="W670">
            <v>3149.0639999999994</v>
          </cell>
          <cell r="X670">
            <v>2510.5419999999999</v>
          </cell>
          <cell r="Y670">
            <v>1799.9139999999998</v>
          </cell>
          <cell r="Z670">
            <v>1020.8429999999998</v>
          </cell>
          <cell r="AA670">
            <v>477.09299999999894</v>
          </cell>
          <cell r="AB670">
            <v>680.72299999999996</v>
          </cell>
          <cell r="AC670">
            <v>602.8730000000005</v>
          </cell>
          <cell r="AD670">
            <v>1079.3199999999997</v>
          </cell>
          <cell r="AE670">
            <v>380.5</v>
          </cell>
          <cell r="AF670">
            <v>483.86999999999989</v>
          </cell>
          <cell r="AG670">
            <v>538</v>
          </cell>
          <cell r="AH670">
            <v>460</v>
          </cell>
          <cell r="AI670">
            <v>900.39999999999964</v>
          </cell>
          <cell r="AJ670">
            <v>509.39999999999964</v>
          </cell>
          <cell r="AK670">
            <v>685.39999999999964</v>
          </cell>
          <cell r="AL670">
            <v>382.39999999999964</v>
          </cell>
          <cell r="AM670">
            <v>387</v>
          </cell>
          <cell r="AN670">
            <v>371</v>
          </cell>
          <cell r="AO670">
            <v>27</v>
          </cell>
          <cell r="AP670">
            <v>-73</v>
          </cell>
          <cell r="AQ670">
            <v>-288</v>
          </cell>
          <cell r="AR670">
            <v>-188</v>
          </cell>
          <cell r="AS670">
            <v>-186</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v>0</v>
          </cell>
          <cell r="BK670">
            <v>0</v>
          </cell>
          <cell r="BL670">
            <v>0</v>
          </cell>
        </row>
        <row r="671">
          <cell r="G671">
            <v>661</v>
          </cell>
          <cell r="H671" t="str">
            <v>4 Month Target (Budget) % Var</v>
          </cell>
          <cell r="I671">
            <v>0</v>
          </cell>
          <cell r="J671">
            <v>0</v>
          </cell>
          <cell r="K671">
            <v>0</v>
          </cell>
          <cell r="L671">
            <v>1.0664500000000001</v>
          </cell>
          <cell r="M671">
            <v>1.601120512820513</v>
          </cell>
          <cell r="N671">
            <v>1.6648710227272732</v>
          </cell>
          <cell r="O671">
            <v>1.5142544715447157</v>
          </cell>
          <cell r="P671">
            <v>1.751810460251046</v>
          </cell>
          <cell r="Q671">
            <v>1.6648733333333334</v>
          </cell>
          <cell r="R671">
            <v>1.4959969094922738</v>
          </cell>
          <cell r="S671">
            <v>1.4700166301969366</v>
          </cell>
          <cell r="T671">
            <v>1.0311401109057303</v>
          </cell>
          <cell r="U671">
            <v>1.0632382300884957</v>
          </cell>
          <cell r="V671">
            <v>1.0992204545454545</v>
          </cell>
          <cell r="W671">
            <v>1.1535032967032965</v>
          </cell>
          <cell r="X671">
            <v>0.76322928903059795</v>
          </cell>
          <cell r="Y671">
            <v>0.40727859730169552</v>
          </cell>
          <cell r="Z671">
            <v>0.18198895133997267</v>
          </cell>
          <cell r="AA671">
            <v>7.5140234429631247E-2</v>
          </cell>
          <cell r="AB671">
            <v>0.10361080669710807</v>
          </cell>
          <cell r="AC671">
            <v>0.10064657762938239</v>
          </cell>
          <cell r="AD671">
            <v>0.18673356401384078</v>
          </cell>
          <cell r="AE671">
            <v>6.687170474516696E-2</v>
          </cell>
          <cell r="AF671">
            <v>8.6251336898395703E-2</v>
          </cell>
          <cell r="AG671">
            <v>9.103214890016921E-2</v>
          </cell>
          <cell r="AH671">
            <v>8.4249084249084255E-2</v>
          </cell>
          <cell r="AI671">
            <v>0.15659130434782603</v>
          </cell>
          <cell r="AJ671">
            <v>9.1783783783783712E-2</v>
          </cell>
          <cell r="AK671">
            <v>0.11676320272572396</v>
          </cell>
          <cell r="AL671">
            <v>5.9563862928348851E-2</v>
          </cell>
          <cell r="AM671">
            <v>6.1234177215189874E-2</v>
          </cell>
          <cell r="AN671">
            <v>5.6468797564687978E-2</v>
          </cell>
          <cell r="AO671">
            <v>4.4999999999999997E-3</v>
          </cell>
          <cell r="AP671">
            <v>-1.2166666666666666E-2</v>
          </cell>
          <cell r="AQ671">
            <v>-6.620689655172414E-2</v>
          </cell>
          <cell r="AR671">
            <v>-7.3725490196078436E-2</v>
          </cell>
          <cell r="AS671">
            <v>-0.124</v>
          </cell>
          <cell r="AT671" t="e">
            <v>#DIV/0!</v>
          </cell>
          <cell r="AU671" t="e">
            <v>#DIV/0!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cell r="BL671">
            <v>0</v>
          </cell>
        </row>
        <row r="672">
          <cell r="G672">
            <v>662</v>
          </cell>
          <cell r="H672" t="str">
            <v>Actual</v>
          </cell>
          <cell r="I672">
            <v>0</v>
          </cell>
          <cell r="J672">
            <v>0</v>
          </cell>
          <cell r="K672">
            <v>0</v>
          </cell>
          <cell r="L672">
            <v>640</v>
          </cell>
          <cell r="M672">
            <v>462.25</v>
          </cell>
          <cell r="N672">
            <v>489.8</v>
          </cell>
          <cell r="O672">
            <v>735.5</v>
          </cell>
          <cell r="P672">
            <v>471</v>
          </cell>
          <cell r="Q672">
            <v>261</v>
          </cell>
          <cell r="R672">
            <v>592.5</v>
          </cell>
          <cell r="S672">
            <v>724.1</v>
          </cell>
          <cell r="T672">
            <v>655.5</v>
          </cell>
          <cell r="U672">
            <v>570</v>
          </cell>
          <cell r="V672">
            <v>640.70000000000005</v>
          </cell>
          <cell r="W672">
            <v>625</v>
          </cell>
          <cell r="X672">
            <v>645</v>
          </cell>
          <cell r="Y672">
            <v>734.5</v>
          </cell>
          <cell r="Z672">
            <v>813</v>
          </cell>
          <cell r="AA672">
            <v>672</v>
          </cell>
          <cell r="AB672">
            <v>528</v>
          </cell>
          <cell r="AC672">
            <v>669</v>
          </cell>
          <cell r="AD672">
            <v>576</v>
          </cell>
          <cell r="AE672">
            <v>563</v>
          </cell>
          <cell r="AF672">
            <v>685</v>
          </cell>
          <cell r="AG672">
            <v>625</v>
          </cell>
          <cell r="AH672">
            <v>558</v>
          </cell>
          <cell r="AI672">
            <v>744</v>
          </cell>
          <cell r="AJ672">
            <v>597</v>
          </cell>
          <cell r="AK672">
            <v>388</v>
          </cell>
          <cell r="AL672">
            <v>358</v>
          </cell>
          <cell r="AM672">
            <v>395</v>
          </cell>
          <cell r="AN672">
            <v>256</v>
          </cell>
          <cell r="AO672">
            <v>281</v>
          </cell>
          <cell r="AP672">
            <v>390</v>
          </cell>
          <cell r="AQ672">
            <v>1151</v>
          </cell>
          <cell r="AR672">
            <v>1244</v>
          </cell>
          <cell r="AS672">
            <v>1216</v>
          </cell>
          <cell r="AT672">
            <v>1130</v>
          </cell>
          <cell r="AU672">
            <v>906</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0</v>
          </cell>
        </row>
        <row r="673">
          <cell r="G673">
            <v>663</v>
          </cell>
          <cell r="H673" t="str">
            <v>Target (Budget)</v>
          </cell>
          <cell r="I673">
            <v>0</v>
          </cell>
          <cell r="J673">
            <v>0</v>
          </cell>
          <cell r="K673">
            <v>0</v>
          </cell>
          <cell r="L673">
            <v>346</v>
          </cell>
          <cell r="M673">
            <v>346</v>
          </cell>
          <cell r="N673">
            <v>346</v>
          </cell>
          <cell r="O673">
            <v>346</v>
          </cell>
          <cell r="P673">
            <v>346</v>
          </cell>
          <cell r="Q673">
            <v>346</v>
          </cell>
          <cell r="R673">
            <v>346</v>
          </cell>
          <cell r="S673">
            <v>346</v>
          </cell>
          <cell r="T673">
            <v>346</v>
          </cell>
          <cell r="U673">
            <v>346</v>
          </cell>
          <cell r="V673">
            <v>346</v>
          </cell>
          <cell r="W673">
            <v>346</v>
          </cell>
          <cell r="X673">
            <v>645</v>
          </cell>
          <cell r="Y673">
            <v>500</v>
          </cell>
          <cell r="Z673">
            <v>500</v>
          </cell>
          <cell r="AA673">
            <v>500</v>
          </cell>
          <cell r="AB673">
            <v>500</v>
          </cell>
          <cell r="AC673">
            <v>400</v>
          </cell>
          <cell r="AD673">
            <v>400</v>
          </cell>
          <cell r="AE673">
            <v>500</v>
          </cell>
          <cell r="AF673">
            <v>500</v>
          </cell>
          <cell r="AG673">
            <v>500</v>
          </cell>
          <cell r="AH673">
            <v>500</v>
          </cell>
          <cell r="AI673">
            <v>500</v>
          </cell>
          <cell r="AJ673">
            <v>500</v>
          </cell>
          <cell r="AK673">
            <v>500</v>
          </cell>
          <cell r="AL673">
            <v>500</v>
          </cell>
          <cell r="AM673">
            <v>500</v>
          </cell>
          <cell r="AN673">
            <v>500</v>
          </cell>
          <cell r="AO673">
            <v>500</v>
          </cell>
          <cell r="AP673">
            <v>500</v>
          </cell>
          <cell r="AQ673">
            <v>2000</v>
          </cell>
          <cell r="AR673">
            <v>2000</v>
          </cell>
          <cell r="AS673">
            <v>2000</v>
          </cell>
          <cell r="AT673">
            <v>2000</v>
          </cell>
          <cell r="AU673">
            <v>1500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0</v>
          </cell>
          <cell r="BJ673">
            <v>0</v>
          </cell>
          <cell r="BK673">
            <v>0</v>
          </cell>
          <cell r="BL673">
            <v>0</v>
          </cell>
        </row>
        <row r="674">
          <cell r="G674">
            <v>664</v>
          </cell>
          <cell r="H674" t="str">
            <v>Target (Budget) Variance</v>
          </cell>
          <cell r="I674">
            <v>0</v>
          </cell>
          <cell r="J674">
            <v>0</v>
          </cell>
          <cell r="K674">
            <v>0</v>
          </cell>
          <cell r="L674">
            <v>294</v>
          </cell>
          <cell r="M674">
            <v>116.25</v>
          </cell>
          <cell r="N674">
            <v>143.80000000000001</v>
          </cell>
          <cell r="O674">
            <v>389.5</v>
          </cell>
          <cell r="P674">
            <v>125</v>
          </cell>
          <cell r="Q674">
            <v>-85</v>
          </cell>
          <cell r="R674">
            <v>246.5</v>
          </cell>
          <cell r="S674">
            <v>378.1</v>
          </cell>
          <cell r="T674">
            <v>309.5</v>
          </cell>
          <cell r="U674">
            <v>224</v>
          </cell>
          <cell r="V674">
            <v>294.70000000000005</v>
          </cell>
          <cell r="W674">
            <v>279</v>
          </cell>
          <cell r="X674">
            <v>0</v>
          </cell>
          <cell r="Y674">
            <v>234.5</v>
          </cell>
          <cell r="Z674">
            <v>313</v>
          </cell>
          <cell r="AA674">
            <v>172</v>
          </cell>
          <cell r="AB674">
            <v>28</v>
          </cell>
          <cell r="AC674">
            <v>269</v>
          </cell>
          <cell r="AD674">
            <v>176</v>
          </cell>
          <cell r="AE674">
            <v>63</v>
          </cell>
          <cell r="AF674">
            <v>185</v>
          </cell>
          <cell r="AG674">
            <v>125</v>
          </cell>
          <cell r="AH674">
            <v>58</v>
          </cell>
          <cell r="AI674">
            <v>244</v>
          </cell>
          <cell r="AJ674">
            <v>96.5</v>
          </cell>
          <cell r="AK674">
            <v>-112</v>
          </cell>
          <cell r="AL674">
            <v>-142</v>
          </cell>
          <cell r="AM674">
            <v>-105</v>
          </cell>
          <cell r="AN674">
            <v>-244</v>
          </cell>
          <cell r="AO674">
            <v>-219</v>
          </cell>
          <cell r="AP674">
            <v>-110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0</v>
          </cell>
          <cell r="BJ674">
            <v>0</v>
          </cell>
          <cell r="BK674">
            <v>0</v>
          </cell>
          <cell r="BL674">
            <v>0</v>
          </cell>
        </row>
        <row r="675">
          <cell r="G675">
            <v>665</v>
          </cell>
          <cell r="H675" t="str">
            <v>Target (Budget) %Var</v>
          </cell>
          <cell r="I675">
            <v>0</v>
          </cell>
          <cell r="J675">
            <v>0</v>
          </cell>
          <cell r="K675">
            <v>0</v>
          </cell>
          <cell r="L675">
            <v>0.8497109826589595</v>
          </cell>
          <cell r="M675">
            <v>0.33598265895953755</v>
          </cell>
          <cell r="N675">
            <v>0.41560693641618501</v>
          </cell>
          <cell r="O675">
            <v>1.1257225433526012</v>
          </cell>
          <cell r="P675">
            <v>0.36127167630057805</v>
          </cell>
          <cell r="Q675">
            <v>-0.24566473988439305</v>
          </cell>
          <cell r="R675">
            <v>0.71242774566473988</v>
          </cell>
          <cell r="S675">
            <v>1.0927745664739885</v>
          </cell>
          <cell r="T675">
            <v>0.8945086705202312</v>
          </cell>
          <cell r="U675">
            <v>0.64739884393063585</v>
          </cell>
          <cell r="V675">
            <v>0.85173410404624295</v>
          </cell>
          <cell r="W675">
            <v>0.80635838150289019</v>
          </cell>
          <cell r="X675">
            <v>0</v>
          </cell>
          <cell r="Y675">
            <v>0.46899999999999997</v>
          </cell>
          <cell r="Z675">
            <v>0.626</v>
          </cell>
          <cell r="AA675">
            <v>0.34399999999999997</v>
          </cell>
          <cell r="AB675">
            <v>5.6000000000000001E-2</v>
          </cell>
          <cell r="AC675">
            <v>0.67249999999999999</v>
          </cell>
          <cell r="AD675">
            <v>0.44</v>
          </cell>
          <cell r="AE675">
            <v>0.126</v>
          </cell>
          <cell r="AF675">
            <v>0.37</v>
          </cell>
          <cell r="AG675">
            <v>0.25</v>
          </cell>
          <cell r="AH675">
            <v>0.11600000000000001</v>
          </cell>
          <cell r="AI675">
            <v>0.48799999999999999</v>
          </cell>
          <cell r="AJ675">
            <v>0.193</v>
          </cell>
          <cell r="AK675">
            <v>-0.224</v>
          </cell>
          <cell r="AL675">
            <v>-0.28399999999999997</v>
          </cell>
          <cell r="AM675">
            <v>-0.21</v>
          </cell>
          <cell r="AN675">
            <v>-0.48799999999999999</v>
          </cell>
          <cell r="AO675">
            <v>-0.438</v>
          </cell>
          <cell r="AP675">
            <v>-0.22</v>
          </cell>
          <cell r="AQ675" t="e">
            <v>#DIV/0!</v>
          </cell>
          <cell r="AR675" t="e">
            <v>#DIV/0!</v>
          </cell>
          <cell r="AS675" t="e">
            <v>#DIV/0!</v>
          </cell>
          <cell r="AT675" t="e">
            <v>#DIV/0!</v>
          </cell>
          <cell r="AU675" t="e">
            <v>#DIV/0!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0</v>
          </cell>
        </row>
        <row r="676">
          <cell r="G676">
            <v>666</v>
          </cell>
          <cell r="H676" t="str">
            <v>YTD Actual</v>
          </cell>
          <cell r="I676">
            <v>0</v>
          </cell>
          <cell r="J676">
            <v>0</v>
          </cell>
          <cell r="K676">
            <v>0</v>
          </cell>
          <cell r="L676">
            <v>640</v>
          </cell>
          <cell r="M676">
            <v>1102.25</v>
          </cell>
          <cell r="N676">
            <v>1592.05</v>
          </cell>
          <cell r="O676">
            <v>2327.5500000000002</v>
          </cell>
          <cell r="P676">
            <v>2798.55</v>
          </cell>
          <cell r="Q676">
            <v>3059.55</v>
          </cell>
          <cell r="R676">
            <v>3652.05</v>
          </cell>
          <cell r="S676">
            <v>4376.1500000000005</v>
          </cell>
          <cell r="T676">
            <v>5031.6500000000005</v>
          </cell>
          <cell r="U676">
            <v>5601.6500000000005</v>
          </cell>
          <cell r="V676">
            <v>6242.35</v>
          </cell>
          <cell r="W676">
            <v>6867.35</v>
          </cell>
          <cell r="X676">
            <v>645</v>
          </cell>
          <cell r="Y676">
            <v>1379.5</v>
          </cell>
          <cell r="Z676">
            <v>2192.5</v>
          </cell>
          <cell r="AA676">
            <v>2864.5</v>
          </cell>
          <cell r="AB676">
            <v>3392.5</v>
          </cell>
          <cell r="AC676">
            <v>4061.5</v>
          </cell>
          <cell r="AD676">
            <v>4637.5</v>
          </cell>
          <cell r="AE676">
            <v>5200.5</v>
          </cell>
          <cell r="AF676">
            <v>5885.5</v>
          </cell>
          <cell r="AG676">
            <v>6510.5</v>
          </cell>
          <cell r="AH676">
            <v>7068.5</v>
          </cell>
          <cell r="AI676">
            <v>7812.5</v>
          </cell>
          <cell r="AJ676">
            <v>597</v>
          </cell>
          <cell r="AK676">
            <v>985</v>
          </cell>
          <cell r="AL676">
            <v>1343</v>
          </cell>
          <cell r="AM676">
            <v>1738</v>
          </cell>
          <cell r="AN676">
            <v>1994</v>
          </cell>
          <cell r="AO676">
            <v>2275</v>
          </cell>
          <cell r="AP676">
            <v>2665</v>
          </cell>
          <cell r="AQ676">
            <v>2665</v>
          </cell>
          <cell r="AR676">
            <v>2665</v>
          </cell>
          <cell r="AS676">
            <v>2665</v>
          </cell>
          <cell r="AT676">
            <v>2665</v>
          </cell>
          <cell r="AU676">
            <v>2665</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0</v>
          </cell>
          <cell r="BJ676">
            <v>0</v>
          </cell>
          <cell r="BK676">
            <v>0</v>
          </cell>
          <cell r="BL676">
            <v>0</v>
          </cell>
        </row>
        <row r="677">
          <cell r="G677">
            <v>667</v>
          </cell>
          <cell r="H677" t="str">
            <v>YTD Target (Budget)</v>
          </cell>
          <cell r="I677">
            <v>0</v>
          </cell>
          <cell r="J677">
            <v>0</v>
          </cell>
          <cell r="K677">
            <v>0</v>
          </cell>
          <cell r="L677">
            <v>346</v>
          </cell>
          <cell r="M677">
            <v>692</v>
          </cell>
          <cell r="N677">
            <v>1038</v>
          </cell>
          <cell r="O677">
            <v>1384</v>
          </cell>
          <cell r="P677">
            <v>1730</v>
          </cell>
          <cell r="Q677">
            <v>2076</v>
          </cell>
          <cell r="R677">
            <v>2422</v>
          </cell>
          <cell r="S677">
            <v>2768</v>
          </cell>
          <cell r="T677">
            <v>3114</v>
          </cell>
          <cell r="U677">
            <v>3460</v>
          </cell>
          <cell r="V677">
            <v>3806</v>
          </cell>
          <cell r="W677">
            <v>4152</v>
          </cell>
          <cell r="X677">
            <v>645</v>
          </cell>
          <cell r="Y677">
            <v>1145</v>
          </cell>
          <cell r="Z677">
            <v>1645</v>
          </cell>
          <cell r="AA677">
            <v>2145</v>
          </cell>
          <cell r="AB677">
            <v>2645</v>
          </cell>
          <cell r="AC677">
            <v>3045</v>
          </cell>
          <cell r="AD677">
            <v>3445</v>
          </cell>
          <cell r="AE677">
            <v>3945</v>
          </cell>
          <cell r="AF677">
            <v>4445</v>
          </cell>
          <cell r="AG677">
            <v>4945</v>
          </cell>
          <cell r="AH677">
            <v>5445</v>
          </cell>
          <cell r="AI677">
            <v>5945</v>
          </cell>
          <cell r="AJ677">
            <v>500</v>
          </cell>
          <cell r="AK677">
            <v>1000</v>
          </cell>
          <cell r="AL677">
            <v>1500</v>
          </cell>
          <cell r="AM677">
            <v>2000</v>
          </cell>
          <cell r="AN677">
            <v>2500</v>
          </cell>
          <cell r="AO677">
            <v>3000</v>
          </cell>
          <cell r="AP677">
            <v>3500</v>
          </cell>
          <cell r="AQ677">
            <v>3500</v>
          </cell>
          <cell r="AR677">
            <v>3500</v>
          </cell>
          <cell r="AS677">
            <v>3500</v>
          </cell>
          <cell r="AT677">
            <v>3500</v>
          </cell>
          <cell r="AU677">
            <v>3500</v>
          </cell>
          <cell r="AV677">
            <v>0</v>
          </cell>
          <cell r="AW677">
            <v>0</v>
          </cell>
          <cell r="AX677">
            <v>0</v>
          </cell>
          <cell r="AY677">
            <v>0</v>
          </cell>
          <cell r="AZ677">
            <v>0</v>
          </cell>
          <cell r="BA677">
            <v>0</v>
          </cell>
          <cell r="BB677">
            <v>0</v>
          </cell>
          <cell r="BC677">
            <v>0</v>
          </cell>
          <cell r="BD677">
            <v>0</v>
          </cell>
          <cell r="BE677">
            <v>0</v>
          </cell>
          <cell r="BF677">
            <v>0</v>
          </cell>
          <cell r="BG677">
            <v>0</v>
          </cell>
          <cell r="BH677">
            <v>0</v>
          </cell>
          <cell r="BI677">
            <v>0</v>
          </cell>
          <cell r="BJ677">
            <v>0</v>
          </cell>
          <cell r="BK677">
            <v>0</v>
          </cell>
          <cell r="BL677">
            <v>0</v>
          </cell>
        </row>
        <row r="678">
          <cell r="G678">
            <v>668</v>
          </cell>
          <cell r="H678" t="str">
            <v>YTD Target (Budget) Var</v>
          </cell>
          <cell r="I678">
            <v>0</v>
          </cell>
          <cell r="J678">
            <v>0</v>
          </cell>
          <cell r="K678">
            <v>0</v>
          </cell>
          <cell r="L678">
            <v>294</v>
          </cell>
          <cell r="M678">
            <v>410.25</v>
          </cell>
          <cell r="N678">
            <v>554.04999999999995</v>
          </cell>
          <cell r="O678">
            <v>943.55000000000018</v>
          </cell>
          <cell r="P678">
            <v>1068.5500000000002</v>
          </cell>
          <cell r="Q678">
            <v>983.55000000000018</v>
          </cell>
          <cell r="R678">
            <v>1230.0500000000002</v>
          </cell>
          <cell r="S678">
            <v>1608.1500000000005</v>
          </cell>
          <cell r="T678">
            <v>1917.6500000000005</v>
          </cell>
          <cell r="U678">
            <v>2141.6500000000005</v>
          </cell>
          <cell r="V678">
            <v>2436.3500000000004</v>
          </cell>
          <cell r="W678">
            <v>2715.3500000000004</v>
          </cell>
          <cell r="X678">
            <v>0</v>
          </cell>
          <cell r="Y678">
            <v>234.5</v>
          </cell>
          <cell r="Z678">
            <v>547.5</v>
          </cell>
          <cell r="AA678">
            <v>719.5</v>
          </cell>
          <cell r="AB678">
            <v>747.5</v>
          </cell>
          <cell r="AC678">
            <v>1016.5</v>
          </cell>
          <cell r="AD678">
            <v>1192.5</v>
          </cell>
          <cell r="AE678">
            <v>1255.5</v>
          </cell>
          <cell r="AF678">
            <v>1440.5</v>
          </cell>
          <cell r="AG678">
            <v>1565.5</v>
          </cell>
          <cell r="AH678">
            <v>1623.5</v>
          </cell>
          <cell r="AI678">
            <v>1867.5</v>
          </cell>
          <cell r="AJ678">
            <v>97</v>
          </cell>
          <cell r="AK678">
            <v>-15</v>
          </cell>
          <cell r="AL678">
            <v>-157</v>
          </cell>
          <cell r="AM678">
            <v>-262</v>
          </cell>
          <cell r="AN678">
            <v>-506</v>
          </cell>
          <cell r="AO678">
            <v>-725</v>
          </cell>
          <cell r="AP678">
            <v>-835</v>
          </cell>
          <cell r="AQ678">
            <v>-835</v>
          </cell>
          <cell r="AR678">
            <v>-835</v>
          </cell>
          <cell r="AS678">
            <v>-835</v>
          </cell>
          <cell r="AT678">
            <v>-835</v>
          </cell>
          <cell r="AU678">
            <v>-835</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G679">
            <v>669</v>
          </cell>
          <cell r="H679" t="str">
            <v>YTD %Var</v>
          </cell>
          <cell r="I679">
            <v>0</v>
          </cell>
          <cell r="J679">
            <v>0</v>
          </cell>
          <cell r="K679">
            <v>0</v>
          </cell>
          <cell r="L679">
            <v>0.8497109826589595</v>
          </cell>
          <cell r="M679">
            <v>0.59284682080924855</v>
          </cell>
          <cell r="N679">
            <v>0.53376685934489398</v>
          </cell>
          <cell r="O679">
            <v>0.68175578034682094</v>
          </cell>
          <cell r="P679">
            <v>0.61765895953757233</v>
          </cell>
          <cell r="Q679">
            <v>0.47377167630057815</v>
          </cell>
          <cell r="R679">
            <v>0.50786540049545836</v>
          </cell>
          <cell r="S679">
            <v>0.58097904624277474</v>
          </cell>
          <cell r="T679">
            <v>0.61581567116249214</v>
          </cell>
          <cell r="U679">
            <v>0.61897398843930651</v>
          </cell>
          <cell r="V679">
            <v>0.64013399894902789</v>
          </cell>
          <cell r="W679">
            <v>0.65398603082851647</v>
          </cell>
          <cell r="X679">
            <v>0</v>
          </cell>
          <cell r="Y679">
            <v>0.20480349344978166</v>
          </cell>
          <cell r="Z679">
            <v>0.33282674772036475</v>
          </cell>
          <cell r="AA679">
            <v>0.33543123543123543</v>
          </cell>
          <cell r="AB679">
            <v>0.28260869565217389</v>
          </cell>
          <cell r="AC679">
            <v>0.33382594417077177</v>
          </cell>
          <cell r="AD679">
            <v>0.34615384615384615</v>
          </cell>
          <cell r="AE679">
            <v>0.31825095057034219</v>
          </cell>
          <cell r="AF679">
            <v>0.32407199100112488</v>
          </cell>
          <cell r="AG679">
            <v>0.31658240647118302</v>
          </cell>
          <cell r="AH679">
            <v>0.29816345270890726</v>
          </cell>
          <cell r="AI679">
            <v>0.31412952060555088</v>
          </cell>
          <cell r="AJ679">
            <v>0.19400000000000001</v>
          </cell>
          <cell r="AK679">
            <v>-1.4999999999999999E-2</v>
          </cell>
          <cell r="AL679">
            <v>-0.10466666666666667</v>
          </cell>
          <cell r="AM679">
            <v>-0.13100000000000001</v>
          </cell>
          <cell r="AN679">
            <v>-0.2024</v>
          </cell>
          <cell r="AO679">
            <v>-0.24166666666666667</v>
          </cell>
          <cell r="AP679">
            <v>-0.23857142857142857</v>
          </cell>
          <cell r="AQ679">
            <v>-0.23857142857142857</v>
          </cell>
          <cell r="AR679">
            <v>-0.23857142857142857</v>
          </cell>
          <cell r="AS679">
            <v>-0.23857142857142857</v>
          </cell>
          <cell r="AT679">
            <v>-0.23857142857142857</v>
          </cell>
          <cell r="AU679">
            <v>-0.23857142857142857</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G680">
            <v>670</v>
          </cell>
          <cell r="H680" t="str">
            <v>4 Month Actual</v>
          </cell>
          <cell r="I680">
            <v>0</v>
          </cell>
          <cell r="J680">
            <v>0</v>
          </cell>
          <cell r="K680">
            <v>0</v>
          </cell>
          <cell r="L680">
            <v>640</v>
          </cell>
          <cell r="M680">
            <v>1102.25</v>
          </cell>
          <cell r="N680">
            <v>1592.05</v>
          </cell>
          <cell r="O680">
            <v>2327.5500000000002</v>
          </cell>
          <cell r="P680">
            <v>2158.5500000000002</v>
          </cell>
          <cell r="Q680">
            <v>1957.3</v>
          </cell>
          <cell r="R680">
            <v>2060</v>
          </cell>
          <cell r="S680">
            <v>2048.6</v>
          </cell>
          <cell r="T680">
            <v>2233.1</v>
          </cell>
          <cell r="U680">
            <v>2542.1</v>
          </cell>
          <cell r="V680">
            <v>2590.3000000000002</v>
          </cell>
          <cell r="W680">
            <v>2491.1999999999998</v>
          </cell>
          <cell r="X680">
            <v>2480.6999999999998</v>
          </cell>
          <cell r="Y680">
            <v>2645.2</v>
          </cell>
          <cell r="Z680">
            <v>2817.5</v>
          </cell>
          <cell r="AA680">
            <v>2864.5</v>
          </cell>
          <cell r="AB680">
            <v>2747.5</v>
          </cell>
          <cell r="AC680">
            <v>2682</v>
          </cell>
          <cell r="AD680">
            <v>2445</v>
          </cell>
          <cell r="AE680">
            <v>2336</v>
          </cell>
          <cell r="AF680">
            <v>2493</v>
          </cell>
          <cell r="AG680">
            <v>2449</v>
          </cell>
          <cell r="AH680">
            <v>2431</v>
          </cell>
          <cell r="AI680">
            <v>2612</v>
          </cell>
          <cell r="AJ680">
            <v>2524</v>
          </cell>
          <cell r="AK680">
            <v>2287</v>
          </cell>
          <cell r="AL680">
            <v>2087</v>
          </cell>
          <cell r="AM680">
            <v>1738</v>
          </cell>
          <cell r="AN680">
            <v>1397</v>
          </cell>
          <cell r="AO680">
            <v>1290</v>
          </cell>
          <cell r="AP680">
            <v>1322</v>
          </cell>
          <cell r="AQ680">
            <v>927</v>
          </cell>
          <cell r="AR680">
            <v>671</v>
          </cell>
          <cell r="AS680">
            <v>390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G681">
            <v>671</v>
          </cell>
          <cell r="H681" t="str">
            <v>4 Month Target (Budget)</v>
          </cell>
          <cell r="I681">
            <v>0</v>
          </cell>
          <cell r="J681">
            <v>0</v>
          </cell>
          <cell r="K681">
            <v>0</v>
          </cell>
          <cell r="L681">
            <v>346</v>
          </cell>
          <cell r="M681">
            <v>692</v>
          </cell>
          <cell r="N681">
            <v>1038</v>
          </cell>
          <cell r="O681">
            <v>1384</v>
          </cell>
          <cell r="P681">
            <v>1384</v>
          </cell>
          <cell r="Q681">
            <v>1384</v>
          </cell>
          <cell r="R681">
            <v>1384</v>
          </cell>
          <cell r="S681">
            <v>1384</v>
          </cell>
          <cell r="T681">
            <v>1384</v>
          </cell>
          <cell r="U681">
            <v>1384</v>
          </cell>
          <cell r="V681">
            <v>1384</v>
          </cell>
          <cell r="W681">
            <v>1384</v>
          </cell>
          <cell r="X681">
            <v>1683</v>
          </cell>
          <cell r="Y681">
            <v>1837</v>
          </cell>
          <cell r="Z681">
            <v>1991</v>
          </cell>
          <cell r="AA681">
            <v>2145</v>
          </cell>
          <cell r="AB681">
            <v>2000</v>
          </cell>
          <cell r="AC681">
            <v>1900</v>
          </cell>
          <cell r="AD681">
            <v>1800</v>
          </cell>
          <cell r="AE681">
            <v>1800</v>
          </cell>
          <cell r="AF681">
            <v>1800</v>
          </cell>
          <cell r="AG681">
            <v>1900</v>
          </cell>
          <cell r="AH681">
            <v>2000</v>
          </cell>
          <cell r="AI681">
            <v>2000</v>
          </cell>
          <cell r="AJ681">
            <v>2000</v>
          </cell>
          <cell r="AK681">
            <v>2000</v>
          </cell>
          <cell r="AL681">
            <v>2000</v>
          </cell>
          <cell r="AM681">
            <v>2000</v>
          </cell>
          <cell r="AN681">
            <v>2000</v>
          </cell>
          <cell r="AO681">
            <v>2000</v>
          </cell>
          <cell r="AP681">
            <v>2000</v>
          </cell>
          <cell r="AQ681">
            <v>1500</v>
          </cell>
          <cell r="AR681">
            <v>1000</v>
          </cell>
          <cell r="AS681">
            <v>500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G682">
            <v>672</v>
          </cell>
          <cell r="H682" t="str">
            <v>4 Month Target (Budget) Var</v>
          </cell>
          <cell r="I682">
            <v>0</v>
          </cell>
          <cell r="J682">
            <v>0</v>
          </cell>
          <cell r="K682">
            <v>0</v>
          </cell>
          <cell r="L682">
            <v>294</v>
          </cell>
          <cell r="M682">
            <v>410.25</v>
          </cell>
          <cell r="N682">
            <v>554.04999999999995</v>
          </cell>
          <cell r="O682">
            <v>943.55000000000018</v>
          </cell>
          <cell r="P682">
            <v>774.55000000000018</v>
          </cell>
          <cell r="Q682">
            <v>573.29999999999995</v>
          </cell>
          <cell r="R682">
            <v>676</v>
          </cell>
          <cell r="S682">
            <v>664.59999999999991</v>
          </cell>
          <cell r="T682">
            <v>849.09999999999991</v>
          </cell>
          <cell r="U682">
            <v>1158.0999999999999</v>
          </cell>
          <cell r="V682">
            <v>1206.3000000000002</v>
          </cell>
          <cell r="W682">
            <v>1107.1999999999998</v>
          </cell>
          <cell r="X682">
            <v>797.69999999999982</v>
          </cell>
          <cell r="Y682">
            <v>808.19999999999982</v>
          </cell>
          <cell r="Z682">
            <v>826.5</v>
          </cell>
          <cell r="AA682">
            <v>719.5</v>
          </cell>
          <cell r="AB682">
            <v>747.5</v>
          </cell>
          <cell r="AC682">
            <v>782</v>
          </cell>
          <cell r="AD682">
            <v>645</v>
          </cell>
          <cell r="AE682">
            <v>536</v>
          </cell>
          <cell r="AF682">
            <v>693</v>
          </cell>
          <cell r="AG682">
            <v>549</v>
          </cell>
          <cell r="AH682">
            <v>431</v>
          </cell>
          <cell r="AI682">
            <v>612</v>
          </cell>
          <cell r="AJ682">
            <v>524</v>
          </cell>
          <cell r="AK682">
            <v>287</v>
          </cell>
          <cell r="AL682">
            <v>87</v>
          </cell>
          <cell r="AM682">
            <v>-262</v>
          </cell>
          <cell r="AN682">
            <v>-603</v>
          </cell>
          <cell r="AO682">
            <v>-710</v>
          </cell>
          <cell r="AP682">
            <v>-678</v>
          </cell>
          <cell r="AQ682">
            <v>-573</v>
          </cell>
          <cell r="AR682">
            <v>-329</v>
          </cell>
          <cell r="AS682">
            <v>-110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G683">
            <v>673</v>
          </cell>
          <cell r="H683" t="str">
            <v>4 Month Target (Budget) % Var</v>
          </cell>
          <cell r="I683">
            <v>0</v>
          </cell>
          <cell r="J683">
            <v>0</v>
          </cell>
          <cell r="K683">
            <v>0</v>
          </cell>
          <cell r="L683">
            <v>0.8497109826589595</v>
          </cell>
          <cell r="M683">
            <v>0.59284682080924855</v>
          </cell>
          <cell r="N683">
            <v>0.53376685934489398</v>
          </cell>
          <cell r="O683">
            <v>0.68175578034682094</v>
          </cell>
          <cell r="P683">
            <v>0.55964595375722559</v>
          </cell>
          <cell r="Q683">
            <v>0.41423410404624272</v>
          </cell>
          <cell r="R683">
            <v>0.48843930635838151</v>
          </cell>
          <cell r="S683">
            <v>0.48020231213872827</v>
          </cell>
          <cell r="T683">
            <v>0.61351156069364154</v>
          </cell>
          <cell r="U683">
            <v>0.83677745664739878</v>
          </cell>
          <cell r="V683">
            <v>0.87160404624277465</v>
          </cell>
          <cell r="W683">
            <v>0.79999999999999982</v>
          </cell>
          <cell r="X683">
            <v>0.47397504456327977</v>
          </cell>
          <cell r="Y683">
            <v>0.43995645073489376</v>
          </cell>
          <cell r="Z683">
            <v>0.41511803114013057</v>
          </cell>
          <cell r="AA683">
            <v>0.33543123543123543</v>
          </cell>
          <cell r="AB683">
            <v>0.37375000000000003</v>
          </cell>
          <cell r="AC683">
            <v>0.41157894736842104</v>
          </cell>
          <cell r="AD683">
            <v>0.35833333333333334</v>
          </cell>
          <cell r="AE683">
            <v>0.29777777777777775</v>
          </cell>
          <cell r="AF683">
            <v>0.38500000000000001</v>
          </cell>
          <cell r="AG683">
            <v>0.28894736842105262</v>
          </cell>
          <cell r="AH683">
            <v>0.2155</v>
          </cell>
          <cell r="AI683">
            <v>0.30599999999999999</v>
          </cell>
          <cell r="AJ683">
            <v>0.26200000000000001</v>
          </cell>
          <cell r="AK683">
            <v>0.14349999999999999</v>
          </cell>
          <cell r="AL683">
            <v>4.3499999999999997E-2</v>
          </cell>
          <cell r="AM683">
            <v>-0.13100000000000001</v>
          </cell>
          <cell r="AN683">
            <v>-0.30149999999999999</v>
          </cell>
          <cell r="AO683">
            <v>-0.35499999999999998</v>
          </cell>
          <cell r="AP683">
            <v>-0.33900000000000002</v>
          </cell>
          <cell r="AQ683">
            <v>-0.38200000000000001</v>
          </cell>
          <cell r="AR683">
            <v>-0.32900000000000001</v>
          </cell>
          <cell r="AS683">
            <v>-0.22</v>
          </cell>
          <cell r="AT683" t="e">
            <v>#DIV/0!</v>
          </cell>
          <cell r="AU683" t="e">
            <v>#DIV/0!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G684">
            <v>674</v>
          </cell>
          <cell r="H684" t="str">
            <v>Actual</v>
          </cell>
          <cell r="I684">
            <v>0</v>
          </cell>
          <cell r="J684">
            <v>0</v>
          </cell>
          <cell r="K684">
            <v>0</v>
          </cell>
          <cell r="L684">
            <v>10059679</v>
          </cell>
          <cell r="M684">
            <v>13778716</v>
          </cell>
          <cell r="N684">
            <v>7455710</v>
          </cell>
          <cell r="O684">
            <v>9686325</v>
          </cell>
          <cell r="P684">
            <v>7228737</v>
          </cell>
          <cell r="Q684">
            <v>9387907</v>
          </cell>
          <cell r="R684">
            <v>8980627</v>
          </cell>
          <cell r="S684">
            <v>7353647</v>
          </cell>
          <cell r="T684">
            <v>8615980</v>
          </cell>
          <cell r="U684">
            <v>11128267</v>
          </cell>
          <cell r="V684">
            <v>9135928</v>
          </cell>
          <cell r="W684">
            <v>6087627</v>
          </cell>
          <cell r="X684">
            <v>10438011</v>
          </cell>
          <cell r="Y684">
            <v>10432362</v>
          </cell>
          <cell r="Z684">
            <v>9709384</v>
          </cell>
          <cell r="AA684">
            <v>9315734</v>
          </cell>
          <cell r="AB684">
            <v>7863360</v>
          </cell>
          <cell r="AC684">
            <v>8237543</v>
          </cell>
          <cell r="AD684">
            <v>9047334</v>
          </cell>
          <cell r="AE684">
            <v>5966632</v>
          </cell>
          <cell r="AF684">
            <v>6906702</v>
          </cell>
          <cell r="AG684">
            <v>11397106</v>
          </cell>
          <cell r="AH684">
            <v>8416177</v>
          </cell>
          <cell r="AI684">
            <v>5695809</v>
          </cell>
          <cell r="AJ684">
            <v>10370192</v>
          </cell>
          <cell r="AK684">
            <v>10013451</v>
          </cell>
          <cell r="AL684">
            <v>6425220</v>
          </cell>
          <cell r="AM684">
            <v>7709575</v>
          </cell>
          <cell r="AN684">
            <v>7665920</v>
          </cell>
          <cell r="AO684">
            <v>8688924</v>
          </cell>
          <cell r="AP684">
            <v>11226237</v>
          </cell>
          <cell r="AQ684">
            <v>36609918</v>
          </cell>
          <cell r="AR684">
            <v>38354868</v>
          </cell>
          <cell r="AS684">
            <v>39646975</v>
          </cell>
          <cell r="AT684">
            <v>36818324</v>
          </cell>
          <cell r="AU684">
            <v>27913108</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G685">
            <v>675</v>
          </cell>
          <cell r="H685" t="str">
            <v>Target (Budget)</v>
          </cell>
          <cell r="I685">
            <v>0</v>
          </cell>
          <cell r="J685">
            <v>0</v>
          </cell>
          <cell r="K685">
            <v>0</v>
          </cell>
          <cell r="L685">
            <v>9654429</v>
          </cell>
          <cell r="M685">
            <v>15441355</v>
          </cell>
          <cell r="N685">
            <v>11051712</v>
          </cell>
          <cell r="O685">
            <v>8062701</v>
          </cell>
          <cell r="P685">
            <v>7519431</v>
          </cell>
          <cell r="Q685">
            <v>8888349</v>
          </cell>
          <cell r="R685">
            <v>9107092</v>
          </cell>
          <cell r="S685">
            <v>7807199</v>
          </cell>
          <cell r="T685">
            <v>9804837.5</v>
          </cell>
          <cell r="U685">
            <v>13722225.5</v>
          </cell>
          <cell r="V685">
            <v>8104465</v>
          </cell>
          <cell r="W685">
            <v>8545360</v>
          </cell>
          <cell r="X685">
            <v>10562662.950000001</v>
          </cell>
          <cell r="Y685">
            <v>14467651.800000001</v>
          </cell>
          <cell r="Z685">
            <v>7828495.5</v>
          </cell>
          <cell r="AA685">
            <v>10170641.25</v>
          </cell>
          <cell r="AB685">
            <v>7590173.8500000006</v>
          </cell>
          <cell r="AC685">
            <v>9857302.3499999996</v>
          </cell>
          <cell r="AD685">
            <v>9429658.3499999996</v>
          </cell>
          <cell r="AE685">
            <v>8063769</v>
          </cell>
          <cell r="AF685">
            <v>9046779</v>
          </cell>
          <cell r="AG685">
            <v>11684680.35</v>
          </cell>
          <cell r="AH685">
            <v>9592724.4000000004</v>
          </cell>
          <cell r="AI685">
            <v>6392008.3500000006</v>
          </cell>
          <cell r="AJ685">
            <v>10472533</v>
          </cell>
          <cell r="AK685">
            <v>10466875</v>
          </cell>
          <cell r="AL685">
            <v>9741505</v>
          </cell>
          <cell r="AM685">
            <v>9346553</v>
          </cell>
          <cell r="AN685">
            <v>7889374</v>
          </cell>
          <cell r="AO685">
            <v>8264795</v>
          </cell>
          <cell r="AP685">
            <v>9395255</v>
          </cell>
          <cell r="AQ685">
            <v>33196217.288916163</v>
          </cell>
          <cell r="AR685">
            <v>31642367.777992018</v>
          </cell>
          <cell r="AS685">
            <v>31425843.575289704</v>
          </cell>
          <cell r="AT685">
            <v>33332300.524035931</v>
          </cell>
          <cell r="AU685">
            <v>25971479</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G686">
            <v>676</v>
          </cell>
          <cell r="H686" t="str">
            <v>Target (Budget) Variance</v>
          </cell>
          <cell r="I686">
            <v>0</v>
          </cell>
          <cell r="J686">
            <v>0</v>
          </cell>
          <cell r="K686">
            <v>0</v>
          </cell>
          <cell r="L686">
            <v>405250</v>
          </cell>
          <cell r="M686">
            <v>-1662639</v>
          </cell>
          <cell r="N686">
            <v>-3596002</v>
          </cell>
          <cell r="O686">
            <v>1623624</v>
          </cell>
          <cell r="P686">
            <v>-290694</v>
          </cell>
          <cell r="Q686">
            <v>499558</v>
          </cell>
          <cell r="R686">
            <v>-126465</v>
          </cell>
          <cell r="S686">
            <v>-453552</v>
          </cell>
          <cell r="T686">
            <v>-1188857.5</v>
          </cell>
          <cell r="U686">
            <v>-2593958.5</v>
          </cell>
          <cell r="V686">
            <v>1031463</v>
          </cell>
          <cell r="W686">
            <v>-2457733</v>
          </cell>
          <cell r="X686">
            <v>-124651.95000000112</v>
          </cell>
          <cell r="Y686">
            <v>-4035289.8000000007</v>
          </cell>
          <cell r="Z686">
            <v>1880888.5</v>
          </cell>
          <cell r="AA686">
            <v>-854907.25</v>
          </cell>
          <cell r="AB686">
            <v>273186.14999999944</v>
          </cell>
          <cell r="AC686">
            <v>-1619759.3499999996</v>
          </cell>
          <cell r="AD686">
            <v>-382324.34999999963</v>
          </cell>
          <cell r="AE686">
            <v>-2097137</v>
          </cell>
          <cell r="AF686">
            <v>-2140077</v>
          </cell>
          <cell r="AG686">
            <v>-287574.34999999963</v>
          </cell>
          <cell r="AH686">
            <v>-1176547.4000000004</v>
          </cell>
          <cell r="AI686">
            <v>-696199.35000000056</v>
          </cell>
          <cell r="AJ686">
            <v>-102341</v>
          </cell>
          <cell r="AK686">
            <v>-453424</v>
          </cell>
          <cell r="AL686">
            <v>-3316285</v>
          </cell>
          <cell r="AM686">
            <v>-1636978</v>
          </cell>
          <cell r="AN686">
            <v>-223454</v>
          </cell>
          <cell r="AO686">
            <v>424129</v>
          </cell>
          <cell r="AP686">
            <v>1830982</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G687">
            <v>677</v>
          </cell>
          <cell r="H687" t="str">
            <v>Target (Budget) %Var</v>
          </cell>
          <cell r="I687">
            <v>0</v>
          </cell>
          <cell r="J687">
            <v>0</v>
          </cell>
          <cell r="K687">
            <v>0</v>
          </cell>
          <cell r="L687">
            <v>4.1975553396270252E-2</v>
          </cell>
          <cell r="M687">
            <v>-0.10767442364999703</v>
          </cell>
          <cell r="N687">
            <v>-0.32537963349026827</v>
          </cell>
          <cell r="O687">
            <v>0.20137470061211496</v>
          </cell>
          <cell r="P687">
            <v>-3.865904215358848E-2</v>
          </cell>
          <cell r="Q687">
            <v>5.6203688671540686E-2</v>
          </cell>
          <cell r="R687">
            <v>-1.3886430487360839E-2</v>
          </cell>
          <cell r="S687">
            <v>-5.8094074456152583E-2</v>
          </cell>
          <cell r="T687">
            <v>-0.121252137019099</v>
          </cell>
          <cell r="U687">
            <v>-0.18903336780174615</v>
          </cell>
          <cell r="V687">
            <v>0.12727095496124666</v>
          </cell>
          <cell r="W687">
            <v>-0.28761023526217738</v>
          </cell>
          <cell r="X687">
            <v>-1.1801185987857456E-2</v>
          </cell>
          <cell r="Y687">
            <v>-0.27891808952714775</v>
          </cell>
          <cell r="Z687">
            <v>0.2402618102035059</v>
          </cell>
          <cell r="AA687">
            <v>-8.4056376484619388E-2</v>
          </cell>
          <cell r="AB687">
            <v>3.5992080734751471E-2</v>
          </cell>
          <cell r="AC687">
            <v>-0.1643207535376045</v>
          </cell>
          <cell r="AD687">
            <v>-4.0544878277588882E-2</v>
          </cell>
          <cell r="AE687">
            <v>-0.26006908184001798</v>
          </cell>
          <cell r="AF687">
            <v>-0.23655678999122229</v>
          </cell>
          <cell r="AG687">
            <v>-2.4611229523279141E-2</v>
          </cell>
          <cell r="AH687">
            <v>-0.12264997418251694</v>
          </cell>
          <cell r="AI687">
            <v>-0.10891715277562185</v>
          </cell>
          <cell r="AJ687">
            <v>-9.7723253772511384E-3</v>
          </cell>
          <cell r="AK687">
            <v>-4.3319902072012896E-2</v>
          </cell>
          <cell r="AL687">
            <v>-0.34042840402997276</v>
          </cell>
          <cell r="AM687">
            <v>-0.17514242951385392</v>
          </cell>
          <cell r="AN687">
            <v>-2.8323413239123914E-2</v>
          </cell>
          <cell r="AO687">
            <v>5.1317546291226826E-2</v>
          </cell>
          <cell r="AP687">
            <v>0.19488369394976507</v>
          </cell>
          <cell r="AQ687" t="e">
            <v>#DIV/0!</v>
          </cell>
          <cell r="AR687" t="e">
            <v>#DIV/0!</v>
          </cell>
          <cell r="AS687" t="e">
            <v>#DIV/0!</v>
          </cell>
          <cell r="AT687" t="e">
            <v>#DIV/0!</v>
          </cell>
          <cell r="AU687" t="e">
            <v>#DIV/0!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G688">
            <v>678</v>
          </cell>
          <cell r="H688" t="str">
            <v>YTD Actual</v>
          </cell>
          <cell r="I688">
            <v>0</v>
          </cell>
          <cell r="J688">
            <v>0</v>
          </cell>
          <cell r="K688">
            <v>0</v>
          </cell>
          <cell r="L688">
            <v>10059679</v>
          </cell>
          <cell r="M688">
            <v>23838395</v>
          </cell>
          <cell r="N688">
            <v>31294105</v>
          </cell>
          <cell r="O688">
            <v>40980430</v>
          </cell>
          <cell r="P688">
            <v>48209167</v>
          </cell>
          <cell r="Q688">
            <v>57597074</v>
          </cell>
          <cell r="R688">
            <v>66577701</v>
          </cell>
          <cell r="S688">
            <v>73931348</v>
          </cell>
          <cell r="T688">
            <v>82547328</v>
          </cell>
          <cell r="U688">
            <v>93675595</v>
          </cell>
          <cell r="V688">
            <v>102811523</v>
          </cell>
          <cell r="W688">
            <v>108899150</v>
          </cell>
          <cell r="X688">
            <v>10438011</v>
          </cell>
          <cell r="Y688">
            <v>20870373</v>
          </cell>
          <cell r="Z688">
            <v>30579757</v>
          </cell>
          <cell r="AA688">
            <v>39895491</v>
          </cell>
          <cell r="AB688">
            <v>47758851</v>
          </cell>
          <cell r="AC688">
            <v>55996394</v>
          </cell>
          <cell r="AD688">
            <v>65043728</v>
          </cell>
          <cell r="AE688">
            <v>71010360</v>
          </cell>
          <cell r="AF688">
            <v>77917062</v>
          </cell>
          <cell r="AG688">
            <v>89314168</v>
          </cell>
          <cell r="AH688">
            <v>97730345</v>
          </cell>
          <cell r="AI688">
            <v>103426154</v>
          </cell>
          <cell r="AJ688">
            <v>10370192</v>
          </cell>
          <cell r="AK688">
            <v>20383643</v>
          </cell>
          <cell r="AL688">
            <v>26808863</v>
          </cell>
          <cell r="AM688">
            <v>34518438</v>
          </cell>
          <cell r="AN688">
            <v>42184358</v>
          </cell>
          <cell r="AO688">
            <v>50873282</v>
          </cell>
          <cell r="AP688">
            <v>62099519</v>
          </cell>
          <cell r="AQ688">
            <v>62099519</v>
          </cell>
          <cell r="AR688">
            <v>62099519</v>
          </cell>
          <cell r="AS688">
            <v>62099519</v>
          </cell>
          <cell r="AT688">
            <v>62099519</v>
          </cell>
          <cell r="AU688">
            <v>62099519</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G689">
            <v>679</v>
          </cell>
          <cell r="H689" t="str">
            <v>YTD Target (Budget)</v>
          </cell>
          <cell r="I689">
            <v>0</v>
          </cell>
          <cell r="J689">
            <v>0</v>
          </cell>
          <cell r="K689">
            <v>0</v>
          </cell>
          <cell r="L689">
            <v>9654429</v>
          </cell>
          <cell r="M689">
            <v>25095784</v>
          </cell>
          <cell r="N689">
            <v>36147496</v>
          </cell>
          <cell r="O689">
            <v>44210197</v>
          </cell>
          <cell r="P689">
            <v>51729628</v>
          </cell>
          <cell r="Q689">
            <v>60617977</v>
          </cell>
          <cell r="R689">
            <v>69725069</v>
          </cell>
          <cell r="S689">
            <v>77532268</v>
          </cell>
          <cell r="T689">
            <v>87337105.5</v>
          </cell>
          <cell r="U689">
            <v>101059331</v>
          </cell>
          <cell r="V689">
            <v>109163796</v>
          </cell>
          <cell r="W689">
            <v>117709156</v>
          </cell>
          <cell r="X689">
            <v>10562662.950000001</v>
          </cell>
          <cell r="Y689">
            <v>25030314.75</v>
          </cell>
          <cell r="Z689">
            <v>32858810.25</v>
          </cell>
          <cell r="AA689">
            <v>43029451.5</v>
          </cell>
          <cell r="AB689">
            <v>50619625.350000001</v>
          </cell>
          <cell r="AC689">
            <v>60476927.700000003</v>
          </cell>
          <cell r="AD689">
            <v>69906586.049999997</v>
          </cell>
          <cell r="AE689">
            <v>77970355.049999997</v>
          </cell>
          <cell r="AF689">
            <v>87017134.049999997</v>
          </cell>
          <cell r="AG689">
            <v>98701814.399999991</v>
          </cell>
          <cell r="AH689">
            <v>108294538.8</v>
          </cell>
          <cell r="AI689">
            <v>114686547.14999999</v>
          </cell>
          <cell r="AJ689">
            <v>10472533</v>
          </cell>
          <cell r="AK689">
            <v>20939408</v>
          </cell>
          <cell r="AL689">
            <v>30680913</v>
          </cell>
          <cell r="AM689">
            <v>40027466</v>
          </cell>
          <cell r="AN689">
            <v>47916840</v>
          </cell>
          <cell r="AO689">
            <v>56181635</v>
          </cell>
          <cell r="AP689">
            <v>65576890</v>
          </cell>
          <cell r="AQ689">
            <v>65576890</v>
          </cell>
          <cell r="AR689">
            <v>65576890</v>
          </cell>
          <cell r="AS689">
            <v>65576890</v>
          </cell>
          <cell r="AT689">
            <v>65576890</v>
          </cell>
          <cell r="AU689">
            <v>65576890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G690">
            <v>680</v>
          </cell>
          <cell r="H690" t="str">
            <v>YTD Target (Budget) Var</v>
          </cell>
          <cell r="I690">
            <v>0</v>
          </cell>
          <cell r="J690">
            <v>0</v>
          </cell>
          <cell r="K690">
            <v>0</v>
          </cell>
          <cell r="L690">
            <v>405250</v>
          </cell>
          <cell r="M690">
            <v>-1257389</v>
          </cell>
          <cell r="N690">
            <v>-4853391</v>
          </cell>
          <cell r="O690">
            <v>-3229767</v>
          </cell>
          <cell r="P690">
            <v>-3520461</v>
          </cell>
          <cell r="Q690">
            <v>-3020903</v>
          </cell>
          <cell r="R690">
            <v>-3147368</v>
          </cell>
          <cell r="S690">
            <v>-3600920</v>
          </cell>
          <cell r="T690">
            <v>-4789777.5</v>
          </cell>
          <cell r="U690">
            <v>-7383736</v>
          </cell>
          <cell r="V690">
            <v>-6352273</v>
          </cell>
          <cell r="W690">
            <v>-8810006</v>
          </cell>
          <cell r="X690">
            <v>-124651.95000000112</v>
          </cell>
          <cell r="Y690">
            <v>-4159941.75</v>
          </cell>
          <cell r="Z690">
            <v>-2279053.25</v>
          </cell>
          <cell r="AA690">
            <v>-3133960.5</v>
          </cell>
          <cell r="AB690">
            <v>-2860774.3500000015</v>
          </cell>
          <cell r="AC690">
            <v>-4480533.700000003</v>
          </cell>
          <cell r="AD690">
            <v>-4862858.049999997</v>
          </cell>
          <cell r="AE690">
            <v>-6959995.049999997</v>
          </cell>
          <cell r="AF690">
            <v>-9100072.049999997</v>
          </cell>
          <cell r="AG690">
            <v>-9387646.3999999911</v>
          </cell>
          <cell r="AH690">
            <v>-10564193.799999997</v>
          </cell>
          <cell r="AI690">
            <v>-11260393.149999991</v>
          </cell>
          <cell r="AJ690">
            <v>-102341</v>
          </cell>
          <cell r="AK690">
            <v>-555765</v>
          </cell>
          <cell r="AL690">
            <v>-3872050</v>
          </cell>
          <cell r="AM690">
            <v>-5509028</v>
          </cell>
          <cell r="AN690">
            <v>-5732482</v>
          </cell>
          <cell r="AO690">
            <v>-5308353</v>
          </cell>
          <cell r="AP690">
            <v>-3477371</v>
          </cell>
          <cell r="AQ690">
            <v>-3477371</v>
          </cell>
          <cell r="AR690">
            <v>-3477371</v>
          </cell>
          <cell r="AS690">
            <v>-3477371</v>
          </cell>
          <cell r="AT690">
            <v>-3477371</v>
          </cell>
          <cell r="AU690">
            <v>-3477371</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G691">
            <v>681</v>
          </cell>
          <cell r="H691" t="str">
            <v>YTD %Var</v>
          </cell>
          <cell r="I691">
            <v>0</v>
          </cell>
          <cell r="J691">
            <v>0</v>
          </cell>
          <cell r="K691">
            <v>0</v>
          </cell>
          <cell r="L691">
            <v>4.1975553396270252E-2</v>
          </cell>
          <cell r="M691">
            <v>-5.0103595089916297E-2</v>
          </cell>
          <cell r="N691">
            <v>-0.13426631266519817</v>
          </cell>
          <cell r="O691">
            <v>-7.3054797742701752E-2</v>
          </cell>
          <cell r="P691">
            <v>-6.8055022549166608E-2</v>
          </cell>
          <cell r="Q691">
            <v>-4.9835100897543977E-2</v>
          </cell>
          <cell r="R691">
            <v>-4.5139690001597559E-2</v>
          </cell>
          <cell r="S691">
            <v>-4.6444146326275401E-2</v>
          </cell>
          <cell r="T691">
            <v>-5.4842411739876126E-2</v>
          </cell>
          <cell r="U691">
            <v>-7.3063376997815274E-2</v>
          </cell>
          <cell r="V691">
            <v>-5.8190290487882997E-2</v>
          </cell>
          <cell r="W691">
            <v>-7.4845545575061304E-2</v>
          </cell>
          <cell r="X691">
            <v>-1.1801185987857456E-2</v>
          </cell>
          <cell r="Y691">
            <v>-0.16619614221990556</v>
          </cell>
          <cell r="Z691">
            <v>-6.9358970475810217E-2</v>
          </cell>
          <cell r="AA691">
            <v>-7.2832917705214065E-2</v>
          </cell>
          <cell r="AB691">
            <v>-5.6515122943319084E-2</v>
          </cell>
          <cell r="AC691">
            <v>-7.4086661978366386E-2</v>
          </cell>
          <cell r="AD691">
            <v>-6.9562230467410974E-2</v>
          </cell>
          <cell r="AE691">
            <v>-8.9264631994259436E-2</v>
          </cell>
          <cell r="AF691">
            <v>-0.1045779334075873</v>
          </cell>
          <cell r="AG691">
            <v>-9.5111183690661641E-2</v>
          </cell>
          <cell r="AH691">
            <v>-9.755056826559011E-2</v>
          </cell>
          <cell r="AI691">
            <v>-9.8184080258972128E-2</v>
          </cell>
          <cell r="AJ691">
            <v>-9.7723253772511384E-3</v>
          </cell>
          <cell r="AK691">
            <v>-2.6541581309271017E-2</v>
          </cell>
          <cell r="AL691">
            <v>-0.12620387144280876</v>
          </cell>
          <cell r="AM691">
            <v>-0.13763119553958275</v>
          </cell>
          <cell r="AN691">
            <v>-0.11963397419362379</v>
          </cell>
          <cell r="AO691">
            <v>-9.4485555644651498E-2</v>
          </cell>
          <cell r="AP691">
            <v>-5.3027385104722102E-2</v>
          </cell>
          <cell r="AQ691">
            <v>-5.3027385104722102E-2</v>
          </cell>
          <cell r="AR691">
            <v>-5.3027385104722102E-2</v>
          </cell>
          <cell r="AS691">
            <v>-5.3027385104722102E-2</v>
          </cell>
          <cell r="AT691">
            <v>-5.3027385104722102E-2</v>
          </cell>
          <cell r="AU691">
            <v>-5.3027385104722102E-2</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G692">
            <v>682</v>
          </cell>
          <cell r="H692" t="str">
            <v>4 Month Actual</v>
          </cell>
          <cell r="I692">
            <v>0</v>
          </cell>
          <cell r="J692">
            <v>0</v>
          </cell>
          <cell r="K692">
            <v>0</v>
          </cell>
          <cell r="L692">
            <v>10059679</v>
          </cell>
          <cell r="M692">
            <v>23838395</v>
          </cell>
          <cell r="N692">
            <v>31294105</v>
          </cell>
          <cell r="O692">
            <v>40980430</v>
          </cell>
          <cell r="P692">
            <v>38149488</v>
          </cell>
          <cell r="Q692">
            <v>33758679</v>
          </cell>
          <cell r="R692">
            <v>35283596</v>
          </cell>
          <cell r="S692">
            <v>32950918</v>
          </cell>
          <cell r="T692">
            <v>34338161</v>
          </cell>
          <cell r="U692">
            <v>36078521</v>
          </cell>
          <cell r="V692">
            <v>36233822</v>
          </cell>
          <cell r="W692">
            <v>34967802</v>
          </cell>
          <cell r="X692">
            <v>36789833</v>
          </cell>
          <cell r="Y692">
            <v>36093928</v>
          </cell>
          <cell r="Z692">
            <v>36667384</v>
          </cell>
          <cell r="AA692">
            <v>39895491</v>
          </cell>
          <cell r="AB692">
            <v>37320840</v>
          </cell>
          <cell r="AC692">
            <v>35126021</v>
          </cell>
          <cell r="AD692">
            <v>34463971</v>
          </cell>
          <cell r="AE692">
            <v>31114869</v>
          </cell>
          <cell r="AF692">
            <v>30158211</v>
          </cell>
          <cell r="AG692">
            <v>33317774</v>
          </cell>
          <cell r="AH692">
            <v>32686617</v>
          </cell>
          <cell r="AI692">
            <v>32415794</v>
          </cell>
          <cell r="AJ692">
            <v>35879284</v>
          </cell>
          <cell r="AK692">
            <v>34495629</v>
          </cell>
          <cell r="AL692">
            <v>32504672</v>
          </cell>
          <cell r="AM692">
            <v>34518438</v>
          </cell>
          <cell r="AN692">
            <v>31814166</v>
          </cell>
          <cell r="AO692">
            <v>30489639</v>
          </cell>
          <cell r="AP692">
            <v>35290656</v>
          </cell>
          <cell r="AQ692">
            <v>27581081</v>
          </cell>
          <cell r="AR692">
            <v>19915161</v>
          </cell>
          <cell r="AS692">
            <v>11226237</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G693">
            <v>683</v>
          </cell>
          <cell r="H693" t="str">
            <v>4 Month Target (Budget)</v>
          </cell>
          <cell r="I693">
            <v>0</v>
          </cell>
          <cell r="J693">
            <v>0</v>
          </cell>
          <cell r="K693">
            <v>0</v>
          </cell>
          <cell r="L693">
            <v>9654429</v>
          </cell>
          <cell r="M693">
            <v>25095784</v>
          </cell>
          <cell r="N693">
            <v>36147496</v>
          </cell>
          <cell r="O693">
            <v>44210197</v>
          </cell>
          <cell r="P693">
            <v>42075199</v>
          </cell>
          <cell r="Q693">
            <v>35522193</v>
          </cell>
          <cell r="R693">
            <v>33577573</v>
          </cell>
          <cell r="S693">
            <v>33322071</v>
          </cell>
          <cell r="T693">
            <v>35607477.5</v>
          </cell>
          <cell r="U693">
            <v>40441354</v>
          </cell>
          <cell r="V693">
            <v>39438727</v>
          </cell>
          <cell r="W693">
            <v>40176888</v>
          </cell>
          <cell r="X693">
            <v>40934713.450000003</v>
          </cell>
          <cell r="Y693">
            <v>41680139.75</v>
          </cell>
          <cell r="Z693">
            <v>41404170.25</v>
          </cell>
          <cell r="AA693">
            <v>43029451.5</v>
          </cell>
          <cell r="AB693">
            <v>40056962.399999999</v>
          </cell>
          <cell r="AC693">
            <v>35446612.950000003</v>
          </cell>
          <cell r="AD693">
            <v>37047775.800000004</v>
          </cell>
          <cell r="AE693">
            <v>34940903.549999997</v>
          </cell>
          <cell r="AF693">
            <v>36397508.700000003</v>
          </cell>
          <cell r="AG693">
            <v>38224886.700000003</v>
          </cell>
          <cell r="AH693">
            <v>38387952.75</v>
          </cell>
          <cell r="AI693">
            <v>36716192.100000001</v>
          </cell>
          <cell r="AJ693">
            <v>38141946.100000001</v>
          </cell>
          <cell r="AK693">
            <v>36924140.75</v>
          </cell>
          <cell r="AL693">
            <v>37072921.350000001</v>
          </cell>
          <cell r="AM693">
            <v>40027466</v>
          </cell>
          <cell r="AN693">
            <v>37444307</v>
          </cell>
          <cell r="AO693">
            <v>35242227</v>
          </cell>
          <cell r="AP693">
            <v>34895977</v>
          </cell>
          <cell r="AQ693">
            <v>25549424</v>
          </cell>
          <cell r="AR693">
            <v>17660050</v>
          </cell>
          <cell r="AS693">
            <v>9395255</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G694">
            <v>684</v>
          </cell>
          <cell r="H694" t="str">
            <v>4 Month Target (Budget) Var</v>
          </cell>
          <cell r="I694">
            <v>0</v>
          </cell>
          <cell r="J694">
            <v>0</v>
          </cell>
          <cell r="K694">
            <v>0</v>
          </cell>
          <cell r="L694">
            <v>405250</v>
          </cell>
          <cell r="M694">
            <v>-1257389</v>
          </cell>
          <cell r="N694">
            <v>-4853391</v>
          </cell>
          <cell r="O694">
            <v>-3229767</v>
          </cell>
          <cell r="P694">
            <v>-3925711</v>
          </cell>
          <cell r="Q694">
            <v>-1763514</v>
          </cell>
          <cell r="R694">
            <v>1706023</v>
          </cell>
          <cell r="S694">
            <v>-371153</v>
          </cell>
          <cell r="T694">
            <v>-1269316.5</v>
          </cell>
          <cell r="U694">
            <v>-4362833</v>
          </cell>
          <cell r="V694">
            <v>-3204905</v>
          </cell>
          <cell r="W694">
            <v>-5209086</v>
          </cell>
          <cell r="X694">
            <v>-4144880.450000003</v>
          </cell>
          <cell r="Y694">
            <v>-5586211.75</v>
          </cell>
          <cell r="Z694">
            <v>-4736786.25</v>
          </cell>
          <cell r="AA694">
            <v>-3133960.5</v>
          </cell>
          <cell r="AB694">
            <v>-2736122.3999999985</v>
          </cell>
          <cell r="AC694">
            <v>-320591.95000000298</v>
          </cell>
          <cell r="AD694">
            <v>-2583804.8000000045</v>
          </cell>
          <cell r="AE694">
            <v>-3826034.549999997</v>
          </cell>
          <cell r="AF694">
            <v>-6239297.700000003</v>
          </cell>
          <cell r="AG694">
            <v>-4907112.700000003</v>
          </cell>
          <cell r="AH694">
            <v>-5701335.75</v>
          </cell>
          <cell r="AI694">
            <v>-4300398.1000000015</v>
          </cell>
          <cell r="AJ694">
            <v>-2262662.1000000015</v>
          </cell>
          <cell r="AK694">
            <v>-2428511.75</v>
          </cell>
          <cell r="AL694">
            <v>-4568249.3500000015</v>
          </cell>
          <cell r="AM694">
            <v>-5509028</v>
          </cell>
          <cell r="AN694">
            <v>-5630141</v>
          </cell>
          <cell r="AO694">
            <v>-4752588</v>
          </cell>
          <cell r="AP694">
            <v>394679</v>
          </cell>
          <cell r="AQ694">
            <v>2031657</v>
          </cell>
          <cell r="AR694">
            <v>2255111</v>
          </cell>
          <cell r="AS694">
            <v>1830982</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G695">
            <v>685</v>
          </cell>
          <cell r="H695" t="str">
            <v>4 Month Target (Budget) % Var</v>
          </cell>
          <cell r="I695">
            <v>0</v>
          </cell>
          <cell r="J695">
            <v>0</v>
          </cell>
          <cell r="K695">
            <v>0</v>
          </cell>
          <cell r="L695">
            <v>4.1975553396270252E-2</v>
          </cell>
          <cell r="M695">
            <v>-5.0103595089916297E-2</v>
          </cell>
          <cell r="N695">
            <v>-0.13426631266519817</v>
          </cell>
          <cell r="O695">
            <v>-7.3054797742701752E-2</v>
          </cell>
          <cell r="P695">
            <v>-9.33022562769103E-2</v>
          </cell>
          <cell r="Q695">
            <v>-4.9645414628539407E-2</v>
          </cell>
          <cell r="R695">
            <v>5.0808407147234849E-2</v>
          </cell>
          <cell r="S695">
            <v>-1.1138353315434685E-2</v>
          </cell>
          <cell r="T695">
            <v>-3.5647470394385559E-2</v>
          </cell>
          <cell r="U695">
            <v>-0.10788048787881831</v>
          </cell>
          <cell r="V695">
            <v>-8.1262891674977231E-2</v>
          </cell>
          <cell r="W695">
            <v>-0.12965379498780494</v>
          </cell>
          <cell r="X695">
            <v>-0.10125588041706453</v>
          </cell>
          <cell r="Y695">
            <v>-0.13402574423949717</v>
          </cell>
          <cell r="Z695">
            <v>-0.11440360285930377</v>
          </cell>
          <cell r="AA695">
            <v>-7.2832917705214065E-2</v>
          </cell>
          <cell r="AB695">
            <v>-6.8305788458887198E-2</v>
          </cell>
          <cell r="AC695">
            <v>-9.0443606121753013E-3</v>
          </cell>
          <cell r="AD695">
            <v>-6.9742507996930936E-2</v>
          </cell>
          <cell r="AE695">
            <v>-0.10950016059329976</v>
          </cell>
          <cell r="AF695">
            <v>-0.17142100992203355</v>
          </cell>
          <cell r="AG695">
            <v>-0.12837481346936216</v>
          </cell>
          <cell r="AH695">
            <v>-0.1485188800541076</v>
          </cell>
          <cell r="AI695">
            <v>-0.11712538403458242</v>
          </cell>
          <cell r="AJ695">
            <v>-5.9322146124054259E-2</v>
          </cell>
          <cell r="AK695">
            <v>-6.577029825670351E-2</v>
          </cell>
          <cell r="AL695">
            <v>-0.12322334425366242</v>
          </cell>
          <cell r="AM695">
            <v>-0.13763119553958275</v>
          </cell>
          <cell r="AN695">
            <v>-0.15036040058105496</v>
          </cell>
          <cell r="AO695">
            <v>-0.13485492843570868</v>
          </cell>
          <cell r="AP695">
            <v>1.1310157615016768E-2</v>
          </cell>
          <cell r="AQ695">
            <v>7.9518700695561675E-2</v>
          </cell>
          <cell r="AR695">
            <v>0.12769561807582652</v>
          </cell>
          <cell r="AS695">
            <v>0.19488369394976507</v>
          </cell>
          <cell r="AT695" t="e">
            <v>#DIV/0!</v>
          </cell>
          <cell r="AU695" t="e">
            <v>#DIV/0!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G696">
            <v>686</v>
          </cell>
          <cell r="H696" t="str">
            <v>Actual</v>
          </cell>
          <cell r="I696">
            <v>0</v>
          </cell>
          <cell r="J696">
            <v>0</v>
          </cell>
          <cell r="K696">
            <v>0</v>
          </cell>
          <cell r="L696">
            <v>1063234</v>
          </cell>
          <cell r="M696">
            <v>1555304</v>
          </cell>
          <cell r="N696">
            <v>42918554</v>
          </cell>
          <cell r="O696">
            <v>2027366</v>
          </cell>
          <cell r="P696">
            <v>1619954</v>
          </cell>
          <cell r="Q696">
            <v>48822946</v>
          </cell>
          <cell r="R696">
            <v>889106</v>
          </cell>
          <cell r="S696">
            <v>1034899</v>
          </cell>
          <cell r="T696">
            <v>39124543</v>
          </cell>
          <cell r="U696">
            <v>800010</v>
          </cell>
          <cell r="V696">
            <v>810492</v>
          </cell>
          <cell r="W696">
            <v>48295055</v>
          </cell>
          <cell r="X696">
            <v>367513</v>
          </cell>
          <cell r="Y696">
            <v>396218</v>
          </cell>
          <cell r="Z696">
            <v>46665384</v>
          </cell>
          <cell r="AA696">
            <v>471116</v>
          </cell>
          <cell r="AB696">
            <v>415219</v>
          </cell>
          <cell r="AC696">
            <v>46348046</v>
          </cell>
          <cell r="AD696">
            <v>303232</v>
          </cell>
          <cell r="AE696">
            <v>181356</v>
          </cell>
          <cell r="AF696">
            <v>46317331</v>
          </cell>
          <cell r="AG696">
            <v>247064</v>
          </cell>
          <cell r="AH696">
            <v>299509</v>
          </cell>
          <cell r="AI696">
            <v>51575017</v>
          </cell>
          <cell r="AJ696">
            <v>172419</v>
          </cell>
          <cell r="AK696">
            <v>225657</v>
          </cell>
          <cell r="AL696">
            <v>39611743</v>
          </cell>
          <cell r="AM696">
            <v>227773</v>
          </cell>
          <cell r="AN696">
            <v>230537</v>
          </cell>
          <cell r="AO696">
            <v>50084526</v>
          </cell>
          <cell r="AP696">
            <v>237174</v>
          </cell>
          <cell r="AQ696">
            <v>50824612</v>
          </cell>
          <cell r="AR696">
            <v>101077542</v>
          </cell>
          <cell r="AS696">
            <v>51210329</v>
          </cell>
          <cell r="AT696">
            <v>51273529</v>
          </cell>
          <cell r="AU696">
            <v>51001154</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G697">
            <v>687</v>
          </cell>
          <cell r="H697" t="str">
            <v>Target (Budget)</v>
          </cell>
          <cell r="I697">
            <v>0</v>
          </cell>
          <cell r="J697">
            <v>0</v>
          </cell>
          <cell r="K697">
            <v>0</v>
          </cell>
          <cell r="L697">
            <v>4816745</v>
          </cell>
          <cell r="M697">
            <v>4379457</v>
          </cell>
          <cell r="N697">
            <v>34880688</v>
          </cell>
          <cell r="O697">
            <v>5841972</v>
          </cell>
          <cell r="P697">
            <v>4890623</v>
          </cell>
          <cell r="Q697">
            <v>39069222</v>
          </cell>
          <cell r="R697">
            <v>3625790</v>
          </cell>
          <cell r="S697">
            <v>4027113</v>
          </cell>
          <cell r="T697">
            <v>40397056</v>
          </cell>
          <cell r="U697">
            <v>3077382</v>
          </cell>
          <cell r="V697">
            <v>2767951</v>
          </cell>
          <cell r="W697">
            <v>42304492</v>
          </cell>
          <cell r="X697">
            <v>335795</v>
          </cell>
          <cell r="Y697">
            <v>311060.8</v>
          </cell>
          <cell r="Z697">
            <v>46635310.272</v>
          </cell>
          <cell r="AA697">
            <v>405473.2</v>
          </cell>
          <cell r="AB697">
            <v>323992.8</v>
          </cell>
          <cell r="AC697">
            <v>46635310.272</v>
          </cell>
          <cell r="AD697">
            <v>177821.2</v>
          </cell>
          <cell r="AE697">
            <v>206979.8</v>
          </cell>
          <cell r="AF697">
            <v>46635310.272</v>
          </cell>
          <cell r="AG697">
            <v>160002</v>
          </cell>
          <cell r="AH697">
            <v>162098.4</v>
          </cell>
          <cell r="AI697">
            <v>46635310.272</v>
          </cell>
          <cell r="AJ697">
            <v>322649</v>
          </cell>
          <cell r="AK697">
            <v>200000</v>
          </cell>
          <cell r="AL697">
            <v>44809617</v>
          </cell>
          <cell r="AM697">
            <v>200000</v>
          </cell>
          <cell r="AN697">
            <v>200000</v>
          </cell>
          <cell r="AO697">
            <v>44809617</v>
          </cell>
          <cell r="AP697">
            <v>200000</v>
          </cell>
          <cell r="AQ697">
            <v>45409617</v>
          </cell>
          <cell r="AR697">
            <v>90019234</v>
          </cell>
          <cell r="AS697">
            <v>45409617</v>
          </cell>
          <cell r="AT697">
            <v>45409617</v>
          </cell>
          <cell r="AU697">
            <v>45209617</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G698">
            <v>688</v>
          </cell>
          <cell r="H698" t="str">
            <v>Target (Budget) Variance</v>
          </cell>
          <cell r="I698">
            <v>0</v>
          </cell>
          <cell r="J698">
            <v>0</v>
          </cell>
          <cell r="K698">
            <v>0</v>
          </cell>
          <cell r="L698">
            <v>-3753511</v>
          </cell>
          <cell r="M698">
            <v>-2824153</v>
          </cell>
          <cell r="N698">
            <v>8037866</v>
          </cell>
          <cell r="O698">
            <v>-3814606</v>
          </cell>
          <cell r="P698">
            <v>-3270669</v>
          </cell>
          <cell r="Q698">
            <v>9753724</v>
          </cell>
          <cell r="R698">
            <v>-2736684</v>
          </cell>
          <cell r="S698">
            <v>-2992214</v>
          </cell>
          <cell r="T698">
            <v>-1272513</v>
          </cell>
          <cell r="U698">
            <v>-2277372</v>
          </cell>
          <cell r="V698">
            <v>-1957459</v>
          </cell>
          <cell r="W698">
            <v>5990563</v>
          </cell>
          <cell r="X698">
            <v>31718</v>
          </cell>
          <cell r="Y698">
            <v>85157.200000000012</v>
          </cell>
          <cell r="Z698">
            <v>30073.728000000119</v>
          </cell>
          <cell r="AA698">
            <v>65642.799999999988</v>
          </cell>
          <cell r="AB698">
            <v>91226.200000000012</v>
          </cell>
          <cell r="AC698">
            <v>-287264.27199999988</v>
          </cell>
          <cell r="AD698">
            <v>125410.79999999999</v>
          </cell>
          <cell r="AE698">
            <v>-25623.799999999988</v>
          </cell>
          <cell r="AF698">
            <v>-317979.27199999988</v>
          </cell>
          <cell r="AG698">
            <v>87062</v>
          </cell>
          <cell r="AH698">
            <v>137410.6</v>
          </cell>
          <cell r="AI698">
            <v>4939706.7280000001</v>
          </cell>
          <cell r="AJ698">
            <v>-150230</v>
          </cell>
          <cell r="AK698">
            <v>25657</v>
          </cell>
          <cell r="AL698">
            <v>-5197874</v>
          </cell>
          <cell r="AM698">
            <v>27773</v>
          </cell>
          <cell r="AN698">
            <v>30537</v>
          </cell>
          <cell r="AO698">
            <v>5274909</v>
          </cell>
          <cell r="AP698">
            <v>37174</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G699">
            <v>689</v>
          </cell>
          <cell r="H699" t="str">
            <v>Target (Budget) %Var</v>
          </cell>
          <cell r="I699">
            <v>0</v>
          </cell>
          <cell r="J699">
            <v>0</v>
          </cell>
          <cell r="K699">
            <v>0</v>
          </cell>
          <cell r="L699">
            <v>-0.77926296700365083</v>
          </cell>
          <cell r="M699">
            <v>-0.64486373539002662</v>
          </cell>
          <cell r="N699">
            <v>0.23043886060963018</v>
          </cell>
          <cell r="O699">
            <v>-0.6529654712484072</v>
          </cell>
          <cell r="P699">
            <v>-0.66876326390318774</v>
          </cell>
          <cell r="Q699">
            <v>0.24965237342069418</v>
          </cell>
          <cell r="R699">
            <v>-0.75478281974411099</v>
          </cell>
          <cell r="S699">
            <v>-0.74301714404338792</v>
          </cell>
          <cell r="T699">
            <v>-3.1500141990545051E-2</v>
          </cell>
          <cell r="U699">
            <v>-0.74003552370163994</v>
          </cell>
          <cell r="V699">
            <v>-0.70718701306489895</v>
          </cell>
          <cell r="W699">
            <v>0.14160583703498911</v>
          </cell>
          <cell r="X699">
            <v>9.4456439196533598E-2</v>
          </cell>
          <cell r="Y699">
            <v>0.27376384295288902</v>
          </cell>
          <cell r="Z699">
            <v>6.4487033161343601E-4</v>
          </cell>
          <cell r="AA699">
            <v>0.16189183403490043</v>
          </cell>
          <cell r="AB699">
            <v>0.28156860275907369</v>
          </cell>
          <cell r="AC699">
            <v>-6.1598018824048509E-3</v>
          </cell>
          <cell r="AD699">
            <v>0.70526348939271577</v>
          </cell>
          <cell r="AE699">
            <v>-0.12379855425505286</v>
          </cell>
          <cell r="AF699">
            <v>-6.8184229963388007E-3</v>
          </cell>
          <cell r="AG699">
            <v>0.54413069836627037</v>
          </cell>
          <cell r="AH699">
            <v>0.84769868178834595</v>
          </cell>
          <cell r="AI699">
            <v>0.10592202987798748</v>
          </cell>
          <cell r="AJ699">
            <v>-0.46561433632213334</v>
          </cell>
          <cell r="AK699">
            <v>0.12828500000000001</v>
          </cell>
          <cell r="AL699">
            <v>-0.11599907225272646</v>
          </cell>
          <cell r="AM699">
            <v>0.13886499999999999</v>
          </cell>
          <cell r="AN699">
            <v>0.15268499999999999</v>
          </cell>
          <cell r="AO699">
            <v>0.11771823445846458</v>
          </cell>
          <cell r="AP699">
            <v>0.18587000000000001</v>
          </cell>
          <cell r="AQ699" t="e">
            <v>#DIV/0!</v>
          </cell>
          <cell r="AR699" t="e">
            <v>#DIV/0!</v>
          </cell>
          <cell r="AS699" t="e">
            <v>#DIV/0!</v>
          </cell>
          <cell r="AT699" t="e">
            <v>#DIV/0!</v>
          </cell>
          <cell r="AU699" t="e">
            <v>#DIV/0!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G700">
            <v>690</v>
          </cell>
          <cell r="H700" t="str">
            <v>YTD Actual</v>
          </cell>
          <cell r="I700">
            <v>0</v>
          </cell>
          <cell r="J700">
            <v>0</v>
          </cell>
          <cell r="K700">
            <v>0</v>
          </cell>
          <cell r="L700">
            <v>1063234</v>
          </cell>
          <cell r="M700">
            <v>2618538</v>
          </cell>
          <cell r="N700">
            <v>45537092</v>
          </cell>
          <cell r="O700">
            <v>47564458</v>
          </cell>
          <cell r="P700">
            <v>49184412</v>
          </cell>
          <cell r="Q700">
            <v>98007358</v>
          </cell>
          <cell r="R700">
            <v>98896464</v>
          </cell>
          <cell r="S700">
            <v>99931363</v>
          </cell>
          <cell r="T700">
            <v>139055906</v>
          </cell>
          <cell r="U700">
            <v>139855916</v>
          </cell>
          <cell r="V700">
            <v>140666408</v>
          </cell>
          <cell r="W700">
            <v>188961463</v>
          </cell>
          <cell r="X700">
            <v>367513</v>
          </cell>
          <cell r="Y700">
            <v>763731</v>
          </cell>
          <cell r="Z700">
            <v>47429115</v>
          </cell>
          <cell r="AA700">
            <v>47900231</v>
          </cell>
          <cell r="AB700">
            <v>48315450</v>
          </cell>
          <cell r="AC700">
            <v>94663496</v>
          </cell>
          <cell r="AD700">
            <v>94966728</v>
          </cell>
          <cell r="AE700">
            <v>95148084</v>
          </cell>
          <cell r="AF700">
            <v>141465415</v>
          </cell>
          <cell r="AG700">
            <v>141712479</v>
          </cell>
          <cell r="AH700">
            <v>142011988</v>
          </cell>
          <cell r="AI700">
            <v>193587005</v>
          </cell>
          <cell r="AJ700">
            <v>172419</v>
          </cell>
          <cell r="AK700">
            <v>398076</v>
          </cell>
          <cell r="AL700">
            <v>40009819</v>
          </cell>
          <cell r="AM700">
            <v>40237592</v>
          </cell>
          <cell r="AN700">
            <v>40468129</v>
          </cell>
          <cell r="AO700">
            <v>90552655</v>
          </cell>
          <cell r="AP700">
            <v>90789829</v>
          </cell>
          <cell r="AQ700">
            <v>90789829</v>
          </cell>
          <cell r="AR700">
            <v>90789829</v>
          </cell>
          <cell r="AS700">
            <v>90789829</v>
          </cell>
          <cell r="AT700">
            <v>90789829</v>
          </cell>
          <cell r="AU700">
            <v>90789829</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G701">
            <v>691</v>
          </cell>
          <cell r="H701" t="str">
            <v>YTD Target (Budget)</v>
          </cell>
          <cell r="I701">
            <v>0</v>
          </cell>
          <cell r="J701">
            <v>0</v>
          </cell>
          <cell r="K701">
            <v>0</v>
          </cell>
          <cell r="L701">
            <v>4816745</v>
          </cell>
          <cell r="M701">
            <v>9196202</v>
          </cell>
          <cell r="N701">
            <v>44076890</v>
          </cell>
          <cell r="O701">
            <v>49918862</v>
          </cell>
          <cell r="P701">
            <v>54809485</v>
          </cell>
          <cell r="Q701">
            <v>93878707</v>
          </cell>
          <cell r="R701">
            <v>97504497</v>
          </cell>
          <cell r="S701">
            <v>101531610</v>
          </cell>
          <cell r="T701">
            <v>141928666</v>
          </cell>
          <cell r="U701">
            <v>145006048</v>
          </cell>
          <cell r="V701">
            <v>147773999</v>
          </cell>
          <cell r="W701">
            <v>190078491</v>
          </cell>
          <cell r="X701">
            <v>335795</v>
          </cell>
          <cell r="Y701">
            <v>646855.80000000005</v>
          </cell>
          <cell r="Z701">
            <v>47282166.071999997</v>
          </cell>
          <cell r="AA701">
            <v>47687639.272</v>
          </cell>
          <cell r="AB701">
            <v>48011632.071999997</v>
          </cell>
          <cell r="AC701">
            <v>94646942.343999997</v>
          </cell>
          <cell r="AD701">
            <v>94824763.544</v>
          </cell>
          <cell r="AE701">
            <v>95031743.343999997</v>
          </cell>
          <cell r="AF701">
            <v>141667053.616</v>
          </cell>
          <cell r="AG701">
            <v>141827055.616</v>
          </cell>
          <cell r="AH701">
            <v>141989154.016</v>
          </cell>
          <cell r="AI701">
            <v>188624464.28799999</v>
          </cell>
          <cell r="AJ701">
            <v>322649</v>
          </cell>
          <cell r="AK701">
            <v>522649</v>
          </cell>
          <cell r="AL701">
            <v>45332266</v>
          </cell>
          <cell r="AM701">
            <v>45532266</v>
          </cell>
          <cell r="AN701">
            <v>45732266</v>
          </cell>
          <cell r="AO701">
            <v>90541883</v>
          </cell>
          <cell r="AP701">
            <v>90741883</v>
          </cell>
          <cell r="AQ701">
            <v>90741883</v>
          </cell>
          <cell r="AR701">
            <v>90741883</v>
          </cell>
          <cell r="AS701">
            <v>90741883</v>
          </cell>
          <cell r="AT701">
            <v>90741883</v>
          </cell>
          <cell r="AU701">
            <v>90741883</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G702">
            <v>692</v>
          </cell>
          <cell r="H702" t="str">
            <v>YTD Target (Budget) Var</v>
          </cell>
          <cell r="I702">
            <v>0</v>
          </cell>
          <cell r="J702">
            <v>0</v>
          </cell>
          <cell r="K702">
            <v>0</v>
          </cell>
          <cell r="L702">
            <v>-3753511</v>
          </cell>
          <cell r="M702">
            <v>-6577664</v>
          </cell>
          <cell r="N702">
            <v>1460202</v>
          </cell>
          <cell r="O702">
            <v>-2354404</v>
          </cell>
          <cell r="P702">
            <v>-5625073</v>
          </cell>
          <cell r="Q702">
            <v>4128651</v>
          </cell>
          <cell r="R702">
            <v>1391967</v>
          </cell>
          <cell r="S702">
            <v>-1600247</v>
          </cell>
          <cell r="T702">
            <v>-2872760</v>
          </cell>
          <cell r="U702">
            <v>-5150132</v>
          </cell>
          <cell r="V702">
            <v>-7107591</v>
          </cell>
          <cell r="W702">
            <v>-1117028</v>
          </cell>
          <cell r="X702">
            <v>31718</v>
          </cell>
          <cell r="Y702">
            <v>116875.19999999995</v>
          </cell>
          <cell r="Z702">
            <v>146948.9280000031</v>
          </cell>
          <cell r="AA702">
            <v>212591.72800000012</v>
          </cell>
          <cell r="AB702">
            <v>303817.9280000031</v>
          </cell>
          <cell r="AC702">
            <v>16553.656000003219</v>
          </cell>
          <cell r="AD702">
            <v>141964.45600000024</v>
          </cell>
          <cell r="AE702">
            <v>116340.65600000322</v>
          </cell>
          <cell r="AF702">
            <v>-201638.61599999666</v>
          </cell>
          <cell r="AG702">
            <v>-114576.61599999666</v>
          </cell>
          <cell r="AH702">
            <v>22833.983999997377</v>
          </cell>
          <cell r="AI702">
            <v>4962540.7120000124</v>
          </cell>
          <cell r="AJ702">
            <v>-150230</v>
          </cell>
          <cell r="AK702">
            <v>-124573</v>
          </cell>
          <cell r="AL702">
            <v>-5322447</v>
          </cell>
          <cell r="AM702">
            <v>-5294674</v>
          </cell>
          <cell r="AN702">
            <v>-5264137</v>
          </cell>
          <cell r="AO702">
            <v>10772</v>
          </cell>
          <cell r="AP702">
            <v>47946</v>
          </cell>
          <cell r="AQ702">
            <v>47946</v>
          </cell>
          <cell r="AR702">
            <v>47946</v>
          </cell>
          <cell r="AS702">
            <v>47946</v>
          </cell>
          <cell r="AT702">
            <v>47946</v>
          </cell>
          <cell r="AU702">
            <v>47946</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G703">
            <v>693</v>
          </cell>
          <cell r="H703" t="str">
            <v>YTD %Var</v>
          </cell>
          <cell r="I703">
            <v>0</v>
          </cell>
          <cell r="J703">
            <v>0</v>
          </cell>
          <cell r="K703">
            <v>0</v>
          </cell>
          <cell r="L703">
            <v>-0.77926296700365083</v>
          </cell>
          <cell r="M703">
            <v>-0.71525875573416065</v>
          </cell>
          <cell r="N703">
            <v>3.3128517007438595E-2</v>
          </cell>
          <cell r="O703">
            <v>-4.7164616853645425E-2</v>
          </cell>
          <cell r="P703">
            <v>-0.10262955399051825</v>
          </cell>
          <cell r="Q703">
            <v>4.3978566939572354E-2</v>
          </cell>
          <cell r="R703">
            <v>1.4275926165743925E-2</v>
          </cell>
          <cell r="S703">
            <v>-1.5761071847476861E-2</v>
          </cell>
          <cell r="T703">
            <v>-2.0240872270299505E-2</v>
          </cell>
          <cell r="U703">
            <v>-3.5516670311572109E-2</v>
          </cell>
          <cell r="V703">
            <v>-4.8097710342128591E-2</v>
          </cell>
          <cell r="W703">
            <v>-5.8766670238349058E-3</v>
          </cell>
          <cell r="X703">
            <v>9.4456439196533598E-2</v>
          </cell>
          <cell r="Y703">
            <v>0.18068200053242151</v>
          </cell>
          <cell r="Z703">
            <v>3.1079144677135405E-3</v>
          </cell>
          <cell r="AA703">
            <v>4.4580048676224632E-3</v>
          </cell>
          <cell r="AB703">
            <v>6.3280066702249707E-3</v>
          </cell>
          <cell r="AC703">
            <v>1.7489900455355399E-4</v>
          </cell>
          <cell r="AD703">
            <v>1.4971242816137029E-3</v>
          </cell>
          <cell r="AE703">
            <v>1.2242294196252751E-3</v>
          </cell>
          <cell r="AF703">
            <v>-1.4233275193719665E-3</v>
          </cell>
          <cell r="AG703">
            <v>-8.0786148667018429E-4</v>
          </cell>
          <cell r="AH703">
            <v>1.608149873012437E-4</v>
          </cell>
          <cell r="AI703">
            <v>2.6309104339843164E-2</v>
          </cell>
          <cell r="AJ703">
            <v>-0.46561433632213334</v>
          </cell>
          <cell r="AK703">
            <v>-0.23834925542763882</v>
          </cell>
          <cell r="AL703">
            <v>-0.11740968342504653</v>
          </cell>
          <cell r="AM703">
            <v>-0.11628399957076593</v>
          </cell>
          <cell r="AN703">
            <v>-0.11510772284933356</v>
          </cell>
          <cell r="AO703">
            <v>1.1897256433246479E-4</v>
          </cell>
          <cell r="AP703">
            <v>5.2837783848942168E-4</v>
          </cell>
          <cell r="AQ703">
            <v>5.2837783848942168E-4</v>
          </cell>
          <cell r="AR703">
            <v>5.2837783848942168E-4</v>
          </cell>
          <cell r="AS703">
            <v>5.2837783848942168E-4</v>
          </cell>
          <cell r="AT703">
            <v>5.2837783848942168E-4</v>
          </cell>
          <cell r="AU703">
            <v>5.2837783848942168E-4</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G704">
            <v>694</v>
          </cell>
          <cell r="H704" t="str">
            <v>4 Month Actual</v>
          </cell>
          <cell r="I704">
            <v>0</v>
          </cell>
          <cell r="J704">
            <v>0</v>
          </cell>
          <cell r="K704">
            <v>0</v>
          </cell>
          <cell r="L704">
            <v>1063234</v>
          </cell>
          <cell r="M704">
            <v>2618538</v>
          </cell>
          <cell r="N704">
            <v>45537092</v>
          </cell>
          <cell r="O704">
            <v>47564458</v>
          </cell>
          <cell r="P704">
            <v>48121178</v>
          </cell>
          <cell r="Q704">
            <v>95388820</v>
          </cell>
          <cell r="R704">
            <v>53359372</v>
          </cell>
          <cell r="S704">
            <v>52366905</v>
          </cell>
          <cell r="T704">
            <v>89871494</v>
          </cell>
          <cell r="U704">
            <v>41848558</v>
          </cell>
          <cell r="V704">
            <v>41769944</v>
          </cell>
          <cell r="W704">
            <v>89030100</v>
          </cell>
          <cell r="X704">
            <v>50273070</v>
          </cell>
          <cell r="Y704">
            <v>49869278</v>
          </cell>
          <cell r="Z704">
            <v>95724170</v>
          </cell>
          <cell r="AA704">
            <v>47900231</v>
          </cell>
          <cell r="AB704">
            <v>47947937</v>
          </cell>
          <cell r="AC704">
            <v>93899765</v>
          </cell>
          <cell r="AD704">
            <v>47537613</v>
          </cell>
          <cell r="AE704">
            <v>47247853</v>
          </cell>
          <cell r="AF704">
            <v>93149965</v>
          </cell>
          <cell r="AG704">
            <v>47048983</v>
          </cell>
          <cell r="AH704">
            <v>47045260</v>
          </cell>
          <cell r="AI704">
            <v>98438921</v>
          </cell>
          <cell r="AJ704">
            <v>52294009</v>
          </cell>
          <cell r="AK704">
            <v>52272602</v>
          </cell>
          <cell r="AL704">
            <v>91584836</v>
          </cell>
          <cell r="AM704">
            <v>40237592</v>
          </cell>
          <cell r="AN704">
            <v>40295710</v>
          </cell>
          <cell r="AO704">
            <v>90154579</v>
          </cell>
          <cell r="AP704">
            <v>50780010</v>
          </cell>
          <cell r="AQ704">
            <v>50552237</v>
          </cell>
          <cell r="AR704">
            <v>50321700</v>
          </cell>
          <cell r="AS704">
            <v>237174</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G705">
            <v>695</v>
          </cell>
          <cell r="H705" t="str">
            <v>4 Month Target (Budget)</v>
          </cell>
          <cell r="I705">
            <v>0</v>
          </cell>
          <cell r="J705">
            <v>0</v>
          </cell>
          <cell r="K705">
            <v>0</v>
          </cell>
          <cell r="L705">
            <v>4816745</v>
          </cell>
          <cell r="M705">
            <v>9196202</v>
          </cell>
          <cell r="N705">
            <v>44076890</v>
          </cell>
          <cell r="O705">
            <v>49918862</v>
          </cell>
          <cell r="P705">
            <v>49992740</v>
          </cell>
          <cell r="Q705">
            <v>84682505</v>
          </cell>
          <cell r="R705">
            <v>53427607</v>
          </cell>
          <cell r="S705">
            <v>51612748</v>
          </cell>
          <cell r="T705">
            <v>87119181</v>
          </cell>
          <cell r="U705">
            <v>51127341</v>
          </cell>
          <cell r="V705">
            <v>50269502</v>
          </cell>
          <cell r="W705">
            <v>88546881</v>
          </cell>
          <cell r="X705">
            <v>48485620</v>
          </cell>
          <cell r="Y705">
            <v>45719298.799999997</v>
          </cell>
          <cell r="Z705">
            <v>89586658.071999997</v>
          </cell>
          <cell r="AA705">
            <v>47687639.272</v>
          </cell>
          <cell r="AB705">
            <v>47675837.071999997</v>
          </cell>
          <cell r="AC705">
            <v>94000086.544</v>
          </cell>
          <cell r="AD705">
            <v>47542597.472000003</v>
          </cell>
          <cell r="AE705">
            <v>47344104.071999997</v>
          </cell>
          <cell r="AF705">
            <v>93655421.544</v>
          </cell>
          <cell r="AG705">
            <v>47180113.272</v>
          </cell>
          <cell r="AH705">
            <v>47164390.471999995</v>
          </cell>
          <cell r="AI705">
            <v>93592720.944000006</v>
          </cell>
          <cell r="AJ705">
            <v>47280059.671999998</v>
          </cell>
          <cell r="AK705">
            <v>47320057.671999998</v>
          </cell>
          <cell r="AL705">
            <v>91967576.272</v>
          </cell>
          <cell r="AM705">
            <v>45532266</v>
          </cell>
          <cell r="AN705">
            <v>45409617</v>
          </cell>
          <cell r="AO705">
            <v>90019234</v>
          </cell>
          <cell r="AP705">
            <v>45409617</v>
          </cell>
          <cell r="AQ705">
            <v>45209617</v>
          </cell>
          <cell r="AR705">
            <v>45009617</v>
          </cell>
          <cell r="AS705">
            <v>200000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G706">
            <v>696</v>
          </cell>
          <cell r="H706" t="str">
            <v>4 Month Target (Budget) Var</v>
          </cell>
          <cell r="I706">
            <v>0</v>
          </cell>
          <cell r="J706">
            <v>0</v>
          </cell>
          <cell r="K706">
            <v>0</v>
          </cell>
          <cell r="L706">
            <v>-3753511</v>
          </cell>
          <cell r="M706">
            <v>-6577664</v>
          </cell>
          <cell r="N706">
            <v>1460202</v>
          </cell>
          <cell r="O706">
            <v>-2354404</v>
          </cell>
          <cell r="P706">
            <v>-1871562</v>
          </cell>
          <cell r="Q706">
            <v>10706315</v>
          </cell>
          <cell r="R706">
            <v>-68235</v>
          </cell>
          <cell r="S706">
            <v>754157</v>
          </cell>
          <cell r="T706">
            <v>2752313</v>
          </cell>
          <cell r="U706">
            <v>-9278783</v>
          </cell>
          <cell r="V706">
            <v>-8499558</v>
          </cell>
          <cell r="W706">
            <v>483219</v>
          </cell>
          <cell r="X706">
            <v>1787450</v>
          </cell>
          <cell r="Y706">
            <v>4149979.200000003</v>
          </cell>
          <cell r="Z706">
            <v>6137511.9280000031</v>
          </cell>
          <cell r="AA706">
            <v>212591.72800000012</v>
          </cell>
          <cell r="AB706">
            <v>272099.9280000031</v>
          </cell>
          <cell r="AC706">
            <v>-100321.54399999976</v>
          </cell>
          <cell r="AD706">
            <v>-4984.472000002861</v>
          </cell>
          <cell r="AE706">
            <v>-96251.071999996901</v>
          </cell>
          <cell r="AF706">
            <v>-505456.54399999976</v>
          </cell>
          <cell r="AG706">
            <v>-131130.27199999988</v>
          </cell>
          <cell r="AH706">
            <v>-119130.47199999541</v>
          </cell>
          <cell r="AI706">
            <v>4846200.0559999943</v>
          </cell>
          <cell r="AJ706">
            <v>5013949.3280000016</v>
          </cell>
          <cell r="AK706">
            <v>4952544.3280000016</v>
          </cell>
          <cell r="AL706">
            <v>-382740.27199999988</v>
          </cell>
          <cell r="AM706">
            <v>-5294674</v>
          </cell>
          <cell r="AN706">
            <v>-5113907</v>
          </cell>
          <cell r="AO706">
            <v>135345</v>
          </cell>
          <cell r="AP706">
            <v>5370393</v>
          </cell>
          <cell r="AQ706">
            <v>5342620</v>
          </cell>
          <cell r="AR706">
            <v>5312083</v>
          </cell>
          <cell r="AS706">
            <v>37174</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G707">
            <v>697</v>
          </cell>
          <cell r="H707" t="str">
            <v>4 Month Target (Budget) % Var</v>
          </cell>
          <cell r="I707">
            <v>0</v>
          </cell>
          <cell r="J707">
            <v>0</v>
          </cell>
          <cell r="K707">
            <v>0</v>
          </cell>
          <cell r="L707">
            <v>-0.77926296700365083</v>
          </cell>
          <cell r="M707">
            <v>-0.71525875573416065</v>
          </cell>
          <cell r="N707">
            <v>3.3128517007438595E-2</v>
          </cell>
          <cell r="O707">
            <v>-4.7164616853645425E-2</v>
          </cell>
          <cell r="P707">
            <v>-3.7436675805326933E-2</v>
          </cell>
          <cell r="Q707">
            <v>0.12642888870611468</v>
          </cell>
          <cell r="R707">
            <v>-1.277148722008081E-3</v>
          </cell>
          <cell r="S707">
            <v>1.4611835820096229E-2</v>
          </cell>
          <cell r="T707">
            <v>3.159250314807252E-2</v>
          </cell>
          <cell r="U707">
            <v>-0.18148377792617848</v>
          </cell>
          <cell r="V707">
            <v>-0.16907981304449762</v>
          </cell>
          <cell r="W707">
            <v>5.4572108530847067E-3</v>
          </cell>
          <cell r="X707">
            <v>3.6865569626623317E-2</v>
          </cell>
          <cell r="Y707">
            <v>9.0770840956117274E-2</v>
          </cell>
          <cell r="Z707">
            <v>6.850921844932914E-2</v>
          </cell>
          <cell r="AA707">
            <v>4.4580048676224632E-3</v>
          </cell>
          <cell r="AB707">
            <v>5.7072920940869501E-3</v>
          </cell>
          <cell r="AC707">
            <v>-1.0672494854889393E-3</v>
          </cell>
          <cell r="AD707">
            <v>-1.0484223128402783E-4</v>
          </cell>
          <cell r="AE707">
            <v>-2.0330107388582142E-3</v>
          </cell>
          <cell r="AF707">
            <v>-5.3969811428645651E-3</v>
          </cell>
          <cell r="AG707">
            <v>-2.7793547515245543E-3</v>
          </cell>
          <cell r="AH707">
            <v>-2.525856282839474E-3</v>
          </cell>
          <cell r="AI707">
            <v>5.1779668409252202E-2</v>
          </cell>
          <cell r="AJ707">
            <v>0.10604786378832221</v>
          </cell>
          <cell r="AK707">
            <v>0.1046605725277993</v>
          </cell>
          <cell r="AL707">
            <v>-4.1616870587958196E-3</v>
          </cell>
          <cell r="AM707">
            <v>-0.11628399957076593</v>
          </cell>
          <cell r="AN707">
            <v>-0.11261726783557764</v>
          </cell>
          <cell r="AO707">
            <v>1.5035120161098017E-3</v>
          </cell>
          <cell r="AP707">
            <v>0.1182655427373457</v>
          </cell>
          <cell r="AQ707">
            <v>0.11817441408539249</v>
          </cell>
          <cell r="AR707">
            <v>0.11802106647563786</v>
          </cell>
          <cell r="AS707">
            <v>0.18587000000000001</v>
          </cell>
          <cell r="AT707" t="e">
            <v>#DIV/0!</v>
          </cell>
          <cell r="AU707" t="e">
            <v>#DIV/0!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172419</v>
          </cell>
          <cell r="AK708">
            <v>225657</v>
          </cell>
          <cell r="AL708">
            <v>39611743</v>
          </cell>
          <cell r="AM708">
            <v>227773</v>
          </cell>
          <cell r="AN708">
            <v>230537</v>
          </cell>
          <cell r="AO708">
            <v>50084526</v>
          </cell>
          <cell r="AP708">
            <v>237174</v>
          </cell>
          <cell r="AQ708">
            <v>272375</v>
          </cell>
        </row>
        <row r="709">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200000</v>
          </cell>
          <cell r="AK709">
            <v>200000</v>
          </cell>
          <cell r="AL709">
            <v>44809617</v>
          </cell>
          <cell r="AM709">
            <v>200000</v>
          </cell>
          <cell r="AN709">
            <v>200000</v>
          </cell>
          <cell r="AO709">
            <v>44809617</v>
          </cell>
          <cell r="AP709">
            <v>200000</v>
          </cell>
          <cell r="AQ709">
            <v>200000</v>
          </cell>
        </row>
        <row r="710">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-27581</v>
          </cell>
          <cell r="AK710">
            <v>25657</v>
          </cell>
          <cell r="AL710">
            <v>-5197874</v>
          </cell>
          <cell r="AM710">
            <v>27773</v>
          </cell>
          <cell r="AN710">
            <v>30537</v>
          </cell>
          <cell r="AO710">
            <v>5274909</v>
          </cell>
          <cell r="AP710">
            <v>37174</v>
          </cell>
          <cell r="AQ710">
            <v>72375</v>
          </cell>
          <cell r="AR710">
            <v>0</v>
          </cell>
          <cell r="AS710">
            <v>0</v>
          </cell>
          <cell r="AT710">
            <v>0</v>
          </cell>
          <cell r="AU710">
            <v>0</v>
          </cell>
        </row>
        <row r="711">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-0.137905</v>
          </cell>
          <cell r="AK711">
            <v>0.12828500000000001</v>
          </cell>
          <cell r="AL711">
            <v>-0.11599907225272646</v>
          </cell>
          <cell r="AM711">
            <v>0.13886499999999999</v>
          </cell>
          <cell r="AN711">
            <v>0.15268499999999999</v>
          </cell>
          <cell r="AO711">
            <v>0.11771823445846458</v>
          </cell>
          <cell r="AP711">
            <v>0.18587000000000001</v>
          </cell>
          <cell r="AQ711">
            <v>0.361875</v>
          </cell>
          <cell r="AR711" t="e">
            <v>#DIV/0!</v>
          </cell>
          <cell r="AS711" t="e">
            <v>#DIV/0!</v>
          </cell>
          <cell r="AT711" t="e">
            <v>#DIV/0!</v>
          </cell>
          <cell r="AU711" t="e">
            <v>#DIV/0!</v>
          </cell>
        </row>
        <row r="712">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172419</v>
          </cell>
          <cell r="AK712">
            <v>398076</v>
          </cell>
          <cell r="AL712">
            <v>40009819</v>
          </cell>
          <cell r="AM712">
            <v>40237592</v>
          </cell>
          <cell r="AN712">
            <v>40468129</v>
          </cell>
          <cell r="AO712">
            <v>90552655</v>
          </cell>
          <cell r="AP712">
            <v>90789829</v>
          </cell>
          <cell r="AQ712">
            <v>91062204</v>
          </cell>
          <cell r="AR712">
            <v>91062204</v>
          </cell>
          <cell r="AS712">
            <v>91062204</v>
          </cell>
          <cell r="AT712">
            <v>91062204</v>
          </cell>
          <cell r="AU712">
            <v>91062204</v>
          </cell>
        </row>
        <row r="713">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200000</v>
          </cell>
          <cell r="AK713">
            <v>400000</v>
          </cell>
          <cell r="AL713">
            <v>45209617</v>
          </cell>
          <cell r="AM713">
            <v>45409617</v>
          </cell>
          <cell r="AN713">
            <v>45609617</v>
          </cell>
          <cell r="AO713">
            <v>90419234</v>
          </cell>
          <cell r="AP713">
            <v>90619234</v>
          </cell>
          <cell r="AQ713">
            <v>90819234</v>
          </cell>
          <cell r="AR713">
            <v>90819234</v>
          </cell>
          <cell r="AS713">
            <v>90819234</v>
          </cell>
          <cell r="AT713">
            <v>90819234</v>
          </cell>
          <cell r="AU713">
            <v>90819234</v>
          </cell>
        </row>
        <row r="714">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-27581</v>
          </cell>
          <cell r="AK714">
            <v>-1924</v>
          </cell>
          <cell r="AL714">
            <v>-5199798</v>
          </cell>
          <cell r="AM714">
            <v>-5172025</v>
          </cell>
          <cell r="AN714">
            <v>-5141488</v>
          </cell>
          <cell r="AO714">
            <v>133421</v>
          </cell>
          <cell r="AP714">
            <v>170595</v>
          </cell>
          <cell r="AQ714">
            <v>242970</v>
          </cell>
          <cell r="AR714">
            <v>242970</v>
          </cell>
          <cell r="AS714">
            <v>242970</v>
          </cell>
          <cell r="AT714">
            <v>242970</v>
          </cell>
          <cell r="AU714">
            <v>242970</v>
          </cell>
        </row>
        <row r="715">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-0.137905</v>
          </cell>
          <cell r="AK715">
            <v>-4.81E-3</v>
          </cell>
          <cell r="AL715">
            <v>-0.11501530747318651</v>
          </cell>
          <cell r="AM715">
            <v>-0.11389712888351382</v>
          </cell>
          <cell r="AN715">
            <v>-0.11272815555543911</v>
          </cell>
          <cell r="AO715">
            <v>1.4755820647629021E-3</v>
          </cell>
          <cell r="AP715">
            <v>1.8825473629582876E-3</v>
          </cell>
          <cell r="AQ715">
            <v>2.675314350261972E-3</v>
          </cell>
          <cell r="AR715">
            <v>2.675314350261972E-3</v>
          </cell>
          <cell r="AS715">
            <v>2.675314350261972E-3</v>
          </cell>
          <cell r="AT715">
            <v>2.675314350261972E-3</v>
          </cell>
          <cell r="AU715">
            <v>2.675314350261972E-3</v>
          </cell>
        </row>
        <row r="716">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52294009</v>
          </cell>
          <cell r="AK716">
            <v>52272602</v>
          </cell>
          <cell r="AL716">
            <v>91584836</v>
          </cell>
          <cell r="AM716">
            <v>40237592</v>
          </cell>
          <cell r="AN716">
            <v>40295710</v>
          </cell>
          <cell r="AO716">
            <v>90154579</v>
          </cell>
          <cell r="AP716">
            <v>50780010</v>
          </cell>
          <cell r="AQ716">
            <v>50824612</v>
          </cell>
          <cell r="AR716">
            <v>50594075</v>
          </cell>
          <cell r="AS716">
            <v>509549</v>
          </cell>
          <cell r="AT716">
            <v>272375</v>
          </cell>
          <cell r="AU716">
            <v>0</v>
          </cell>
        </row>
        <row r="717">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47157410.671999998</v>
          </cell>
          <cell r="AK717">
            <v>47197408.671999998</v>
          </cell>
          <cell r="AL717">
            <v>91844927.272</v>
          </cell>
          <cell r="AM717">
            <v>45409617</v>
          </cell>
          <cell r="AN717">
            <v>45409617</v>
          </cell>
          <cell r="AO717">
            <v>90019234</v>
          </cell>
          <cell r="AP717">
            <v>45409617</v>
          </cell>
          <cell r="AQ717">
            <v>45409617</v>
          </cell>
          <cell r="AR717">
            <v>45209617</v>
          </cell>
          <cell r="AS717">
            <v>400000</v>
          </cell>
          <cell r="AT717">
            <v>200000</v>
          </cell>
          <cell r="AU717">
            <v>0</v>
          </cell>
        </row>
        <row r="718">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5136598.3280000016</v>
          </cell>
          <cell r="AK718">
            <v>5075193.3280000016</v>
          </cell>
          <cell r="AL718">
            <v>-260091.27199999988</v>
          </cell>
          <cell r="AM718">
            <v>-5172025</v>
          </cell>
          <cell r="AN718">
            <v>-5113907</v>
          </cell>
          <cell r="AO718">
            <v>135345</v>
          </cell>
          <cell r="AP718">
            <v>5370393</v>
          </cell>
          <cell r="AQ718">
            <v>5414995</v>
          </cell>
          <cell r="AR718">
            <v>5384458</v>
          </cell>
          <cell r="AS718">
            <v>109549</v>
          </cell>
          <cell r="AT718">
            <v>72375</v>
          </cell>
          <cell r="AU718">
            <v>0</v>
          </cell>
        </row>
        <row r="719">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0.10892452012955597</v>
          </cell>
          <cell r="AK719">
            <v>0.10753118594434348</v>
          </cell>
          <cell r="AL719">
            <v>-2.8318523376880253E-3</v>
          </cell>
          <cell r="AM719">
            <v>-0.11389712888351382</v>
          </cell>
          <cell r="AN719">
            <v>-0.11261726783557764</v>
          </cell>
          <cell r="AO719">
            <v>1.5035120161098017E-3</v>
          </cell>
          <cell r="AP719">
            <v>0.1182655427373457</v>
          </cell>
          <cell r="AQ719">
            <v>0.11924775758403776</v>
          </cell>
          <cell r="AR719">
            <v>0.1190998366564353</v>
          </cell>
          <cell r="AS719">
            <v>0.27387250000000002</v>
          </cell>
          <cell r="AT719">
            <v>0.361875</v>
          </cell>
          <cell r="AU719" t="e">
            <v>#DIV/0!</v>
          </cell>
        </row>
        <row r="720">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row>
        <row r="721">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row>
        <row r="722">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row>
        <row r="723">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row>
        <row r="724">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row>
        <row r="725">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row>
        <row r="726">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row>
        <row r="727">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row>
        <row r="728">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row>
        <row r="729">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row>
        <row r="730">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row>
        <row r="731">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row>
        <row r="732">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row>
        <row r="733">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row>
        <row r="734">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row>
        <row r="735">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row>
        <row r="736">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row>
        <row r="737">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row>
        <row r="738">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row>
        <row r="739">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row>
        <row r="740">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row>
        <row r="741">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row>
        <row r="742">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row>
        <row r="743">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row>
        <row r="744">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row>
        <row r="745">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row>
        <row r="746">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row>
        <row r="747">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row>
        <row r="748">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row>
        <row r="749">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row>
        <row r="750">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row>
        <row r="751">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row>
        <row r="752">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row>
        <row r="753">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row>
        <row r="754">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row>
        <row r="755">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row>
        <row r="756">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row>
        <row r="757">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row>
        <row r="758">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row>
        <row r="759">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row>
        <row r="760">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row>
        <row r="761">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row>
        <row r="762">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row>
        <row r="763">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row>
        <row r="764">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row>
        <row r="765">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row>
        <row r="766">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row>
        <row r="767">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row>
        <row r="768">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row>
        <row r="769">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row>
        <row r="770">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row>
        <row r="771">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row>
        <row r="772">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row>
        <row r="773">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row>
        <row r="774">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row>
        <row r="775">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row>
        <row r="776">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row>
        <row r="777">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row>
        <row r="778">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row>
        <row r="779">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row>
        <row r="780">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row>
        <row r="781">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row>
        <row r="782">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row>
        <row r="783">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row>
        <row r="784">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row>
        <row r="785">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row>
        <row r="786">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row>
        <row r="787">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row>
        <row r="788">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row>
        <row r="789">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row>
        <row r="790">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row>
        <row r="791">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row>
        <row r="792">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row>
        <row r="793">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row>
        <row r="794">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row>
        <row r="795">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row>
        <row r="796">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row>
        <row r="797">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row>
        <row r="798">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row>
        <row r="799">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row>
        <row r="800">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row>
        <row r="801">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row>
        <row r="802">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row>
        <row r="803">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row>
        <row r="804">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row>
        <row r="805">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row>
        <row r="806">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row>
        <row r="807">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row>
        <row r="808">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row>
        <row r="809">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row>
        <row r="810">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row>
        <row r="811">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row>
        <row r="812">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row>
        <row r="813">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row>
        <row r="814">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row>
        <row r="815">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row>
        <row r="816">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row>
        <row r="817">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row>
        <row r="818">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row>
        <row r="819">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row>
        <row r="820">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row>
        <row r="821">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row>
        <row r="822">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row>
        <row r="823">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row>
        <row r="824">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row>
        <row r="825">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row>
        <row r="826">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row>
        <row r="827">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row>
        <row r="828">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row>
        <row r="829">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row>
        <row r="830">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row>
        <row r="831">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row>
        <row r="832">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cell r="AI832">
            <v>0</v>
          </cell>
        </row>
        <row r="833">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row>
        <row r="834">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row>
        <row r="835">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row>
        <row r="836">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row>
        <row r="837">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row>
        <row r="838">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0</v>
          </cell>
        </row>
        <row r="839">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row>
        <row r="840">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row>
        <row r="841">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row>
        <row r="842">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row>
        <row r="843">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row>
        <row r="844">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row>
        <row r="845">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row>
        <row r="846">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row>
        <row r="847">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row>
        <row r="848">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row>
        <row r="849">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row>
        <row r="850">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row>
        <row r="851">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row>
        <row r="852">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row>
        <row r="853">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row>
        <row r="854">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row>
        <row r="855">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row>
        <row r="856">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row>
        <row r="857">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row>
        <row r="858">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row>
        <row r="859">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row>
        <row r="860">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row>
        <row r="861">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row>
        <row r="862">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row>
        <row r="863">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row>
        <row r="864">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row>
        <row r="865">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row>
        <row r="866">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row>
        <row r="867">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row>
        <row r="868">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row>
        <row r="869">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row>
        <row r="870">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row>
        <row r="871">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row>
        <row r="872">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row>
        <row r="873">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row>
        <row r="874">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row>
        <row r="875">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row>
        <row r="876">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row>
        <row r="877">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row>
        <row r="878">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row>
        <row r="879">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row>
        <row r="880">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row>
        <row r="881">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row>
        <row r="882">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row>
        <row r="883">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row>
        <row r="884">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cell r="AI884">
            <v>0</v>
          </cell>
        </row>
        <row r="885">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row>
        <row r="886">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row>
        <row r="887">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row>
        <row r="888">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cell r="AI888">
            <v>0</v>
          </cell>
        </row>
        <row r="889">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row>
        <row r="890">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cell r="AI890">
            <v>0</v>
          </cell>
        </row>
        <row r="891">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row>
        <row r="892">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row>
        <row r="893">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row>
        <row r="894">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row>
        <row r="895">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row>
        <row r="896">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row>
        <row r="897">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row>
        <row r="898">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row>
        <row r="899">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row>
        <row r="900">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row>
        <row r="901">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row>
        <row r="902">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row>
        <row r="903">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row>
        <row r="904">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row>
        <row r="905">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row>
        <row r="906">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row>
        <row r="907">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row>
        <row r="908">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row>
        <row r="909">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row>
        <row r="910">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row>
        <row r="911">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row>
        <row r="912">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row>
        <row r="913">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row>
        <row r="914">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row>
        <row r="915">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row>
        <row r="916">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row>
        <row r="917">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row>
        <row r="918">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row>
        <row r="919">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row>
        <row r="920">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row>
        <row r="921">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row>
        <row r="922">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row>
        <row r="923">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row>
        <row r="924">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row>
        <row r="925">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row>
        <row r="926">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row>
        <row r="927">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row>
        <row r="928">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row>
        <row r="929">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row>
        <row r="930">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cell r="AI930">
            <v>0</v>
          </cell>
        </row>
        <row r="931">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row>
        <row r="932">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cell r="AI932">
            <v>0</v>
          </cell>
        </row>
        <row r="933">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row>
        <row r="934">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row>
        <row r="935">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row>
        <row r="936">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row>
        <row r="937">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row>
        <row r="938">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row>
        <row r="939">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row>
        <row r="940">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row>
        <row r="941">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row>
        <row r="942">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row>
        <row r="943">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row>
        <row r="944">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row>
        <row r="945">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row>
        <row r="946">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row>
        <row r="947">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row>
        <row r="948">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cell r="AI948">
            <v>0</v>
          </cell>
        </row>
        <row r="949">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cell r="AI949">
            <v>0</v>
          </cell>
        </row>
        <row r="950">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cell r="AI950">
            <v>0</v>
          </cell>
        </row>
        <row r="951">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row>
        <row r="952">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cell r="AI952">
            <v>0</v>
          </cell>
        </row>
        <row r="953">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row>
        <row r="954">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row>
        <row r="955">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row>
        <row r="956">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cell r="AI956">
            <v>0</v>
          </cell>
        </row>
        <row r="957">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cell r="AI957">
            <v>0</v>
          </cell>
        </row>
        <row r="958">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row>
        <row r="959">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row>
        <row r="960">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cell r="AA960">
            <v>0</v>
          </cell>
          <cell r="AB960">
            <v>0</v>
          </cell>
          <cell r="AC960">
            <v>0</v>
          </cell>
          <cell r="AD960">
            <v>0</v>
          </cell>
          <cell r="AE960">
            <v>0</v>
          </cell>
          <cell r="AF960">
            <v>0</v>
          </cell>
          <cell r="AG960">
            <v>0</v>
          </cell>
          <cell r="AH960">
            <v>0</v>
          </cell>
          <cell r="AI960">
            <v>0</v>
          </cell>
        </row>
        <row r="961">
          <cell r="G961">
            <v>0</v>
          </cell>
          <cell r="H961">
            <v>0</v>
          </cell>
          <cell r="I961">
            <v>0</v>
          </cell>
          <cell r="J961">
            <v>0</v>
          </cell>
          <cell r="K961">
            <v>0</v>
          </cell>
          <cell r="L961">
            <v>0</v>
          </cell>
          <cell r="M961">
            <v>0</v>
          </cell>
          <cell r="N961">
            <v>0</v>
          </cell>
          <cell r="O961">
            <v>0</v>
          </cell>
          <cell r="P961">
            <v>0</v>
          </cell>
          <cell r="Q961">
            <v>0</v>
          </cell>
          <cell r="R961">
            <v>0</v>
          </cell>
          <cell r="S961">
            <v>0</v>
          </cell>
          <cell r="T961">
            <v>0</v>
          </cell>
          <cell r="U961">
            <v>0</v>
          </cell>
          <cell r="V961">
            <v>0</v>
          </cell>
          <cell r="W961">
            <v>0</v>
          </cell>
          <cell r="X961">
            <v>0</v>
          </cell>
          <cell r="Y961">
            <v>0</v>
          </cell>
          <cell r="Z961">
            <v>0</v>
          </cell>
          <cell r="AA961">
            <v>0</v>
          </cell>
          <cell r="AB961">
            <v>0</v>
          </cell>
          <cell r="AC961">
            <v>0</v>
          </cell>
          <cell r="AD961">
            <v>0</v>
          </cell>
          <cell r="AE961">
            <v>0</v>
          </cell>
          <cell r="AF961">
            <v>0</v>
          </cell>
          <cell r="AG961">
            <v>0</v>
          </cell>
          <cell r="AH961">
            <v>0</v>
          </cell>
          <cell r="AI961">
            <v>0</v>
          </cell>
        </row>
        <row r="962">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v>0</v>
          </cell>
          <cell r="AA962">
            <v>0</v>
          </cell>
          <cell r="AB962">
            <v>0</v>
          </cell>
          <cell r="AC962">
            <v>0</v>
          </cell>
          <cell r="AD962">
            <v>0</v>
          </cell>
          <cell r="AE962">
            <v>0</v>
          </cell>
          <cell r="AF962">
            <v>0</v>
          </cell>
          <cell r="AG962">
            <v>0</v>
          </cell>
          <cell r="AH962">
            <v>0</v>
          </cell>
          <cell r="AI962">
            <v>0</v>
          </cell>
        </row>
        <row r="963">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row>
        <row r="964">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cell r="AI964">
            <v>0</v>
          </cell>
        </row>
        <row r="965">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row>
        <row r="966">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row>
        <row r="967">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row>
        <row r="968">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row>
        <row r="969">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row>
        <row r="970">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cell r="AA970">
            <v>0</v>
          </cell>
          <cell r="AB970">
            <v>0</v>
          </cell>
          <cell r="AC970">
            <v>0</v>
          </cell>
          <cell r="AD970">
            <v>0</v>
          </cell>
          <cell r="AE970">
            <v>0</v>
          </cell>
          <cell r="AF970">
            <v>0</v>
          </cell>
          <cell r="AG970">
            <v>0</v>
          </cell>
          <cell r="AH970">
            <v>0</v>
          </cell>
          <cell r="AI970">
            <v>0</v>
          </cell>
        </row>
        <row r="971">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row>
        <row r="972">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row>
        <row r="973">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cell r="AI973">
            <v>0</v>
          </cell>
        </row>
        <row r="974">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cell r="AI974">
            <v>0</v>
          </cell>
        </row>
        <row r="975">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row>
        <row r="976">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row>
        <row r="977">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row>
        <row r="978">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cell r="AA978">
            <v>0</v>
          </cell>
          <cell r="AB978">
            <v>0</v>
          </cell>
          <cell r="AC978">
            <v>0</v>
          </cell>
          <cell r="AD978">
            <v>0</v>
          </cell>
          <cell r="AE978">
            <v>0</v>
          </cell>
          <cell r="AF978">
            <v>0</v>
          </cell>
          <cell r="AG978">
            <v>0</v>
          </cell>
          <cell r="AH978">
            <v>0</v>
          </cell>
          <cell r="AI978">
            <v>0</v>
          </cell>
        </row>
        <row r="979">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row>
        <row r="980">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row>
        <row r="981">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row>
        <row r="982">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row>
        <row r="983">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row>
        <row r="984">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row>
        <row r="985">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cell r="AI985">
            <v>0</v>
          </cell>
        </row>
        <row r="986">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row>
        <row r="987">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row>
        <row r="988">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row>
        <row r="989">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row>
        <row r="990">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row>
        <row r="991">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row>
        <row r="992">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row>
        <row r="993">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row>
        <row r="994">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row>
        <row r="995">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row>
        <row r="996">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row>
        <row r="997">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row>
        <row r="998">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row>
        <row r="999">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0</v>
          </cell>
          <cell r="AF999">
            <v>0</v>
          </cell>
          <cell r="AG999">
            <v>0</v>
          </cell>
          <cell r="AH999">
            <v>0</v>
          </cell>
          <cell r="AI999">
            <v>0</v>
          </cell>
        </row>
        <row r="1000">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row>
        <row r="1001">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row>
        <row r="1002">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row>
        <row r="1003">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row>
        <row r="1004">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0</v>
          </cell>
          <cell r="AB1004">
            <v>0</v>
          </cell>
          <cell r="AC1004">
            <v>0</v>
          </cell>
          <cell r="AD1004">
            <v>0</v>
          </cell>
          <cell r="AE1004">
            <v>0</v>
          </cell>
          <cell r="AF1004">
            <v>0</v>
          </cell>
          <cell r="AG1004">
            <v>0</v>
          </cell>
          <cell r="AH1004">
            <v>0</v>
          </cell>
          <cell r="AI1004">
            <v>0</v>
          </cell>
        </row>
        <row r="1005">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row>
        <row r="1006">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row>
        <row r="1007">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row>
        <row r="1008">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row>
        <row r="1009">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row>
        <row r="1010">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row>
        <row r="1011">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row>
        <row r="1012">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row>
        <row r="1013">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row>
        <row r="1014">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row>
        <row r="1015">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row>
        <row r="1016">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row>
        <row r="1017">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row>
        <row r="1018">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row>
        <row r="1019">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row>
        <row r="1020">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row>
        <row r="1021">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row>
        <row r="1022">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row>
        <row r="1023">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row>
        <row r="1024">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row>
        <row r="1025">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cell r="AI1025">
            <v>0</v>
          </cell>
        </row>
        <row r="1026">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row>
        <row r="1027">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row>
        <row r="1028">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cell r="AI1028">
            <v>0</v>
          </cell>
        </row>
        <row r="1029">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row>
        <row r="1030">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row>
        <row r="1031">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row>
        <row r="1032">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cell r="AI1032">
            <v>0</v>
          </cell>
        </row>
        <row r="1033">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row>
        <row r="1034">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cell r="AI1034">
            <v>0</v>
          </cell>
        </row>
        <row r="1035">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cell r="AG1035">
            <v>0</v>
          </cell>
          <cell r="AH1035">
            <v>0</v>
          </cell>
          <cell r="AI1035">
            <v>0</v>
          </cell>
        </row>
        <row r="1036">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0</v>
          </cell>
          <cell r="AH1036">
            <v>0</v>
          </cell>
          <cell r="AI1036">
            <v>0</v>
          </cell>
        </row>
        <row r="1037">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0</v>
          </cell>
          <cell r="AH1037">
            <v>0</v>
          </cell>
          <cell r="AI1037">
            <v>0</v>
          </cell>
        </row>
        <row r="1038">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0</v>
          </cell>
        </row>
        <row r="1039">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row>
        <row r="1040">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row>
        <row r="1041">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0</v>
          </cell>
        </row>
        <row r="1042">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cell r="AI1042">
            <v>0</v>
          </cell>
        </row>
        <row r="1043">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row>
        <row r="1044">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row>
        <row r="1045">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row>
        <row r="1046">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cell r="AI1046">
            <v>0</v>
          </cell>
        </row>
        <row r="1047">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cell r="AI1047">
            <v>0</v>
          </cell>
        </row>
        <row r="1048">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cell r="AI1048">
            <v>0</v>
          </cell>
        </row>
        <row r="1049">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cell r="AI1049">
            <v>0</v>
          </cell>
        </row>
        <row r="1050">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cell r="AI1050">
            <v>0</v>
          </cell>
        </row>
        <row r="1051">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0</v>
          </cell>
        </row>
        <row r="1052">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cell r="AG1052">
            <v>0</v>
          </cell>
          <cell r="AH1052">
            <v>0</v>
          </cell>
          <cell r="AI1052">
            <v>0</v>
          </cell>
        </row>
        <row r="1053">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cell r="AI1053">
            <v>0</v>
          </cell>
        </row>
        <row r="1054">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cell r="AI1054">
            <v>0</v>
          </cell>
        </row>
        <row r="1055">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cell r="AI1055">
            <v>0</v>
          </cell>
        </row>
        <row r="1056">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cell r="AI1056">
            <v>0</v>
          </cell>
        </row>
        <row r="1057">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cell r="AI1057">
            <v>0</v>
          </cell>
        </row>
        <row r="1058">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cell r="AG1058">
            <v>0</v>
          </cell>
          <cell r="AH1058">
            <v>0</v>
          </cell>
          <cell r="AI1058">
            <v>0</v>
          </cell>
        </row>
        <row r="1059">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0</v>
          </cell>
          <cell r="AG1059">
            <v>0</v>
          </cell>
          <cell r="AH1059">
            <v>0</v>
          </cell>
          <cell r="AI1059">
            <v>0</v>
          </cell>
        </row>
        <row r="1060">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row>
        <row r="1061">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cell r="AI1061">
            <v>0</v>
          </cell>
        </row>
        <row r="1062">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cell r="AG1062">
            <v>0</v>
          </cell>
          <cell r="AH1062">
            <v>0</v>
          </cell>
          <cell r="AI1062">
            <v>0</v>
          </cell>
        </row>
        <row r="1063">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cell r="AG1063">
            <v>0</v>
          </cell>
          <cell r="AH1063">
            <v>0</v>
          </cell>
          <cell r="AI1063">
            <v>0</v>
          </cell>
        </row>
        <row r="1064">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cell r="AI1064">
            <v>0</v>
          </cell>
        </row>
        <row r="1065">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cell r="AA1065">
            <v>0</v>
          </cell>
          <cell r="AB1065">
            <v>0</v>
          </cell>
          <cell r="AC1065">
            <v>0</v>
          </cell>
          <cell r="AD1065">
            <v>0</v>
          </cell>
          <cell r="AE1065">
            <v>0</v>
          </cell>
          <cell r="AF1065">
            <v>0</v>
          </cell>
          <cell r="AG1065">
            <v>0</v>
          </cell>
          <cell r="AH1065">
            <v>0</v>
          </cell>
          <cell r="AI1065">
            <v>0</v>
          </cell>
        </row>
        <row r="1066">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row>
        <row r="1067">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cell r="AI1067">
            <v>0</v>
          </cell>
        </row>
        <row r="1068">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0</v>
          </cell>
          <cell r="AH1068">
            <v>0</v>
          </cell>
          <cell r="AI1068">
            <v>0</v>
          </cell>
        </row>
        <row r="1069">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cell r="AA1069">
            <v>0</v>
          </cell>
          <cell r="AB1069">
            <v>0</v>
          </cell>
          <cell r="AC1069">
            <v>0</v>
          </cell>
          <cell r="AD1069">
            <v>0</v>
          </cell>
          <cell r="AE1069">
            <v>0</v>
          </cell>
          <cell r="AF1069">
            <v>0</v>
          </cell>
          <cell r="AG1069">
            <v>0</v>
          </cell>
          <cell r="AH1069">
            <v>0</v>
          </cell>
          <cell r="AI1069">
            <v>0</v>
          </cell>
        </row>
        <row r="1070">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cell r="AI1070">
            <v>0</v>
          </cell>
        </row>
        <row r="1071">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cell r="W1071">
            <v>0</v>
          </cell>
          <cell r="X1071">
            <v>0</v>
          </cell>
          <cell r="Y1071">
            <v>0</v>
          </cell>
          <cell r="Z1071">
            <v>0</v>
          </cell>
          <cell r="AA1071">
            <v>0</v>
          </cell>
          <cell r="AB1071">
            <v>0</v>
          </cell>
          <cell r="AC1071">
            <v>0</v>
          </cell>
          <cell r="AD1071">
            <v>0</v>
          </cell>
          <cell r="AE1071">
            <v>0</v>
          </cell>
          <cell r="AF1071">
            <v>0</v>
          </cell>
          <cell r="AG1071">
            <v>0</v>
          </cell>
          <cell r="AH1071">
            <v>0</v>
          </cell>
          <cell r="AI1071">
            <v>0</v>
          </cell>
        </row>
        <row r="1072">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cell r="AI1072">
            <v>0</v>
          </cell>
        </row>
        <row r="1073">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cell r="AI1073">
            <v>0</v>
          </cell>
        </row>
        <row r="1074">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row>
        <row r="1075">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cell r="AA1075">
            <v>0</v>
          </cell>
          <cell r="AB1075">
            <v>0</v>
          </cell>
          <cell r="AC1075">
            <v>0</v>
          </cell>
          <cell r="AD1075">
            <v>0</v>
          </cell>
          <cell r="AE1075">
            <v>0</v>
          </cell>
          <cell r="AF1075">
            <v>0</v>
          </cell>
          <cell r="AG1075">
            <v>0</v>
          </cell>
          <cell r="AH1075">
            <v>0</v>
          </cell>
          <cell r="AI1075">
            <v>0</v>
          </cell>
        </row>
        <row r="1076">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cell r="AG1076">
            <v>0</v>
          </cell>
          <cell r="AH1076">
            <v>0</v>
          </cell>
          <cell r="AI1076">
            <v>0</v>
          </cell>
        </row>
        <row r="1077">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row>
        <row r="1078">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cell r="AI1078">
            <v>0</v>
          </cell>
        </row>
        <row r="1079">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row>
        <row r="1080">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cell r="AI1080">
            <v>0</v>
          </cell>
        </row>
        <row r="1081">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cell r="AI1081">
            <v>0</v>
          </cell>
        </row>
        <row r="1082">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cell r="AI1082">
            <v>0</v>
          </cell>
        </row>
        <row r="1083">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cell r="AI1083">
            <v>0</v>
          </cell>
        </row>
        <row r="1084">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cell r="AI1084">
            <v>0</v>
          </cell>
        </row>
        <row r="1085">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row>
        <row r="1086">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row>
        <row r="1087">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row>
        <row r="1088">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row>
        <row r="1089">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0</v>
          </cell>
          <cell r="AH1089">
            <v>0</v>
          </cell>
          <cell r="AI1089">
            <v>0</v>
          </cell>
        </row>
        <row r="1090">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0</v>
          </cell>
          <cell r="AC1090">
            <v>0</v>
          </cell>
          <cell r="AD1090">
            <v>0</v>
          </cell>
          <cell r="AE1090">
            <v>0</v>
          </cell>
          <cell r="AF1090">
            <v>0</v>
          </cell>
          <cell r="AG1090">
            <v>0</v>
          </cell>
          <cell r="AH1090">
            <v>0</v>
          </cell>
          <cell r="AI1090">
            <v>0</v>
          </cell>
        </row>
        <row r="1091">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0</v>
          </cell>
          <cell r="AG1091">
            <v>0</v>
          </cell>
          <cell r="AH1091">
            <v>0</v>
          </cell>
          <cell r="AI1091">
            <v>0</v>
          </cell>
        </row>
        <row r="1092">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0</v>
          </cell>
          <cell r="AG1092">
            <v>0</v>
          </cell>
          <cell r="AH1092">
            <v>0</v>
          </cell>
          <cell r="AI1092">
            <v>0</v>
          </cell>
        </row>
        <row r="1093">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cell r="AI1093">
            <v>0</v>
          </cell>
        </row>
        <row r="1094">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cell r="AI1094">
            <v>0</v>
          </cell>
        </row>
        <row r="1095">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cell r="AG1095">
            <v>0</v>
          </cell>
          <cell r="AH1095">
            <v>0</v>
          </cell>
          <cell r="AI1095">
            <v>0</v>
          </cell>
        </row>
        <row r="1096">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cell r="AI1096">
            <v>0</v>
          </cell>
        </row>
        <row r="1097">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cell r="AA1097">
            <v>0</v>
          </cell>
          <cell r="AB1097">
            <v>0</v>
          </cell>
          <cell r="AC1097">
            <v>0</v>
          </cell>
          <cell r="AD1097">
            <v>0</v>
          </cell>
          <cell r="AE1097">
            <v>0</v>
          </cell>
          <cell r="AF1097">
            <v>0</v>
          </cell>
        </row>
        <row r="1098">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row>
        <row r="1099">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0</v>
          </cell>
          <cell r="AB1099">
            <v>0</v>
          </cell>
          <cell r="AC1099">
            <v>0</v>
          </cell>
          <cell r="AD1099">
            <v>0</v>
          </cell>
          <cell r="AE1099">
            <v>0</v>
          </cell>
          <cell r="AF1099">
            <v>0</v>
          </cell>
        </row>
        <row r="1100">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row>
        <row r="1101">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row>
        <row r="1102">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row>
        <row r="1103">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row>
        <row r="1104">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row>
        <row r="1105">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row>
        <row r="1106">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row>
        <row r="1107">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cell r="AA1107">
            <v>0</v>
          </cell>
          <cell r="AB1107">
            <v>0</v>
          </cell>
          <cell r="AC1107">
            <v>0</v>
          </cell>
          <cell r="AD1107">
            <v>0</v>
          </cell>
          <cell r="AE1107">
            <v>0</v>
          </cell>
          <cell r="AF1107">
            <v>0</v>
          </cell>
        </row>
        <row r="1108">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0</v>
          </cell>
        </row>
        <row r="1109">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row>
        <row r="1110">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row>
        <row r="1111">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row>
        <row r="1112">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row>
        <row r="1113">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row>
        <row r="1114">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row>
        <row r="1115">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row>
        <row r="1116">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0</v>
          </cell>
          <cell r="AF1116">
            <v>0</v>
          </cell>
        </row>
        <row r="1117">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row>
        <row r="1118">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row>
        <row r="1119">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row>
        <row r="1120">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row>
        <row r="1121">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row>
        <row r="1122">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row>
        <row r="1123">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row>
        <row r="1124">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row>
        <row r="1125">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row>
        <row r="1126">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row>
        <row r="1127">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row>
        <row r="1128">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row>
        <row r="1129">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row>
        <row r="1130">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row>
        <row r="1131">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row>
        <row r="1132">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row>
        <row r="1133">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row>
        <row r="1134">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row>
        <row r="1135">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row>
        <row r="1136">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row>
        <row r="1137">
          <cell r="G1137">
            <v>0</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cell r="AA1137">
            <v>0</v>
          </cell>
          <cell r="AB1137">
            <v>0</v>
          </cell>
          <cell r="AC1137">
            <v>0</v>
          </cell>
          <cell r="AD1137">
            <v>0</v>
          </cell>
          <cell r="AE1137">
            <v>0</v>
          </cell>
          <cell r="AF1137">
            <v>0</v>
          </cell>
        </row>
        <row r="1138">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row>
        <row r="1139">
          <cell r="G1139">
            <v>0</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cell r="AC1139">
            <v>0</v>
          </cell>
          <cell r="AD1139">
            <v>0</v>
          </cell>
          <cell r="AE1139">
            <v>0</v>
          </cell>
          <cell r="AF1139">
            <v>0</v>
          </cell>
        </row>
        <row r="1140">
          <cell r="G1140">
            <v>0</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cell r="AC1140">
            <v>0</v>
          </cell>
          <cell r="AD1140">
            <v>0</v>
          </cell>
          <cell r="AE1140">
            <v>0</v>
          </cell>
          <cell r="AF1140">
            <v>0</v>
          </cell>
        </row>
        <row r="1141">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row>
        <row r="1142">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row>
        <row r="1143">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row>
        <row r="1144">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row>
        <row r="1145">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row>
        <row r="1146">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row>
        <row r="1147">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row>
        <row r="1148">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row>
        <row r="1149">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row>
        <row r="1150">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row>
        <row r="1151">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row>
        <row r="1152">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row>
        <row r="1153">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row>
        <row r="1154">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v>0</v>
          </cell>
          <cell r="W1154">
            <v>0</v>
          </cell>
          <cell r="X1154">
            <v>0</v>
          </cell>
          <cell r="Y1154">
            <v>0</v>
          </cell>
          <cell r="Z1154">
            <v>0</v>
          </cell>
          <cell r="AA1154">
            <v>0</v>
          </cell>
          <cell r="AB1154">
            <v>0</v>
          </cell>
          <cell r="AC1154">
            <v>0</v>
          </cell>
          <cell r="AD1154">
            <v>0</v>
          </cell>
          <cell r="AE1154">
            <v>0</v>
          </cell>
          <cell r="AF1154">
            <v>0</v>
          </cell>
        </row>
        <row r="1155">
          <cell r="G1155">
            <v>0</v>
          </cell>
          <cell r="H1155">
            <v>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cell r="AC1155">
            <v>0</v>
          </cell>
          <cell r="AD1155">
            <v>0</v>
          </cell>
          <cell r="AE1155">
            <v>0</v>
          </cell>
          <cell r="AF1155">
            <v>0</v>
          </cell>
        </row>
        <row r="1156">
          <cell r="G1156">
            <v>0</v>
          </cell>
          <cell r="H1156">
            <v>0</v>
          </cell>
          <cell r="I1156">
            <v>0</v>
          </cell>
          <cell r="J1156">
            <v>0</v>
          </cell>
          <cell r="K1156">
            <v>0</v>
          </cell>
          <cell r="L1156">
            <v>0</v>
          </cell>
          <cell r="M1156">
            <v>0</v>
          </cell>
          <cell r="N1156">
            <v>0</v>
          </cell>
          <cell r="O1156">
            <v>0</v>
          </cell>
          <cell r="P1156">
            <v>0</v>
          </cell>
          <cell r="Q1156">
            <v>0</v>
          </cell>
          <cell r="R1156">
            <v>0</v>
          </cell>
          <cell r="S1156">
            <v>0</v>
          </cell>
          <cell r="T1156">
            <v>0</v>
          </cell>
          <cell r="U1156">
            <v>0</v>
          </cell>
          <cell r="V1156">
            <v>0</v>
          </cell>
          <cell r="W1156">
            <v>0</v>
          </cell>
          <cell r="X1156">
            <v>0</v>
          </cell>
          <cell r="Y1156">
            <v>0</v>
          </cell>
          <cell r="Z1156">
            <v>0</v>
          </cell>
          <cell r="AA1156">
            <v>0</v>
          </cell>
          <cell r="AB1156">
            <v>0</v>
          </cell>
          <cell r="AC1156">
            <v>0</v>
          </cell>
          <cell r="AD1156">
            <v>0</v>
          </cell>
          <cell r="AE1156">
            <v>0</v>
          </cell>
          <cell r="AF1156">
            <v>0</v>
          </cell>
        </row>
        <row r="1157">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row>
        <row r="1158">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row>
        <row r="1159">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row>
        <row r="1160">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row>
        <row r="1161">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row>
        <row r="1162">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row>
        <row r="1163">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row>
        <row r="1164">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row>
        <row r="1165">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row>
        <row r="1166">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row>
        <row r="1167">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row>
        <row r="1168">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row>
        <row r="1169">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row>
        <row r="1170">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row>
        <row r="1171">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row>
        <row r="1172">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row>
        <row r="1173">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row>
        <row r="1174">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row>
        <row r="1175">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row>
        <row r="1176">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row>
        <row r="1177">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row>
        <row r="1178">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row>
        <row r="1179">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row>
        <row r="1180">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row>
        <row r="1181">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row>
        <row r="1182">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0</v>
          </cell>
        </row>
        <row r="1183">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row>
        <row r="1184">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row>
        <row r="1185">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row>
        <row r="1186">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row>
        <row r="1187">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row>
        <row r="1188">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cell r="AC1188">
            <v>0</v>
          </cell>
          <cell r="AD1188">
            <v>0</v>
          </cell>
          <cell r="AE1188">
            <v>0</v>
          </cell>
          <cell r="AF1188">
            <v>0</v>
          </cell>
        </row>
        <row r="1189">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0</v>
          </cell>
        </row>
        <row r="1190">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cell r="AC1190">
            <v>0</v>
          </cell>
          <cell r="AD1190">
            <v>0</v>
          </cell>
          <cell r="AE1190">
            <v>0</v>
          </cell>
          <cell r="AF1190">
            <v>0</v>
          </cell>
        </row>
        <row r="1191">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cell r="AC1191">
            <v>0</v>
          </cell>
          <cell r="AD1191">
            <v>0</v>
          </cell>
          <cell r="AE1191">
            <v>0</v>
          </cell>
          <cell r="AF1191">
            <v>0</v>
          </cell>
        </row>
        <row r="1192">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row>
        <row r="1193">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row>
        <row r="1194">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row>
        <row r="1195">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row>
        <row r="1196">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row>
        <row r="1197">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row>
        <row r="1198">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row>
        <row r="1199">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row>
        <row r="1200">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row>
        <row r="1201">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row>
        <row r="1202">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row>
        <row r="1203">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row>
        <row r="1204">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row>
        <row r="1205">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row>
        <row r="1206">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row>
        <row r="1207">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cell r="W1207">
            <v>0</v>
          </cell>
          <cell r="X1207">
            <v>0</v>
          </cell>
          <cell r="Y1207">
            <v>0</v>
          </cell>
          <cell r="Z1207">
            <v>0</v>
          </cell>
          <cell r="AA1207">
            <v>0</v>
          </cell>
          <cell r="AB1207">
            <v>0</v>
          </cell>
          <cell r="AC1207">
            <v>0</v>
          </cell>
          <cell r="AD1207">
            <v>0</v>
          </cell>
          <cell r="AE1207">
            <v>0</v>
          </cell>
          <cell r="AF1207">
            <v>0</v>
          </cell>
        </row>
        <row r="1208">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row>
        <row r="1209">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row>
        <row r="1210">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row>
        <row r="1211">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cell r="W1211">
            <v>0</v>
          </cell>
          <cell r="X1211">
            <v>0</v>
          </cell>
          <cell r="Y1211">
            <v>0</v>
          </cell>
          <cell r="Z1211">
            <v>0</v>
          </cell>
          <cell r="AA1211">
            <v>0</v>
          </cell>
          <cell r="AB1211">
            <v>0</v>
          </cell>
          <cell r="AC1211">
            <v>0</v>
          </cell>
          <cell r="AD1211">
            <v>0</v>
          </cell>
          <cell r="AE1211">
            <v>0</v>
          </cell>
          <cell r="AF1211">
            <v>0</v>
          </cell>
        </row>
        <row r="1212">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row>
        <row r="1213">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row>
        <row r="1214">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row>
        <row r="1215">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row>
        <row r="1216">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row>
        <row r="1217">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row>
        <row r="1218">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row>
        <row r="1219">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row>
        <row r="1220">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row>
        <row r="1221">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row>
        <row r="1222">
          <cell r="G1222">
            <v>0</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0</v>
          </cell>
          <cell r="AA1222">
            <v>0</v>
          </cell>
          <cell r="AB1222">
            <v>0</v>
          </cell>
          <cell r="AC1222">
            <v>0</v>
          </cell>
          <cell r="AD1222">
            <v>0</v>
          </cell>
          <cell r="AE1222">
            <v>0</v>
          </cell>
          <cell r="AF1222">
            <v>0</v>
          </cell>
        </row>
        <row r="1223">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row>
        <row r="1224">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row>
        <row r="1225">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row>
        <row r="1226">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row>
        <row r="1227">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row>
        <row r="1228">
          <cell r="G1228">
            <v>0</v>
          </cell>
          <cell r="H1228">
            <v>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v>0</v>
          </cell>
          <cell r="W1228">
            <v>0</v>
          </cell>
          <cell r="X1228">
            <v>0</v>
          </cell>
          <cell r="Y1228">
            <v>0</v>
          </cell>
          <cell r="Z1228">
            <v>0</v>
          </cell>
          <cell r="AA1228">
            <v>0</v>
          </cell>
          <cell r="AB1228">
            <v>0</v>
          </cell>
          <cell r="AC1228">
            <v>0</v>
          </cell>
          <cell r="AD1228">
            <v>0</v>
          </cell>
          <cell r="AE1228">
            <v>0</v>
          </cell>
          <cell r="AF1228">
            <v>0</v>
          </cell>
        </row>
        <row r="1229">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row>
        <row r="1230">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row>
        <row r="1231">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row>
        <row r="1232">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0</v>
          </cell>
        </row>
        <row r="1233">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cell r="AC1233">
            <v>0</v>
          </cell>
          <cell r="AD1233">
            <v>0</v>
          </cell>
          <cell r="AE1233">
            <v>0</v>
          </cell>
          <cell r="AF1233">
            <v>0</v>
          </cell>
        </row>
        <row r="1234">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row>
        <row r="1235">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row>
        <row r="1236">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row>
        <row r="1237">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row>
        <row r="1238">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row>
        <row r="1239">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cell r="AC1239">
            <v>0</v>
          </cell>
          <cell r="AD1239">
            <v>0</v>
          </cell>
          <cell r="AE1239">
            <v>0</v>
          </cell>
          <cell r="AF1239">
            <v>0</v>
          </cell>
        </row>
        <row r="1240">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row>
        <row r="1241">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cell r="W1241">
            <v>0</v>
          </cell>
          <cell r="X1241">
            <v>0</v>
          </cell>
          <cell r="Y1241">
            <v>0</v>
          </cell>
          <cell r="Z1241">
            <v>0</v>
          </cell>
          <cell r="AA1241">
            <v>0</v>
          </cell>
          <cell r="AB1241">
            <v>0</v>
          </cell>
          <cell r="AC1241">
            <v>0</v>
          </cell>
          <cell r="AD1241">
            <v>0</v>
          </cell>
          <cell r="AE1241">
            <v>0</v>
          </cell>
          <cell r="AF1241">
            <v>0</v>
          </cell>
        </row>
        <row r="1242">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row>
        <row r="1243">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0</v>
          </cell>
        </row>
        <row r="1244">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row>
        <row r="1245">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row>
        <row r="1246">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row>
        <row r="1247">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row>
        <row r="1248">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row>
        <row r="1249">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row>
        <row r="1250">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cell r="AC1250">
            <v>0</v>
          </cell>
          <cell r="AD1250">
            <v>0</v>
          </cell>
          <cell r="AE1250">
            <v>0</v>
          </cell>
          <cell r="AF1250">
            <v>0</v>
          </cell>
        </row>
        <row r="1251">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row>
        <row r="1252">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cell r="AC1252">
            <v>0</v>
          </cell>
          <cell r="AD1252">
            <v>0</v>
          </cell>
          <cell r="AE1252">
            <v>0</v>
          </cell>
          <cell r="AF1252">
            <v>0</v>
          </cell>
        </row>
        <row r="1253">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row>
        <row r="1254">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row>
        <row r="1255">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row>
        <row r="1256">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row>
        <row r="1257">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row>
        <row r="1258">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cell r="Y1258">
            <v>0</v>
          </cell>
          <cell r="Z1258">
            <v>0</v>
          </cell>
          <cell r="AA1258">
            <v>0</v>
          </cell>
          <cell r="AB1258">
            <v>0</v>
          </cell>
          <cell r="AC1258">
            <v>0</v>
          </cell>
          <cell r="AD1258">
            <v>0</v>
          </cell>
          <cell r="AE1258">
            <v>0</v>
          </cell>
          <cell r="AF1258">
            <v>0</v>
          </cell>
        </row>
        <row r="1259">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cell r="Y1259">
            <v>0</v>
          </cell>
          <cell r="Z1259">
            <v>0</v>
          </cell>
          <cell r="AA1259">
            <v>0</v>
          </cell>
          <cell r="AB1259">
            <v>0</v>
          </cell>
          <cell r="AC1259">
            <v>0</v>
          </cell>
          <cell r="AD1259">
            <v>0</v>
          </cell>
          <cell r="AE1259">
            <v>0</v>
          </cell>
          <cell r="AF1259">
            <v>0</v>
          </cell>
        </row>
        <row r="1260">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cell r="AC1260">
            <v>0</v>
          </cell>
          <cell r="AD1260">
            <v>0</v>
          </cell>
          <cell r="AE1260">
            <v>0</v>
          </cell>
          <cell r="AF1260">
            <v>0</v>
          </cell>
        </row>
        <row r="1261">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row>
        <row r="1262">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row>
        <row r="1263">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row>
        <row r="1264">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row>
        <row r="1265">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cell r="AC1265">
            <v>0</v>
          </cell>
          <cell r="AD1265">
            <v>0</v>
          </cell>
          <cell r="AE1265">
            <v>0</v>
          </cell>
          <cell r="AF1265">
            <v>0</v>
          </cell>
        </row>
        <row r="1266">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row>
        <row r="1267">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row>
        <row r="1268">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row>
        <row r="1269">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row>
        <row r="1270">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row>
        <row r="1271">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row>
        <row r="1272">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row>
        <row r="1273">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cell r="AC1273">
            <v>0</v>
          </cell>
          <cell r="AD1273">
            <v>0</v>
          </cell>
          <cell r="AE1273">
            <v>0</v>
          </cell>
          <cell r="AF1273">
            <v>0</v>
          </cell>
        </row>
        <row r="1274">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cell r="AC1274">
            <v>0</v>
          </cell>
          <cell r="AD1274">
            <v>0</v>
          </cell>
          <cell r="AE1274">
            <v>0</v>
          </cell>
          <cell r="AF1274">
            <v>0</v>
          </cell>
        </row>
        <row r="1275">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cell r="AC1275">
            <v>0</v>
          </cell>
          <cell r="AD1275">
            <v>0</v>
          </cell>
          <cell r="AE1275">
            <v>0</v>
          </cell>
          <cell r="AF1275">
            <v>0</v>
          </cell>
        </row>
        <row r="1276">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row>
        <row r="1277">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row>
        <row r="1278">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row>
        <row r="1279">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row>
        <row r="1280">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row>
        <row r="1281">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row>
        <row r="1282">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row>
        <row r="1283">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row>
        <row r="1284">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row>
        <row r="1285">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row>
        <row r="1286">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cell r="AC1286">
            <v>0</v>
          </cell>
          <cell r="AD1286">
            <v>0</v>
          </cell>
          <cell r="AE1286">
            <v>0</v>
          </cell>
          <cell r="AF1286">
            <v>0</v>
          </cell>
        </row>
        <row r="1287">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row>
        <row r="1288">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row>
        <row r="1289">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row>
        <row r="1290">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row>
        <row r="1291">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0</v>
          </cell>
          <cell r="X1291">
            <v>0</v>
          </cell>
          <cell r="Y1291">
            <v>0</v>
          </cell>
          <cell r="Z1291">
            <v>0</v>
          </cell>
          <cell r="AA1291">
            <v>0</v>
          </cell>
          <cell r="AB1291">
            <v>0</v>
          </cell>
          <cell r="AC1291">
            <v>0</v>
          </cell>
          <cell r="AD1291">
            <v>0</v>
          </cell>
          <cell r="AE1291">
            <v>0</v>
          </cell>
          <cell r="AF1291">
            <v>0</v>
          </cell>
        </row>
        <row r="1292">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row>
        <row r="1293">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row>
        <row r="1294">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row>
        <row r="1295">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row>
        <row r="1296">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row>
        <row r="1297">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row>
        <row r="1298">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row>
        <row r="1299">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0</v>
          </cell>
        </row>
        <row r="1300">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cell r="AA1300">
            <v>0</v>
          </cell>
          <cell r="AB1300">
            <v>0</v>
          </cell>
          <cell r="AC1300">
            <v>0</v>
          </cell>
          <cell r="AD1300">
            <v>0</v>
          </cell>
          <cell r="AE1300">
            <v>0</v>
          </cell>
          <cell r="AF1300">
            <v>0</v>
          </cell>
        </row>
        <row r="1301">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cell r="AA1301">
            <v>0</v>
          </cell>
          <cell r="AB1301">
            <v>0</v>
          </cell>
          <cell r="AC1301">
            <v>0</v>
          </cell>
          <cell r="AD1301">
            <v>0</v>
          </cell>
          <cell r="AE1301">
            <v>0</v>
          </cell>
          <cell r="AF1301">
            <v>0</v>
          </cell>
        </row>
        <row r="1302">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row>
        <row r="1303">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row>
        <row r="1304">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row>
        <row r="1305">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row>
        <row r="1306">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cell r="AA1306">
            <v>0</v>
          </cell>
          <cell r="AB1306">
            <v>0</v>
          </cell>
          <cell r="AC1306">
            <v>0</v>
          </cell>
          <cell r="AD1306">
            <v>0</v>
          </cell>
          <cell r="AE1306">
            <v>0</v>
          </cell>
          <cell r="AF1306">
            <v>0</v>
          </cell>
        </row>
        <row r="1307">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0</v>
          </cell>
        </row>
        <row r="1308">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row>
        <row r="1309">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row>
        <row r="1310">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v>
          </cell>
          <cell r="W1310">
            <v>0</v>
          </cell>
          <cell r="X1310">
            <v>0</v>
          </cell>
          <cell r="Y1310">
            <v>0</v>
          </cell>
          <cell r="Z1310">
            <v>0</v>
          </cell>
          <cell r="AA1310">
            <v>0</v>
          </cell>
          <cell r="AB1310">
            <v>0</v>
          </cell>
          <cell r="AC1310">
            <v>0</v>
          </cell>
          <cell r="AD1310">
            <v>0</v>
          </cell>
          <cell r="AE1310">
            <v>0</v>
          </cell>
          <cell r="AF1310">
            <v>0</v>
          </cell>
        </row>
        <row r="1311">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0</v>
          </cell>
          <cell r="AB1311">
            <v>0</v>
          </cell>
          <cell r="AC1311">
            <v>0</v>
          </cell>
          <cell r="AD1311">
            <v>0</v>
          </cell>
          <cell r="AE1311">
            <v>0</v>
          </cell>
          <cell r="AF1311">
            <v>0</v>
          </cell>
        </row>
        <row r="1312">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row>
        <row r="1313">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v>
          </cell>
          <cell r="W1313">
            <v>0</v>
          </cell>
          <cell r="X1313">
            <v>0</v>
          </cell>
          <cell r="Y1313">
            <v>0</v>
          </cell>
          <cell r="Z1313">
            <v>0</v>
          </cell>
          <cell r="AA1313">
            <v>0</v>
          </cell>
          <cell r="AB1313">
            <v>0</v>
          </cell>
          <cell r="AC1313">
            <v>0</v>
          </cell>
          <cell r="AD1313">
            <v>0</v>
          </cell>
          <cell r="AE1313">
            <v>0</v>
          </cell>
          <cell r="AF1313">
            <v>0</v>
          </cell>
        </row>
        <row r="1314">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row>
        <row r="1315">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row>
        <row r="1316">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row>
        <row r="1317">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row>
        <row r="1318">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cell r="Y1318">
            <v>0</v>
          </cell>
          <cell r="Z1318">
            <v>0</v>
          </cell>
          <cell r="AA1318">
            <v>0</v>
          </cell>
          <cell r="AB1318">
            <v>0</v>
          </cell>
          <cell r="AC1318">
            <v>0</v>
          </cell>
          <cell r="AD1318">
            <v>0</v>
          </cell>
          <cell r="AE1318">
            <v>0</v>
          </cell>
          <cell r="AF1318">
            <v>0</v>
          </cell>
        </row>
        <row r="1319">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row>
        <row r="1320">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row>
        <row r="1321">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row>
        <row r="1322">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row>
        <row r="1323">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row>
        <row r="1324">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row>
        <row r="1325">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row>
        <row r="1326">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row>
        <row r="1327">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row>
        <row r="1328">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row>
        <row r="1329">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row>
        <row r="1330">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row>
        <row r="1331">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row>
        <row r="1332">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row>
        <row r="1333">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row>
        <row r="1334">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row>
        <row r="1335">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row>
        <row r="1336">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row>
        <row r="1337">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row>
        <row r="1338">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row>
        <row r="1339">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row>
        <row r="1340">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row>
        <row r="1341">
          <cell r="G1341">
            <v>0</v>
          </cell>
          <cell r="H1341">
            <v>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v>0</v>
          </cell>
          <cell r="W1341">
            <v>0</v>
          </cell>
          <cell r="X1341">
            <v>0</v>
          </cell>
          <cell r="Y1341">
            <v>0</v>
          </cell>
          <cell r="Z1341">
            <v>0</v>
          </cell>
          <cell r="AA1341">
            <v>0</v>
          </cell>
          <cell r="AB1341">
            <v>0</v>
          </cell>
          <cell r="AC1341">
            <v>0</v>
          </cell>
          <cell r="AD1341">
            <v>0</v>
          </cell>
          <cell r="AE1341">
            <v>0</v>
          </cell>
          <cell r="AF1341">
            <v>0</v>
          </cell>
        </row>
        <row r="1342">
          <cell r="G1342">
            <v>0</v>
          </cell>
          <cell r="H1342">
            <v>0</v>
          </cell>
          <cell r="I1342">
            <v>0</v>
          </cell>
          <cell r="J1342">
            <v>0</v>
          </cell>
          <cell r="K1342">
            <v>0</v>
          </cell>
          <cell r="L1342">
            <v>0</v>
          </cell>
          <cell r="M1342">
            <v>0</v>
          </cell>
          <cell r="N1342">
            <v>0</v>
          </cell>
          <cell r="O1342">
            <v>0</v>
          </cell>
          <cell r="P1342">
            <v>0</v>
          </cell>
          <cell r="Q1342">
            <v>0</v>
          </cell>
          <cell r="R1342">
            <v>0</v>
          </cell>
          <cell r="S1342">
            <v>0</v>
          </cell>
          <cell r="T1342">
            <v>0</v>
          </cell>
          <cell r="U1342">
            <v>0</v>
          </cell>
          <cell r="V1342">
            <v>0</v>
          </cell>
          <cell r="W1342">
            <v>0</v>
          </cell>
          <cell r="X1342">
            <v>0</v>
          </cell>
          <cell r="Y1342">
            <v>0</v>
          </cell>
          <cell r="Z1342">
            <v>0</v>
          </cell>
          <cell r="AA1342">
            <v>0</v>
          </cell>
          <cell r="AB1342">
            <v>0</v>
          </cell>
          <cell r="AC1342">
            <v>0</v>
          </cell>
          <cell r="AD1342">
            <v>0</v>
          </cell>
          <cell r="AE1342">
            <v>0</v>
          </cell>
          <cell r="AF1342">
            <v>0</v>
          </cell>
        </row>
        <row r="1343">
          <cell r="G1343">
            <v>0</v>
          </cell>
          <cell r="H1343">
            <v>0</v>
          </cell>
          <cell r="I1343">
            <v>0</v>
          </cell>
          <cell r="J1343">
            <v>0</v>
          </cell>
          <cell r="K1343">
            <v>0</v>
          </cell>
          <cell r="L1343">
            <v>0</v>
          </cell>
          <cell r="M1343">
            <v>0</v>
          </cell>
          <cell r="N1343">
            <v>0</v>
          </cell>
          <cell r="O1343">
            <v>0</v>
          </cell>
          <cell r="P1343">
            <v>0</v>
          </cell>
          <cell r="Q1343">
            <v>0</v>
          </cell>
          <cell r="R1343">
            <v>0</v>
          </cell>
          <cell r="S1343">
            <v>0</v>
          </cell>
          <cell r="T1343">
            <v>0</v>
          </cell>
          <cell r="U1343">
            <v>0</v>
          </cell>
          <cell r="V1343">
            <v>0</v>
          </cell>
          <cell r="W1343">
            <v>0</v>
          </cell>
          <cell r="X1343">
            <v>0</v>
          </cell>
          <cell r="Y1343">
            <v>0</v>
          </cell>
          <cell r="Z1343">
            <v>0</v>
          </cell>
          <cell r="AA1343">
            <v>0</v>
          </cell>
          <cell r="AB1343">
            <v>0</v>
          </cell>
          <cell r="AC1343">
            <v>0</v>
          </cell>
          <cell r="AD1343">
            <v>0</v>
          </cell>
          <cell r="AE1343">
            <v>0</v>
          </cell>
          <cell r="AF1343">
            <v>0</v>
          </cell>
        </row>
        <row r="1344">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row>
        <row r="1345">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row>
        <row r="1346">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cell r="AC1346">
            <v>0</v>
          </cell>
          <cell r="AD1346">
            <v>0</v>
          </cell>
          <cell r="AE1346">
            <v>0</v>
          </cell>
          <cell r="AF1346">
            <v>0</v>
          </cell>
        </row>
        <row r="1347">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row>
        <row r="1348">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row>
        <row r="1349">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row>
        <row r="1350">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row>
        <row r="1351">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row>
        <row r="1352">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row>
        <row r="1353">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row>
        <row r="1354">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row>
        <row r="1355">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cell r="AC1355">
            <v>0</v>
          </cell>
          <cell r="AD1355">
            <v>0</v>
          </cell>
          <cell r="AE1355">
            <v>0</v>
          </cell>
          <cell r="AF1355">
            <v>0</v>
          </cell>
        </row>
        <row r="1356">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cell r="AC1356">
            <v>0</v>
          </cell>
          <cell r="AD1356">
            <v>0</v>
          </cell>
          <cell r="AE1356">
            <v>0</v>
          </cell>
          <cell r="AF1356">
            <v>0</v>
          </cell>
        </row>
        <row r="1357">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row>
        <row r="1358">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0</v>
          </cell>
          <cell r="AE1358">
            <v>0</v>
          </cell>
          <cell r="AF1358">
            <v>0</v>
          </cell>
        </row>
        <row r="1359">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row>
        <row r="1360">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row>
        <row r="1361">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row>
        <row r="1362">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row>
        <row r="1363">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row>
        <row r="1364">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row>
        <row r="1365">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row>
        <row r="1366">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cell r="AC1366">
            <v>0</v>
          </cell>
          <cell r="AD1366">
            <v>0</v>
          </cell>
          <cell r="AE1366">
            <v>0</v>
          </cell>
          <cell r="AF1366">
            <v>0</v>
          </cell>
        </row>
        <row r="1367">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E1367">
            <v>0</v>
          </cell>
          <cell r="AF1367">
            <v>0</v>
          </cell>
        </row>
        <row r="1368">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cell r="AC1368">
            <v>0</v>
          </cell>
          <cell r="AD1368">
            <v>0</v>
          </cell>
          <cell r="AE1368">
            <v>0</v>
          </cell>
          <cell r="AF1368">
            <v>0</v>
          </cell>
        </row>
        <row r="1369">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row>
        <row r="1370">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row>
        <row r="1371">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row>
        <row r="1372">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row>
        <row r="1373">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row>
        <row r="1374">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row>
        <row r="1375">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row>
        <row r="1376">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row>
        <row r="1377">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row>
        <row r="1378">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row>
        <row r="1379">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row>
        <row r="1380">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row>
        <row r="1381">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row>
        <row r="1382">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row>
        <row r="1383">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row>
        <row r="1384">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row>
        <row r="1385">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row>
        <row r="1386">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row>
        <row r="1387">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row>
        <row r="1388">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row>
        <row r="1389">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row>
        <row r="1390">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row>
        <row r="1391">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row>
        <row r="1392">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row>
        <row r="1393">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row>
        <row r="1394">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row>
        <row r="1395">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row>
        <row r="1396">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row>
        <row r="1397">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row>
        <row r="1398">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row>
        <row r="1399">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row>
        <row r="1400">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row>
        <row r="1401">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row>
        <row r="1402">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row>
        <row r="1403">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row>
        <row r="1404">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row>
        <row r="1405">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row>
        <row r="1406">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row>
        <row r="1407">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row>
        <row r="1408">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row>
        <row r="1409">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0</v>
          </cell>
          <cell r="AD1409">
            <v>0</v>
          </cell>
          <cell r="AE1409">
            <v>0</v>
          </cell>
          <cell r="AF1409">
            <v>0</v>
          </cell>
        </row>
        <row r="1410">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row>
        <row r="1411">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row>
        <row r="1412">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row>
        <row r="1413">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row>
        <row r="1414">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row>
        <row r="1415">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row>
        <row r="1416">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row>
        <row r="1417">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row>
        <row r="1418">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row>
        <row r="1419">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row>
        <row r="1420">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row>
        <row r="1421">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row>
        <row r="1422">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row>
        <row r="1423">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row>
        <row r="1424">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row>
        <row r="1425">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row>
        <row r="1426">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row>
        <row r="1427">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row>
        <row r="1428">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row>
        <row r="1429">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row>
        <row r="1430">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row>
        <row r="1431">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row>
        <row r="1432">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row>
        <row r="1433">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row>
        <row r="1434">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row>
        <row r="1435">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row>
        <row r="1436">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row>
        <row r="1437">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row>
        <row r="1438">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row>
        <row r="1439">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row>
        <row r="1440">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row>
        <row r="1441">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row>
        <row r="1442">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row>
        <row r="1443">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row>
        <row r="1444">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row>
        <row r="1445">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row>
        <row r="1446">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row>
        <row r="1447">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row>
        <row r="1448">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row>
        <row r="1449">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row>
        <row r="1450">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row>
        <row r="1451">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row>
        <row r="1452">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row>
        <row r="1453">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row>
        <row r="1454">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row>
        <row r="1455">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row>
        <row r="1456">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row>
        <row r="1457">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row>
        <row r="1458">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row>
        <row r="1459">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row>
        <row r="1460">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row>
        <row r="1461">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row>
        <row r="1462">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row>
        <row r="1463">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row>
        <row r="1464">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row>
        <row r="1465">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row>
        <row r="1466">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row>
        <row r="1467">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row>
        <row r="1468">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row>
        <row r="1469">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row>
        <row r="1470">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row>
        <row r="1471">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row>
        <row r="1472">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row>
        <row r="1473">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row>
        <row r="1474">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row>
        <row r="1475">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row>
        <row r="1476">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row>
        <row r="1477">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row>
        <row r="1478">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row>
        <row r="1479">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row>
        <row r="1480">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row>
        <row r="1481">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row>
        <row r="1482">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row>
        <row r="1483">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row>
        <row r="1484">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row>
        <row r="1485">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row>
        <row r="1486">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row>
        <row r="1487">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row>
        <row r="1488">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row>
        <row r="1489">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row>
        <row r="1490">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row>
        <row r="1491">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row>
        <row r="1492">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row>
        <row r="1493">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row>
        <row r="1494">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row>
        <row r="1495">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row>
        <row r="1496">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row>
        <row r="1497">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row>
        <row r="1498">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row>
        <row r="1499">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row>
        <row r="1500">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row>
        <row r="1501">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row>
        <row r="1502">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row>
        <row r="1503">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row>
        <row r="1504">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row>
        <row r="1505">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row>
        <row r="1506">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row>
        <row r="1507">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row>
        <row r="1508">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row>
        <row r="1509">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row>
        <row r="1510">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row>
        <row r="1511">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row>
        <row r="1512">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row>
        <row r="1513">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row>
        <row r="1514">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row>
        <row r="1515">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row>
        <row r="1516">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row>
        <row r="1517">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row>
        <row r="1518">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row>
        <row r="1519">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row>
        <row r="1520">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row>
        <row r="1521">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row>
        <row r="1522">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row>
        <row r="1523">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row>
        <row r="1524">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row>
        <row r="1525">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row>
        <row r="1526">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row>
        <row r="1527">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row>
        <row r="1528">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row>
        <row r="1529">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row>
        <row r="1530">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row>
        <row r="1531">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row>
        <row r="1532">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row>
        <row r="1533">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row>
        <row r="1534">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row>
        <row r="1535">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row>
        <row r="1536">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row>
        <row r="1537">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row>
        <row r="1538">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row>
        <row r="1539">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row>
        <row r="1540">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row>
        <row r="1541">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row>
        <row r="1542">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row>
        <row r="1543">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row>
        <row r="1544">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row>
        <row r="1545">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row>
        <row r="1546">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row>
        <row r="1547">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row>
        <row r="1548">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row>
        <row r="1549">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row>
        <row r="1550">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row>
        <row r="1551">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55"/>
  <sheetViews>
    <sheetView view="pageBreakPreview" zoomScale="80" zoomScaleNormal="100" zoomScaleSheetLayoutView="80" workbookViewId="0">
      <selection activeCell="C49" sqref="C49:D49"/>
    </sheetView>
  </sheetViews>
  <sheetFormatPr defaultColWidth="8.85546875" defaultRowHeight="15" x14ac:dyDescent="0.25"/>
  <cols>
    <col min="1" max="1" width="3.85546875" customWidth="1"/>
    <col min="2" max="2" width="12.42578125" customWidth="1"/>
    <col min="3" max="6" width="9.7109375" customWidth="1"/>
    <col min="7" max="8" width="9.28515625" customWidth="1"/>
    <col min="9" max="9" width="10.85546875" customWidth="1"/>
    <col min="10" max="13" width="9.28515625" customWidth="1"/>
  </cols>
  <sheetData>
    <row r="1" spans="1:35" ht="26.25" x14ac:dyDescent="0.4">
      <c r="A1" s="220" t="str">
        <f>"Med Center Express Dashboard - " &amp; 'Start Here'!F6</f>
        <v>Med Center Express Dashboard - January 2026</v>
      </c>
      <c r="B1" s="220"/>
      <c r="C1" s="220"/>
      <c r="D1" s="220"/>
      <c r="E1" s="220"/>
      <c r="F1" s="220"/>
      <c r="G1" s="220"/>
      <c r="H1" s="220"/>
      <c r="I1" s="220"/>
      <c r="J1" s="220"/>
      <c r="K1" s="220"/>
      <c r="L1" s="220"/>
      <c r="M1" s="220"/>
      <c r="N1" s="220"/>
      <c r="W1" s="210"/>
      <c r="X1" s="210"/>
      <c r="Y1" s="210"/>
      <c r="Z1" s="210"/>
      <c r="AA1" s="210"/>
      <c r="AB1" s="210"/>
      <c r="AC1" s="210"/>
      <c r="AD1" s="210"/>
      <c r="AE1" s="210"/>
      <c r="AF1" s="210"/>
      <c r="AG1" s="210"/>
      <c r="AH1" s="210"/>
      <c r="AI1" s="210"/>
    </row>
    <row r="2" spans="1:35" ht="12.75" customHeight="1" x14ac:dyDescent="0.25">
      <c r="W2" s="40"/>
      <c r="X2" s="40"/>
      <c r="Y2" s="40"/>
      <c r="Z2" s="40"/>
      <c r="AA2" s="40"/>
      <c r="AB2" s="40"/>
      <c r="AC2" s="40"/>
      <c r="AD2" s="40"/>
      <c r="AE2" s="40"/>
      <c r="AF2" s="40"/>
      <c r="AG2" s="40"/>
      <c r="AH2" s="40"/>
      <c r="AI2" s="40"/>
    </row>
    <row r="3" spans="1:35" ht="23.25" x14ac:dyDescent="0.35">
      <c r="A3" s="1" t="s">
        <v>12</v>
      </c>
      <c r="W3" s="41"/>
      <c r="X3" s="41"/>
      <c r="Y3" s="41"/>
      <c r="Z3" s="41"/>
      <c r="AA3" s="41"/>
      <c r="AB3" s="41"/>
      <c r="AC3" s="41"/>
      <c r="AD3" s="41"/>
      <c r="AE3" s="41"/>
      <c r="AF3" s="41"/>
      <c r="AG3" s="41"/>
      <c r="AH3" s="41"/>
      <c r="AI3" s="41"/>
    </row>
    <row r="4" spans="1:35" ht="20.25" customHeight="1" thickBot="1" x14ac:dyDescent="0.35">
      <c r="C4" s="221" t="str">
        <f>"Headway (Mins.) - " &amp; 'Start Here'!F6</f>
        <v>Headway (Mins.) - January 2026</v>
      </c>
      <c r="D4" s="221"/>
      <c r="E4" s="221"/>
      <c r="F4" s="221"/>
    </row>
    <row r="5" spans="1:35" ht="48" thickBot="1" x14ac:dyDescent="0.3">
      <c r="B5" s="38" t="s">
        <v>13</v>
      </c>
      <c r="C5" s="60" t="s">
        <v>14</v>
      </c>
      <c r="D5" s="91" t="s">
        <v>15</v>
      </c>
      <c r="E5" s="91" t="s">
        <v>16</v>
      </c>
      <c r="F5" s="92" t="s">
        <v>17</v>
      </c>
      <c r="W5" s="26"/>
      <c r="X5" s="180"/>
    </row>
    <row r="6" spans="1:35" x14ac:dyDescent="0.25">
      <c r="B6" s="36" t="s">
        <v>20</v>
      </c>
      <c r="C6" s="61">
        <v>10</v>
      </c>
      <c r="D6" s="105">
        <f>Calculations!D4</f>
        <v>0</v>
      </c>
      <c r="E6" s="53">
        <f>Calculations!E4</f>
        <v>0</v>
      </c>
      <c r="F6" s="46">
        <f>Calculations!F4</f>
        <v>0</v>
      </c>
      <c r="V6" s="181"/>
      <c r="X6" s="135"/>
    </row>
    <row r="7" spans="1:35" ht="15" customHeight="1" x14ac:dyDescent="0.25">
      <c r="B7" s="36" t="s">
        <v>21</v>
      </c>
      <c r="C7" s="62">
        <v>3</v>
      </c>
      <c r="D7" s="47">
        <f>Calculations!D5</f>
        <v>0</v>
      </c>
      <c r="E7" s="54">
        <f>Calculations!E5</f>
        <v>0</v>
      </c>
      <c r="F7" s="48">
        <f>Calculations!F5</f>
        <v>0</v>
      </c>
      <c r="V7" s="181"/>
      <c r="X7" s="135"/>
    </row>
    <row r="8" spans="1:35" ht="15" customHeight="1" x14ac:dyDescent="0.25">
      <c r="B8" s="36" t="s">
        <v>22</v>
      </c>
      <c r="C8" s="62">
        <v>3</v>
      </c>
      <c r="D8" s="47">
        <f>Calculations!D6</f>
        <v>0</v>
      </c>
      <c r="E8" s="54">
        <f>Calculations!E6</f>
        <v>0</v>
      </c>
      <c r="F8" s="48">
        <f>Calculations!F6</f>
        <v>0</v>
      </c>
      <c r="V8" s="181"/>
      <c r="X8" s="135"/>
    </row>
    <row r="9" spans="1:35" ht="15" customHeight="1" x14ac:dyDescent="0.25">
      <c r="B9" s="36" t="s">
        <v>23</v>
      </c>
      <c r="C9" s="62">
        <v>10</v>
      </c>
      <c r="D9" s="47">
        <f>Calculations!D7</f>
        <v>0</v>
      </c>
      <c r="E9" s="54">
        <f>Calculations!E7</f>
        <v>0</v>
      </c>
      <c r="F9" s="48">
        <f>Calculations!F7</f>
        <v>0</v>
      </c>
      <c r="V9" s="181"/>
      <c r="X9" s="135"/>
    </row>
    <row r="10" spans="1:35" ht="15" customHeight="1" x14ac:dyDescent="0.25">
      <c r="B10" s="36" t="s">
        <v>24</v>
      </c>
      <c r="C10" s="62">
        <v>5</v>
      </c>
      <c r="D10" s="110">
        <f>Calculations!D8</f>
        <v>0</v>
      </c>
      <c r="E10" s="54">
        <f>Calculations!E8</f>
        <v>0</v>
      </c>
      <c r="F10" s="48">
        <f>Calculations!F8</f>
        <v>0</v>
      </c>
      <c r="V10" s="181"/>
      <c r="X10" s="135"/>
    </row>
    <row r="11" spans="1:35" ht="15" customHeight="1" x14ac:dyDescent="0.25">
      <c r="B11" s="36" t="s">
        <v>25</v>
      </c>
      <c r="C11" s="62">
        <v>10</v>
      </c>
      <c r="D11" s="110">
        <f>Calculations!D9</f>
        <v>0</v>
      </c>
      <c r="E11" s="54">
        <f>Calculations!E9</f>
        <v>0</v>
      </c>
      <c r="F11" s="48">
        <f>Calculations!F9</f>
        <v>0</v>
      </c>
      <c r="V11" s="181"/>
      <c r="X11" s="135"/>
    </row>
    <row r="12" spans="1:35" ht="15.75" thickBot="1" x14ac:dyDescent="0.3">
      <c r="B12" s="37" t="s">
        <v>26</v>
      </c>
      <c r="C12" s="25">
        <v>5</v>
      </c>
      <c r="D12" s="106">
        <f>Calculations!D10</f>
        <v>0</v>
      </c>
      <c r="E12" s="55">
        <f>Calculations!E10</f>
        <v>0</v>
      </c>
      <c r="F12" s="49">
        <f>Calculations!F10</f>
        <v>0</v>
      </c>
      <c r="V12" s="181"/>
      <c r="X12" s="135"/>
    </row>
    <row r="13" spans="1:35" ht="12.75" customHeight="1" x14ac:dyDescent="0.25">
      <c r="B13" s="8" t="s">
        <v>114</v>
      </c>
      <c r="C13" s="9"/>
      <c r="D13" s="9"/>
      <c r="K13" s="11"/>
      <c r="X13" s="135"/>
    </row>
    <row r="14" spans="1:35" ht="11.25" customHeight="1" x14ac:dyDescent="0.25">
      <c r="B14" s="9" t="s">
        <v>27</v>
      </c>
      <c r="W14" s="13"/>
    </row>
    <row r="15" spans="1:35" ht="21.75" customHeight="1" x14ac:dyDescent="0.25"/>
    <row r="16" spans="1:35" ht="23.25" x14ac:dyDescent="0.35">
      <c r="A16" s="1" t="s">
        <v>28</v>
      </c>
      <c r="H16" s="108"/>
      <c r="I16" s="108"/>
    </row>
    <row r="17" spans="2:35" ht="18" customHeight="1" thickBot="1" x14ac:dyDescent="0.35">
      <c r="C17" s="210" t="str">
        <f>"Passenger Load - " &amp; 'Start Here'!F6</f>
        <v>Passenger Load - January 2026</v>
      </c>
      <c r="D17" s="210"/>
      <c r="E17" s="210"/>
      <c r="F17" s="210"/>
    </row>
    <row r="18" spans="2:35" ht="18" customHeight="1" x14ac:dyDescent="0.25">
      <c r="B18" s="218" t="s">
        <v>13</v>
      </c>
      <c r="C18" s="215" t="s">
        <v>90</v>
      </c>
      <c r="D18" s="216"/>
      <c r="E18" s="216"/>
      <c r="F18" s="217"/>
    </row>
    <row r="19" spans="2:35" ht="17.25" customHeight="1" thickBot="1" x14ac:dyDescent="0.35">
      <c r="B19" s="219"/>
      <c r="C19" s="56" t="s">
        <v>30</v>
      </c>
      <c r="D19" s="57" t="s">
        <v>31</v>
      </c>
      <c r="E19" s="57" t="s">
        <v>32</v>
      </c>
      <c r="F19" s="58" t="s">
        <v>33</v>
      </c>
      <c r="W19" s="210"/>
      <c r="X19" s="210"/>
      <c r="Y19" s="210"/>
      <c r="Z19" s="210"/>
      <c r="AA19" s="210"/>
      <c r="AB19" s="210"/>
      <c r="AC19" s="210"/>
      <c r="AD19" s="210"/>
      <c r="AE19" s="210"/>
      <c r="AF19" s="210"/>
      <c r="AG19" s="210"/>
      <c r="AH19" s="210"/>
      <c r="AI19" s="210"/>
    </row>
    <row r="20" spans="2:35" x14ac:dyDescent="0.25">
      <c r="B20" s="67" t="s">
        <v>20</v>
      </c>
      <c r="C20" s="68" t="e">
        <f>Calculations!C20</f>
        <v>#DIV/0!</v>
      </c>
      <c r="D20" s="69" t="e">
        <f>Calculations!D20</f>
        <v>#DIV/0!</v>
      </c>
      <c r="E20" s="69" t="e">
        <f>Calculations!E20</f>
        <v>#DIV/0!</v>
      </c>
      <c r="F20" s="70" t="e">
        <f>Calculations!F20</f>
        <v>#DIV/0!</v>
      </c>
      <c r="W20" s="40"/>
      <c r="X20" s="40"/>
      <c r="Y20" s="40"/>
      <c r="Z20" s="40"/>
      <c r="AA20" s="40"/>
      <c r="AB20" s="40"/>
      <c r="AC20" s="40"/>
      <c r="AD20" s="40"/>
      <c r="AE20" s="40"/>
      <c r="AF20" s="40"/>
      <c r="AG20" s="40"/>
      <c r="AH20" s="40"/>
      <c r="AI20" s="40"/>
    </row>
    <row r="21" spans="2:35" x14ac:dyDescent="0.25">
      <c r="B21" s="36" t="s">
        <v>21</v>
      </c>
      <c r="C21" s="68" t="e">
        <f>Calculations!C21</f>
        <v>#DIV/0!</v>
      </c>
      <c r="D21" s="69" t="e">
        <f>Calculations!D21</f>
        <v>#DIV/0!</v>
      </c>
      <c r="E21" s="69" t="e">
        <f>Calculations!E21</f>
        <v>#DIV/0!</v>
      </c>
      <c r="F21" s="70" t="e">
        <f>Calculations!F21</f>
        <v>#DIV/0!</v>
      </c>
      <c r="W21" s="45"/>
      <c r="X21" s="45"/>
      <c r="Y21" s="59"/>
      <c r="Z21" s="59"/>
      <c r="AA21" s="59"/>
      <c r="AB21" s="45"/>
      <c r="AC21" s="45"/>
      <c r="AD21" s="59"/>
      <c r="AE21" s="45"/>
      <c r="AF21" s="45"/>
      <c r="AG21" s="45"/>
      <c r="AH21" s="45"/>
      <c r="AI21" s="41"/>
    </row>
    <row r="22" spans="2:35" ht="15" customHeight="1" x14ac:dyDescent="0.25">
      <c r="B22" s="36" t="s">
        <v>22</v>
      </c>
      <c r="C22" s="68" t="e">
        <f>Calculations!C22</f>
        <v>#DIV/0!</v>
      </c>
      <c r="D22" s="69" t="e">
        <f>Calculations!D22</f>
        <v>#DIV/0!</v>
      </c>
      <c r="E22" s="69" t="e">
        <f>Calculations!E22</f>
        <v>#DIV/0!</v>
      </c>
      <c r="F22" s="70" t="e">
        <f>Calculations!F22</f>
        <v>#DIV/0!</v>
      </c>
    </row>
    <row r="23" spans="2:35" ht="15" customHeight="1" x14ac:dyDescent="0.25">
      <c r="B23" s="36" t="s">
        <v>23</v>
      </c>
      <c r="C23" s="68" t="e">
        <f>Calculations!C23</f>
        <v>#DIV/0!</v>
      </c>
      <c r="D23" s="69" t="e">
        <f>Calculations!D23</f>
        <v>#DIV/0!</v>
      </c>
      <c r="E23" s="69" t="e">
        <f>Calculations!E23</f>
        <v>#DIV/0!</v>
      </c>
      <c r="F23" s="70" t="e">
        <f>Calculations!F23</f>
        <v>#DIV/0!</v>
      </c>
    </row>
    <row r="24" spans="2:35" ht="15" customHeight="1" x14ac:dyDescent="0.25">
      <c r="B24" s="36" t="s">
        <v>24</v>
      </c>
      <c r="C24" s="68" t="e">
        <f>Calculations!C24</f>
        <v>#DIV/0!</v>
      </c>
      <c r="D24" s="69" t="e">
        <f>Calculations!D24</f>
        <v>#DIV/0!</v>
      </c>
      <c r="E24" s="69" t="e">
        <f>Calculations!E24</f>
        <v>#DIV/0!</v>
      </c>
      <c r="F24" s="70" t="e">
        <f>Calculations!F24</f>
        <v>#DIV/0!</v>
      </c>
    </row>
    <row r="25" spans="2:35" ht="15" customHeight="1" x14ac:dyDescent="0.25">
      <c r="B25" s="36" t="s">
        <v>25</v>
      </c>
      <c r="C25" s="68" t="e">
        <f>Calculations!C25</f>
        <v>#DIV/0!</v>
      </c>
      <c r="D25" s="69" t="e">
        <f>Calculations!D25</f>
        <v>#DIV/0!</v>
      </c>
      <c r="E25" s="69" t="e">
        <f>Calculations!E25</f>
        <v>#DIV/0!</v>
      </c>
      <c r="F25" s="70" t="e">
        <f>Calculations!F25</f>
        <v>#DIV/0!</v>
      </c>
    </row>
    <row r="26" spans="2:35" ht="15.75" thickBot="1" x14ac:dyDescent="0.3">
      <c r="B26" s="37" t="s">
        <v>26</v>
      </c>
      <c r="C26" s="68" t="e">
        <f>Calculations!C26</f>
        <v>#DIV/0!</v>
      </c>
      <c r="D26" s="69" t="e">
        <f>Calculations!D26</f>
        <v>#DIV/0!</v>
      </c>
      <c r="E26" s="69" t="e">
        <f>Calculations!E26</f>
        <v>#DIV/0!</v>
      </c>
      <c r="F26" s="70" t="e">
        <f>Calculations!F26</f>
        <v>#DIV/0!</v>
      </c>
    </row>
    <row r="27" spans="2:35" x14ac:dyDescent="0.25">
      <c r="B27" s="63" t="s">
        <v>35</v>
      </c>
      <c r="C27" s="109">
        <f>Calculations!C27</f>
        <v>0</v>
      </c>
      <c r="D27" s="84">
        <f>Calculations!D27</f>
        <v>0</v>
      </c>
      <c r="E27" s="84">
        <f>Calculations!E27</f>
        <v>0</v>
      </c>
      <c r="F27" s="85">
        <f>Calculations!F27</f>
        <v>0</v>
      </c>
      <c r="G27" s="13"/>
      <c r="P27" s="214"/>
      <c r="Q27" s="214"/>
      <c r="R27" s="214"/>
      <c r="S27" s="214"/>
      <c r="T27" s="214"/>
    </row>
    <row r="28" spans="2:35" ht="15" customHeight="1" x14ac:dyDescent="0.25">
      <c r="B28" s="63" t="s">
        <v>36</v>
      </c>
      <c r="C28" s="77" t="e">
        <f>Calculations!C28</f>
        <v>#DIV/0!</v>
      </c>
      <c r="D28" s="78" t="e">
        <f>Calculations!D28</f>
        <v>#DIV/0!</v>
      </c>
      <c r="E28" s="78" t="e">
        <f>Calculations!E28</f>
        <v>#DIV/0!</v>
      </c>
      <c r="F28" s="79" t="e">
        <f>Calculations!F28</f>
        <v>#DIV/0!</v>
      </c>
      <c r="H28" s="229"/>
      <c r="I28" s="229"/>
      <c r="J28" s="229"/>
      <c r="K28" s="229"/>
      <c r="L28" s="229"/>
      <c r="M28" s="229"/>
      <c r="P28" s="214"/>
      <c r="Q28" s="214"/>
      <c r="R28" s="214"/>
      <c r="S28" s="214"/>
      <c r="T28" s="214"/>
    </row>
    <row r="29" spans="2:35" ht="15.75" customHeight="1" thickBot="1" x14ac:dyDescent="0.3">
      <c r="B29" s="64" t="s">
        <v>37</v>
      </c>
      <c r="C29" s="50" t="e">
        <f>Calculations!C29</f>
        <v>#DIV/0!</v>
      </c>
      <c r="D29" s="51" t="e">
        <f>Calculations!D29</f>
        <v>#DIV/0!</v>
      </c>
      <c r="E29" s="51" t="e">
        <f>Calculations!E29</f>
        <v>#DIV/0!</v>
      </c>
      <c r="F29" s="52" t="e">
        <f>Calculations!F29</f>
        <v>#DIV/0!</v>
      </c>
      <c r="H29" s="229"/>
      <c r="I29" s="229"/>
      <c r="J29" s="229"/>
      <c r="K29" s="229"/>
      <c r="L29" s="229"/>
      <c r="M29" s="229"/>
    </row>
    <row r="30" spans="2:35" ht="23.25" customHeight="1" x14ac:dyDescent="0.25">
      <c r="B30" s="211" t="s">
        <v>38</v>
      </c>
      <c r="C30" s="212"/>
      <c r="D30" s="212"/>
      <c r="E30" s="212"/>
      <c r="F30" s="212"/>
    </row>
    <row r="31" spans="2:35" ht="12" customHeight="1" x14ac:dyDescent="0.25">
      <c r="B31" s="9" t="s">
        <v>39</v>
      </c>
      <c r="C31" s="2"/>
      <c r="D31" s="2"/>
      <c r="E31" s="2"/>
      <c r="F31" s="2"/>
    </row>
    <row r="32" spans="2:35" ht="23.25" customHeight="1" x14ac:dyDescent="0.25">
      <c r="C32" s="2"/>
      <c r="D32" s="2"/>
      <c r="E32" s="2"/>
      <c r="F32" s="2"/>
    </row>
    <row r="33" spans="1:34" ht="23.25" x14ac:dyDescent="0.35">
      <c r="A33" s="1" t="s">
        <v>60</v>
      </c>
    </row>
    <row r="34" spans="1:34" ht="23.25" customHeight="1" x14ac:dyDescent="0.25">
      <c r="B34" s="213"/>
      <c r="C34" s="213"/>
      <c r="D34" s="213"/>
      <c r="E34" s="213"/>
      <c r="F34" s="213"/>
      <c r="I34" s="98"/>
      <c r="J34" s="93"/>
    </row>
    <row r="35" spans="1:34" ht="30.75" customHeight="1" x14ac:dyDescent="0.25">
      <c r="B35" s="94"/>
      <c r="C35" s="95"/>
      <c r="D35" s="95"/>
      <c r="E35" s="95"/>
      <c r="F35" s="95"/>
      <c r="G35" s="95"/>
      <c r="I35" s="94"/>
      <c r="J35" s="95"/>
      <c r="K35" s="95"/>
      <c r="L35" s="95"/>
      <c r="M35" s="95"/>
      <c r="N35" s="95"/>
      <c r="AA35" s="26"/>
    </row>
    <row r="36" spans="1:34" x14ac:dyDescent="0.25">
      <c r="B36" s="2"/>
      <c r="C36" s="54"/>
      <c r="D36" s="54"/>
      <c r="E36" s="54"/>
      <c r="F36" s="54"/>
      <c r="G36" s="54"/>
      <c r="I36" s="2"/>
      <c r="J36" s="54"/>
      <c r="K36" s="54"/>
      <c r="L36" s="54"/>
      <c r="M36" s="54"/>
      <c r="N36" s="54"/>
    </row>
    <row r="37" spans="1:34" x14ac:dyDescent="0.25">
      <c r="B37" s="96"/>
      <c r="C37" s="54"/>
      <c r="D37" s="54"/>
      <c r="E37" s="54"/>
      <c r="F37" s="54"/>
      <c r="G37" s="54"/>
      <c r="I37" s="96"/>
      <c r="J37" s="54"/>
      <c r="K37" s="54"/>
      <c r="L37" s="54"/>
      <c r="M37" s="54"/>
      <c r="N37" s="54"/>
    </row>
    <row r="38" spans="1:34" x14ac:dyDescent="0.25">
      <c r="B38" s="2"/>
      <c r="C38" s="54"/>
      <c r="D38" s="54"/>
      <c r="E38" s="54"/>
      <c r="F38" s="54"/>
      <c r="G38" s="54"/>
      <c r="I38" s="2"/>
      <c r="J38" s="54"/>
      <c r="K38" s="54"/>
      <c r="L38" s="54"/>
      <c r="M38" s="54"/>
      <c r="N38" s="54"/>
    </row>
    <row r="39" spans="1:34" x14ac:dyDescent="0.25">
      <c r="B39" s="2"/>
      <c r="C39" s="54"/>
      <c r="D39" s="54"/>
      <c r="E39" s="54"/>
      <c r="F39" s="54"/>
      <c r="G39" s="54"/>
      <c r="I39" s="2"/>
      <c r="J39" s="54"/>
      <c r="K39" s="54"/>
      <c r="L39" s="54"/>
      <c r="M39" s="54"/>
      <c r="N39" s="54"/>
    </row>
    <row r="40" spans="1:34" x14ac:dyDescent="0.25">
      <c r="B40" s="2"/>
      <c r="C40" s="54"/>
      <c r="D40" s="54"/>
      <c r="E40" s="54"/>
      <c r="F40" s="54"/>
      <c r="G40" s="54"/>
      <c r="I40" s="2"/>
      <c r="J40" s="54"/>
      <c r="K40" s="54"/>
      <c r="L40" s="54"/>
      <c r="M40" s="54"/>
      <c r="N40" s="54"/>
    </row>
    <row r="41" spans="1:34" x14ac:dyDescent="0.25">
      <c r="B41" s="2"/>
      <c r="C41" s="54"/>
      <c r="D41" s="54"/>
      <c r="E41" s="54"/>
      <c r="F41" s="54"/>
      <c r="G41" s="54"/>
      <c r="I41" s="2"/>
      <c r="J41" s="54"/>
      <c r="K41" s="54"/>
      <c r="L41" s="54"/>
      <c r="M41" s="54"/>
      <c r="N41" s="54"/>
    </row>
    <row r="42" spans="1:34" x14ac:dyDescent="0.25">
      <c r="B42" s="97"/>
      <c r="C42" s="54"/>
      <c r="D42" s="54"/>
      <c r="E42" s="54"/>
      <c r="F42" s="54"/>
      <c r="G42" s="54"/>
      <c r="I42" s="97"/>
      <c r="J42" s="54"/>
      <c r="K42" s="54"/>
      <c r="L42" s="54"/>
      <c r="M42" s="54"/>
      <c r="N42" s="54"/>
    </row>
    <row r="43" spans="1:34" ht="12.75" customHeight="1" x14ac:dyDescent="0.25">
      <c r="B43" s="9"/>
      <c r="I43" s="9"/>
    </row>
    <row r="44" spans="1:34" ht="11.25" customHeight="1" x14ac:dyDescent="0.25">
      <c r="B44" s="9"/>
      <c r="W44" s="5"/>
      <c r="X44" s="5"/>
      <c r="Y44" s="5"/>
      <c r="Z44" s="5"/>
      <c r="AA44" s="5"/>
      <c r="AB44" s="5"/>
      <c r="AC44" s="5"/>
      <c r="AD44" s="5"/>
      <c r="AE44" s="5"/>
      <c r="AF44" s="5"/>
      <c r="AG44" s="5"/>
      <c r="AH44" s="5"/>
    </row>
    <row r="45" spans="1:34" ht="22.5" customHeight="1" x14ac:dyDescent="0.25">
      <c r="W45" s="107"/>
      <c r="Y45" s="107"/>
      <c r="AC45" s="107"/>
      <c r="AD45" s="107"/>
      <c r="AE45" s="107"/>
      <c r="AF45" s="107"/>
      <c r="AG45" s="107"/>
      <c r="AH45" s="107"/>
    </row>
    <row r="46" spans="1:34" ht="23.25" x14ac:dyDescent="0.35">
      <c r="A46" s="1" t="s">
        <v>47</v>
      </c>
    </row>
    <row r="47" spans="1:34" ht="9" customHeight="1" thickBot="1" x14ac:dyDescent="0.4">
      <c r="B47" s="1"/>
    </row>
    <row r="48" spans="1:34" ht="31.5" customHeight="1" thickBot="1" x14ac:dyDescent="0.3">
      <c r="C48" s="224" t="s">
        <v>48</v>
      </c>
      <c r="D48" s="223"/>
      <c r="M48" t="s">
        <v>73</v>
      </c>
    </row>
    <row r="49" spans="2:14" x14ac:dyDescent="0.25">
      <c r="B49" s="3" t="str">
        <f>UPPER(LEFT('Start Here'!F6,3)) &amp; " 2026"</f>
        <v>JAN 2026</v>
      </c>
      <c r="C49" s="225" t="e">
        <f>Calculations!P36/Calculations!P35</f>
        <v>#DIV/0!</v>
      </c>
      <c r="D49" s="226"/>
      <c r="E49" s="103" t="str">
        <f>Calculations!P36 &amp; " in " &amp; TEXT(Calculations!P35,"#,#")</f>
        <v xml:space="preserve">0 in </v>
      </c>
    </row>
    <row r="50" spans="2:14" ht="15.75" thickBot="1" x14ac:dyDescent="0.3">
      <c r="B50" s="4" t="s">
        <v>69</v>
      </c>
      <c r="C50" s="227" t="e">
        <f>Calculations!O34/Calculations!O33</f>
        <v>#DIV/0!</v>
      </c>
      <c r="D50" s="228"/>
      <c r="E50" s="103" t="str">
        <f>Calculations!O34 &amp; " in " &amp; TEXT(Calculations!O33,"#,#")</f>
        <v xml:space="preserve">0 in </v>
      </c>
      <c r="F50" s="103"/>
      <c r="L50" s="14"/>
    </row>
    <row r="51" spans="2:14" ht="12" customHeight="1" x14ac:dyDescent="0.25">
      <c r="B51" s="9" t="s">
        <v>39</v>
      </c>
      <c r="C51" s="5"/>
    </row>
    <row r="52" spans="2:14" ht="15.75" thickBot="1" x14ac:dyDescent="0.3"/>
    <row r="53" spans="2:14" ht="30.75" thickBot="1" x14ac:dyDescent="0.3">
      <c r="B53" s="100" t="s">
        <v>49</v>
      </c>
      <c r="C53" s="91" t="s">
        <v>50</v>
      </c>
      <c r="D53" s="91" t="s">
        <v>51</v>
      </c>
      <c r="E53" s="91" t="s">
        <v>52</v>
      </c>
      <c r="F53" s="91" t="s">
        <v>53</v>
      </c>
      <c r="G53" s="222" t="s">
        <v>54</v>
      </c>
      <c r="H53" s="222"/>
      <c r="I53" s="222"/>
      <c r="J53" s="222"/>
      <c r="K53" s="222"/>
      <c r="L53" s="222"/>
      <c r="M53" s="223"/>
    </row>
    <row r="54" spans="2:14" ht="29.25" customHeight="1" thickBot="1" x14ac:dyDescent="0.3">
      <c r="B54" s="101" t="s">
        <v>70</v>
      </c>
      <c r="C54" s="102"/>
      <c r="D54" s="102"/>
      <c r="E54" s="102"/>
      <c r="F54" s="102"/>
      <c r="G54" s="208"/>
      <c r="H54" s="208"/>
      <c r="I54" s="208"/>
      <c r="J54" s="208"/>
      <c r="K54" s="208"/>
      <c r="L54" s="208"/>
      <c r="M54" s="209"/>
    </row>
    <row r="55" spans="2:14" ht="17.25" customHeight="1" thickBot="1" x14ac:dyDescent="0.3">
      <c r="E55" s="26" t="s">
        <v>68</v>
      </c>
      <c r="F55" s="25">
        <f>SUM(F54:F54)</f>
        <v>0</v>
      </c>
      <c r="N55" s="99" t="str">
        <f>"Prepared by C. Morgan " &amp; TEXT('Start Here'!F36,"M/D/YY")</f>
        <v>Prepared by C. Morgan 1/0/00</v>
      </c>
    </row>
  </sheetData>
  <mergeCells count="16">
    <mergeCell ref="G54:M54"/>
    <mergeCell ref="W1:AI1"/>
    <mergeCell ref="W19:AI19"/>
    <mergeCell ref="B30:F30"/>
    <mergeCell ref="B34:F34"/>
    <mergeCell ref="P27:T28"/>
    <mergeCell ref="C18:F18"/>
    <mergeCell ref="B18:B19"/>
    <mergeCell ref="A1:N1"/>
    <mergeCell ref="C4:F4"/>
    <mergeCell ref="G53:M53"/>
    <mergeCell ref="C48:D48"/>
    <mergeCell ref="C49:D49"/>
    <mergeCell ref="C50:D50"/>
    <mergeCell ref="C17:F17"/>
    <mergeCell ref="H28:M29"/>
  </mergeCells>
  <conditionalFormatting sqref="K17">
    <cfRule type="colorScale" priority="7">
      <colorScale>
        <cfvo type="min"/>
        <cfvo type="max"/>
        <color rgb="FFFCFCFF"/>
        <color rgb="FF63BE7B"/>
      </colorScale>
    </cfRule>
  </conditionalFormatting>
  <pageMargins left="0.3" right="0.3" top="0.25" bottom="0.25" header="0.3" footer="0.05"/>
  <pageSetup scale="77" orientation="portrait" horizontalDpi="360" verticalDpi="360" r:id="rId1"/>
  <rowBreaks count="1" manualBreakCount="1">
    <brk id="45" max="16383" man="1"/>
  </rowBreaks>
  <colBreaks count="1" manualBreakCount="1">
    <brk id="12"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50"/>
  <sheetViews>
    <sheetView view="pageBreakPreview" topLeftCell="A4" zoomScale="120" zoomScaleNormal="100" zoomScaleSheetLayoutView="120" workbookViewId="0">
      <selection activeCell="C7" sqref="C7"/>
    </sheetView>
  </sheetViews>
  <sheetFormatPr defaultColWidth="8.85546875" defaultRowHeight="15" x14ac:dyDescent="0.25"/>
  <cols>
    <col min="1" max="1" width="2.42578125" style="16" customWidth="1"/>
    <col min="2" max="2" width="47.28515625" style="15" customWidth="1"/>
    <col min="3" max="3" width="58.42578125" style="16" customWidth="1"/>
    <col min="4" max="4" width="55.42578125" style="16" customWidth="1"/>
    <col min="5" max="5" width="63" style="16" customWidth="1"/>
    <col min="6" max="6" width="83.140625" style="16" customWidth="1"/>
    <col min="7" max="16384" width="8.85546875" style="16"/>
  </cols>
  <sheetData>
    <row r="1" spans="1:26" ht="16.5" customHeight="1" x14ac:dyDescent="0.25">
      <c r="A1" s="233" t="s">
        <v>71</v>
      </c>
      <c r="B1" s="233"/>
    </row>
    <row r="2" spans="1:26" ht="15.75" thickBot="1" x14ac:dyDescent="0.3"/>
    <row r="3" spans="1:26" ht="40.5" customHeight="1" thickBot="1" x14ac:dyDescent="0.3">
      <c r="B3" s="230" t="s">
        <v>55</v>
      </c>
      <c r="C3" s="231"/>
      <c r="D3" s="232"/>
      <c r="E3" s="27"/>
      <c r="Z3" s="76">
        <v>0.76</v>
      </c>
    </row>
    <row r="4" spans="1:26" s="18" customFormat="1" ht="26.25" customHeight="1" thickBot="1" x14ac:dyDescent="0.3">
      <c r="B4" s="30" t="s">
        <v>56</v>
      </c>
      <c r="C4" s="104" t="s">
        <v>72</v>
      </c>
      <c r="D4" s="31" t="s">
        <v>57</v>
      </c>
      <c r="E4" s="17" t="s">
        <v>58</v>
      </c>
    </row>
    <row r="5" spans="1:26" s="19" customFormat="1" ht="120" x14ac:dyDescent="0.25">
      <c r="B5" s="32" t="s">
        <v>59</v>
      </c>
      <c r="C5" s="199" t="s">
        <v>108</v>
      </c>
      <c r="D5" s="33" t="s">
        <v>93</v>
      </c>
      <c r="E5" s="28"/>
      <c r="F5" s="22"/>
      <c r="G5" s="22"/>
      <c r="H5" s="22"/>
      <c r="I5" s="22"/>
    </row>
    <row r="6" spans="1:26" s="19" customFormat="1" ht="120" x14ac:dyDescent="0.25">
      <c r="B6" s="20" t="s">
        <v>28</v>
      </c>
      <c r="C6" s="21" t="s">
        <v>96</v>
      </c>
      <c r="D6" s="34" t="s">
        <v>94</v>
      </c>
      <c r="E6" s="28">
        <v>4.9400000000000004</v>
      </c>
      <c r="F6" s="22">
        <v>6.14</v>
      </c>
      <c r="G6" s="22"/>
      <c r="H6" s="22"/>
      <c r="I6" s="22"/>
      <c r="W6">
        <v>499</v>
      </c>
      <c r="X6" s="74">
        <v>0.99119999999999997</v>
      </c>
    </row>
    <row r="7" spans="1:26" s="19" customFormat="1" ht="74.25" customHeight="1" x14ac:dyDescent="0.25">
      <c r="B7" s="20" t="s">
        <v>60</v>
      </c>
      <c r="C7" s="21" t="s">
        <v>121</v>
      </c>
      <c r="D7" s="34" t="s">
        <v>95</v>
      </c>
      <c r="E7" s="28">
        <v>1.97</v>
      </c>
      <c r="F7" s="22"/>
      <c r="G7" s="22"/>
      <c r="H7" s="22"/>
      <c r="I7" s="22"/>
      <c r="W7">
        <v>1077</v>
      </c>
      <c r="X7" s="74">
        <v>0.9214</v>
      </c>
    </row>
    <row r="8" spans="1:26" s="19" customFormat="1" ht="25.35" customHeight="1" thickBot="1" x14ac:dyDescent="0.3">
      <c r="B8" s="23" t="s">
        <v>47</v>
      </c>
      <c r="C8" s="24" t="s">
        <v>61</v>
      </c>
      <c r="D8" s="35" t="s">
        <v>62</v>
      </c>
      <c r="E8" s="29">
        <v>2.29</v>
      </c>
      <c r="F8" s="19">
        <v>3.14</v>
      </c>
      <c r="W8">
        <v>912</v>
      </c>
      <c r="X8" s="74">
        <v>0.87809999999999999</v>
      </c>
    </row>
    <row r="9" spans="1:26" x14ac:dyDescent="0.25">
      <c r="D9" s="16">
        <v>6.22</v>
      </c>
      <c r="E9" s="16">
        <v>7.82</v>
      </c>
      <c r="F9" s="16">
        <v>9.23</v>
      </c>
      <c r="W9">
        <v>1625</v>
      </c>
      <c r="X9" s="75">
        <v>0.94810000000000005</v>
      </c>
    </row>
    <row r="10" spans="1:26" x14ac:dyDescent="0.25">
      <c r="D10" s="16">
        <v>2.5499999999999998</v>
      </c>
      <c r="E10" s="16">
        <v>3.64</v>
      </c>
      <c r="F10" s="16">
        <v>4.66</v>
      </c>
      <c r="W10">
        <v>3549</v>
      </c>
      <c r="X10" s="75">
        <v>0.60799999999999998</v>
      </c>
    </row>
    <row r="11" spans="1:26" x14ac:dyDescent="0.25">
      <c r="D11" s="16">
        <v>8.16</v>
      </c>
      <c r="E11" s="16">
        <v>9.81</v>
      </c>
      <c r="F11" s="16">
        <v>11.07</v>
      </c>
      <c r="W11">
        <v>413</v>
      </c>
      <c r="X11" s="75">
        <v>0.76870000000000005</v>
      </c>
    </row>
    <row r="12" spans="1:26" x14ac:dyDescent="0.25">
      <c r="D12" s="16">
        <v>3.08</v>
      </c>
      <c r="E12" s="16">
        <v>4.58</v>
      </c>
      <c r="F12" s="16">
        <v>5.96</v>
      </c>
      <c r="W12">
        <v>1063</v>
      </c>
      <c r="X12" s="75">
        <v>0.4834</v>
      </c>
    </row>
    <row r="17" spans="3:26" ht="15.75" thickBot="1" x14ac:dyDescent="0.3">
      <c r="C17" s="90" t="s">
        <v>63</v>
      </c>
    </row>
    <row r="18" spans="3:26" x14ac:dyDescent="0.25">
      <c r="C18" s="71"/>
      <c r="D18" s="72"/>
      <c r="E18" s="72"/>
      <c r="F18" s="73"/>
    </row>
    <row r="19" spans="3:26" x14ac:dyDescent="0.25">
      <c r="C19" s="65"/>
      <c r="F19" s="66"/>
    </row>
    <row r="20" spans="3:26" x14ac:dyDescent="0.25">
      <c r="C20" s="68">
        <v>0.95389999999999997</v>
      </c>
      <c r="D20" s="69">
        <v>4.6100000000000002E-2</v>
      </c>
      <c r="E20" s="69">
        <v>0</v>
      </c>
      <c r="F20" s="70">
        <v>0</v>
      </c>
    </row>
    <row r="21" spans="3:26" x14ac:dyDescent="0.25">
      <c r="C21" s="68">
        <v>0.74650000000000005</v>
      </c>
      <c r="D21" s="69">
        <v>0.23680000000000001</v>
      </c>
      <c r="E21" s="69">
        <v>1.5800000000000002E-2</v>
      </c>
      <c r="F21" s="70">
        <v>8.9999999999999998E-4</v>
      </c>
      <c r="Z21" s="89">
        <v>2.5000000000000001E-3</v>
      </c>
    </row>
    <row r="22" spans="3:26" x14ac:dyDescent="0.25">
      <c r="C22" s="68">
        <v>0.75109999999999999</v>
      </c>
      <c r="D22" s="69">
        <v>0.21820000000000001</v>
      </c>
      <c r="E22" s="69">
        <v>2.8500000000000001E-2</v>
      </c>
      <c r="F22" s="70">
        <v>2.2000000000000001E-3</v>
      </c>
    </row>
    <row r="23" spans="3:26" x14ac:dyDescent="0.25">
      <c r="C23" s="68">
        <v>0.6492</v>
      </c>
      <c r="D23" s="69">
        <v>0.27879999999999999</v>
      </c>
      <c r="E23" s="69">
        <v>6.2799999999999995E-2</v>
      </c>
      <c r="F23" s="70">
        <v>9.1999999999999998E-3</v>
      </c>
    </row>
    <row r="24" spans="3:26" x14ac:dyDescent="0.25">
      <c r="C24" s="68">
        <v>0.7611</v>
      </c>
      <c r="D24" s="69">
        <v>0.224</v>
      </c>
      <c r="E24" s="69">
        <v>1.35E-2</v>
      </c>
      <c r="F24" s="70">
        <v>1.4E-3</v>
      </c>
    </row>
    <row r="25" spans="3:26" x14ac:dyDescent="0.25">
      <c r="C25" s="68">
        <v>0.9879</v>
      </c>
      <c r="D25" s="69">
        <v>1.21E-2</v>
      </c>
      <c r="E25" s="69">
        <v>0</v>
      </c>
      <c r="F25" s="70">
        <v>0</v>
      </c>
    </row>
    <row r="26" spans="3:26" ht="15.75" thickBot="1" x14ac:dyDescent="0.3">
      <c r="C26" s="68">
        <v>0.99250000000000005</v>
      </c>
      <c r="D26" s="69">
        <v>7.4999999999999997E-3</v>
      </c>
      <c r="E26" s="69">
        <v>0</v>
      </c>
      <c r="F26" s="70">
        <v>0</v>
      </c>
    </row>
    <row r="27" spans="3:26" x14ac:dyDescent="0.25">
      <c r="C27" s="83">
        <v>7184</v>
      </c>
      <c r="D27" s="84">
        <v>1738</v>
      </c>
      <c r="E27" s="84">
        <v>193</v>
      </c>
      <c r="F27" s="85">
        <v>23</v>
      </c>
    </row>
    <row r="28" spans="3:26" ht="150" x14ac:dyDescent="0.25">
      <c r="C28" s="80">
        <v>0.78616765156489388</v>
      </c>
      <c r="D28" s="81">
        <v>0.19019479098270956</v>
      </c>
      <c r="E28" s="81">
        <v>0.02</v>
      </c>
      <c r="F28" s="82">
        <v>2.5000000000000001E-3</v>
      </c>
      <c r="I28" s="16" t="s">
        <v>64</v>
      </c>
    </row>
    <row r="29" spans="3:26" ht="15.75" thickBot="1" x14ac:dyDescent="0.3">
      <c r="C29" s="86">
        <v>0.81769999999999998</v>
      </c>
      <c r="D29" s="87">
        <v>0.16239999999999999</v>
      </c>
      <c r="E29" s="87">
        <v>1.7399999999999999E-2</v>
      </c>
      <c r="F29" s="88">
        <v>2.3E-3</v>
      </c>
    </row>
    <row r="35" spans="6:29" x14ac:dyDescent="0.25">
      <c r="F35" s="16" t="s">
        <v>3</v>
      </c>
      <c r="L35" s="16" t="s">
        <v>3</v>
      </c>
    </row>
    <row r="36" spans="6:29" x14ac:dyDescent="0.25">
      <c r="F36" s="16">
        <v>7.1</v>
      </c>
      <c r="AC36" s="16">
        <v>1077</v>
      </c>
    </row>
    <row r="37" spans="6:29" x14ac:dyDescent="0.25">
      <c r="F37" s="16">
        <v>9.6</v>
      </c>
      <c r="L37" s="16">
        <v>5.2</v>
      </c>
      <c r="AC37" s="16">
        <v>912</v>
      </c>
    </row>
    <row r="38" spans="6:29" x14ac:dyDescent="0.25">
      <c r="F38" s="16">
        <v>10.199999999999999</v>
      </c>
      <c r="AC38" s="16">
        <v>1625</v>
      </c>
    </row>
    <row r="39" spans="6:29" x14ac:dyDescent="0.25">
      <c r="F39" s="16">
        <v>9.4</v>
      </c>
      <c r="AC39" s="16">
        <v>3549</v>
      </c>
    </row>
    <row r="40" spans="6:29" x14ac:dyDescent="0.25">
      <c r="F40" s="16">
        <v>8.6999999999999993</v>
      </c>
      <c r="AC40" s="16">
        <v>413</v>
      </c>
    </row>
    <row r="41" spans="6:29" x14ac:dyDescent="0.25">
      <c r="F41" s="16">
        <v>8.5</v>
      </c>
      <c r="L41" s="16">
        <v>4.8</v>
      </c>
      <c r="AC41" s="16">
        <v>1063</v>
      </c>
    </row>
    <row r="42" spans="6:29" x14ac:dyDescent="0.25">
      <c r="F42" s="16" t="e">
        <f>(F36*AC36+F37*AC37+F38*AC38+F39*AC39+F40*AC40+F41*AC41)/AC42</f>
        <v>#DIV/0!</v>
      </c>
      <c r="L42" s="16" t="e">
        <f>(L36*AC36+L37*AC37+L38*AC38+L39*AC39+L40*AC40+L41*AC41)/AC42</f>
        <v>#DIV/0!</v>
      </c>
    </row>
    <row r="49" spans="2:5" x14ac:dyDescent="0.25">
      <c r="B49" s="15" t="s">
        <v>65</v>
      </c>
      <c r="E49" s="16" t="s">
        <v>66</v>
      </c>
    </row>
    <row r="50" spans="2:5" x14ac:dyDescent="0.25">
      <c r="E50" s="16" t="s">
        <v>67</v>
      </c>
    </row>
  </sheetData>
  <mergeCells count="2">
    <mergeCell ref="B3:D3"/>
    <mergeCell ref="A1:B1"/>
  </mergeCells>
  <printOptions horizontalCentered="1"/>
  <pageMargins left="0.25" right="0.25" top="0.75" bottom="0.75" header="0.3" footer="0.3"/>
  <pageSetup scale="83" fitToHeight="0" orientation="landscape" r:id="rId1"/>
  <headerFooter>
    <oddFooter>&amp;L&amp;"Arial,Regular"&amp;8&amp;Z&amp;F&amp;R&amp;"Arial,Regular"&amp;8  &amp;D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6"/>
  <sheetViews>
    <sheetView tabSelected="1" zoomScale="130" zoomScaleNormal="130" workbookViewId="0">
      <selection activeCell="K17" sqref="K17"/>
    </sheetView>
  </sheetViews>
  <sheetFormatPr defaultColWidth="8.85546875" defaultRowHeight="15" x14ac:dyDescent="0.25"/>
  <cols>
    <col min="2" max="2" width="3.140625" style="5" customWidth="1"/>
    <col min="3" max="3" width="1.28515625" customWidth="1"/>
    <col min="4" max="4" width="3.42578125" customWidth="1"/>
    <col min="5" max="5" width="12.5703125" bestFit="1" customWidth="1"/>
    <col min="6" max="6" width="14.7109375" bestFit="1" customWidth="1"/>
    <col min="8" max="8" width="19.5703125" customWidth="1"/>
    <col min="11" max="11" width="17.28515625" customWidth="1"/>
  </cols>
  <sheetData>
    <row r="1" spans="2:11" ht="15" customHeight="1" x14ac:dyDescent="0.25">
      <c r="B1" s="250" t="s">
        <v>122</v>
      </c>
      <c r="C1" s="250"/>
      <c r="D1" s="250"/>
      <c r="E1" s="250"/>
      <c r="F1" s="250"/>
      <c r="G1" s="250"/>
      <c r="H1" s="250"/>
      <c r="I1" s="250"/>
      <c r="J1" s="250"/>
      <c r="K1" s="250"/>
    </row>
    <row r="2" spans="2:11" x14ac:dyDescent="0.25">
      <c r="B2" s="250"/>
      <c r="C2" s="250"/>
      <c r="D2" s="250"/>
      <c r="E2" s="250"/>
      <c r="F2" s="250"/>
      <c r="G2" s="250"/>
      <c r="H2" s="250"/>
      <c r="I2" s="250"/>
      <c r="J2" s="250"/>
      <c r="K2" s="250"/>
    </row>
    <row r="3" spans="2:11" x14ac:dyDescent="0.25">
      <c r="E3" s="206"/>
      <c r="F3" s="206"/>
      <c r="G3" s="206"/>
      <c r="H3" s="206"/>
      <c r="I3" s="206"/>
      <c r="J3" s="206"/>
      <c r="K3" s="206"/>
    </row>
    <row r="4" spans="2:11" ht="15.75" thickBot="1" x14ac:dyDescent="0.3">
      <c r="B4" s="122" t="s">
        <v>124</v>
      </c>
      <c r="D4" s="235" t="s">
        <v>76</v>
      </c>
      <c r="E4" s="235"/>
      <c r="F4" s="235"/>
      <c r="G4" s="235"/>
      <c r="H4" s="235"/>
      <c r="I4" s="235"/>
      <c r="J4" s="235"/>
      <c r="K4" s="235"/>
    </row>
    <row r="5" spans="2:11" ht="6" customHeight="1" x14ac:dyDescent="0.25">
      <c r="D5" s="121"/>
      <c r="E5" s="121"/>
      <c r="F5" s="121"/>
      <c r="G5" s="121"/>
      <c r="H5" s="121"/>
      <c r="I5" s="121"/>
      <c r="J5" s="121"/>
      <c r="K5" s="121"/>
    </row>
    <row r="6" spans="2:11" ht="15.75" thickBot="1" x14ac:dyDescent="0.3">
      <c r="E6" t="s">
        <v>75</v>
      </c>
      <c r="F6" s="191" t="s">
        <v>123</v>
      </c>
    </row>
    <row r="8" spans="2:11" ht="15.75" thickBot="1" x14ac:dyDescent="0.3">
      <c r="B8" s="122" t="s">
        <v>124</v>
      </c>
      <c r="D8" s="234" t="s">
        <v>110</v>
      </c>
      <c r="E8" s="234"/>
      <c r="F8" s="234"/>
      <c r="G8" s="234"/>
      <c r="H8" s="234"/>
      <c r="I8" s="234"/>
      <c r="J8" s="234"/>
      <c r="K8" s="234"/>
    </row>
    <row r="9" spans="2:11" x14ac:dyDescent="0.25">
      <c r="B9" s="84"/>
      <c r="D9" s="234"/>
      <c r="E9" s="234"/>
      <c r="F9" s="234"/>
      <c r="G9" s="234"/>
      <c r="H9" s="234"/>
      <c r="I9" s="234"/>
      <c r="J9" s="234"/>
      <c r="K9" s="234"/>
    </row>
    <row r="10" spans="2:11" ht="6" customHeight="1" x14ac:dyDescent="0.25"/>
    <row r="11" spans="2:11" x14ac:dyDescent="0.25">
      <c r="E11" s="234" t="s">
        <v>109</v>
      </c>
      <c r="F11" s="234"/>
      <c r="G11" s="234"/>
      <c r="H11" s="234"/>
      <c r="I11" s="234"/>
      <c r="J11" s="234"/>
      <c r="K11" s="234"/>
    </row>
    <row r="12" spans="2:11" x14ac:dyDescent="0.25">
      <c r="E12" s="234"/>
      <c r="F12" s="234"/>
      <c r="G12" s="234"/>
      <c r="H12" s="234"/>
      <c r="I12" s="234"/>
      <c r="J12" s="234"/>
      <c r="K12" s="234"/>
    </row>
    <row r="13" spans="2:11" x14ac:dyDescent="0.25">
      <c r="D13" s="206"/>
      <c r="E13" s="206"/>
      <c r="F13" s="206"/>
      <c r="G13" s="206"/>
      <c r="H13" s="206"/>
      <c r="I13" s="206"/>
      <c r="J13" s="206"/>
      <c r="K13" s="206"/>
    </row>
    <row r="14" spans="2:11" ht="15.75" thickBot="1" x14ac:dyDescent="0.3">
      <c r="B14" s="122"/>
      <c r="D14" s="234" t="s">
        <v>111</v>
      </c>
      <c r="E14" s="234"/>
      <c r="F14" s="234"/>
      <c r="G14" s="234"/>
      <c r="H14" s="234"/>
      <c r="I14" s="234"/>
      <c r="J14" s="234"/>
      <c r="K14" s="234"/>
    </row>
    <row r="15" spans="2:11" x14ac:dyDescent="0.25">
      <c r="D15" s="234"/>
      <c r="E15" s="234"/>
      <c r="F15" s="234"/>
      <c r="G15" s="234"/>
      <c r="H15" s="234"/>
      <c r="I15" s="234"/>
      <c r="J15" s="234"/>
      <c r="K15" s="234"/>
    </row>
    <row r="16" spans="2:11" ht="6" customHeight="1" x14ac:dyDescent="0.25"/>
    <row r="17" spans="2:11" ht="15.75" thickBot="1" x14ac:dyDescent="0.3">
      <c r="E17" s="235" t="s">
        <v>120</v>
      </c>
      <c r="F17" s="235"/>
      <c r="G17" s="235"/>
      <c r="H17" s="235"/>
      <c r="I17" s="190"/>
    </row>
    <row r="18" spans="2:11" x14ac:dyDescent="0.25">
      <c r="E18" s="234" t="s">
        <v>125</v>
      </c>
      <c r="F18" s="234"/>
      <c r="G18" s="234"/>
      <c r="H18" s="234"/>
      <c r="I18" s="234"/>
      <c r="J18" s="234"/>
      <c r="K18" s="234"/>
    </row>
    <row r="19" spans="2:11" x14ac:dyDescent="0.25">
      <c r="E19" s="234"/>
      <c r="F19" s="234"/>
      <c r="G19" s="234"/>
      <c r="H19" s="234"/>
      <c r="I19" s="234"/>
      <c r="J19" s="234"/>
      <c r="K19" s="234"/>
    </row>
    <row r="21" spans="2:11" ht="15.75" thickBot="1" x14ac:dyDescent="0.3">
      <c r="B21" s="122"/>
      <c r="D21" s="234" t="s">
        <v>112</v>
      </c>
      <c r="E21" s="234"/>
      <c r="F21" s="234"/>
      <c r="G21" s="234"/>
      <c r="H21" s="234"/>
      <c r="I21" s="234"/>
      <c r="J21" s="234"/>
      <c r="K21" s="234"/>
    </row>
    <row r="22" spans="2:11" x14ac:dyDescent="0.25">
      <c r="D22" s="234"/>
      <c r="E22" s="234"/>
      <c r="F22" s="234"/>
      <c r="G22" s="234"/>
      <c r="H22" s="234"/>
      <c r="I22" s="234"/>
      <c r="J22" s="234"/>
      <c r="K22" s="234"/>
    </row>
    <row r="23" spans="2:11" ht="6" customHeight="1" x14ac:dyDescent="0.25"/>
    <row r="24" spans="2:11" x14ac:dyDescent="0.25">
      <c r="E24" s="238" t="s">
        <v>102</v>
      </c>
      <c r="F24" s="238"/>
      <c r="G24" s="238"/>
      <c r="H24" s="238"/>
      <c r="I24" s="238"/>
      <c r="J24" s="238"/>
      <c r="K24" s="238"/>
    </row>
    <row r="25" spans="2:11" x14ac:dyDescent="0.25">
      <c r="E25" s="237"/>
      <c r="F25" s="237"/>
      <c r="G25" s="237"/>
      <c r="H25" s="237"/>
      <c r="I25" s="237"/>
      <c r="J25" s="237"/>
      <c r="K25" s="237"/>
    </row>
    <row r="26" spans="2:11" x14ac:dyDescent="0.25">
      <c r="E26" s="238" t="s">
        <v>103</v>
      </c>
      <c r="F26" s="238"/>
      <c r="G26" s="238"/>
      <c r="H26" s="238"/>
      <c r="I26" s="238"/>
      <c r="J26" s="238"/>
      <c r="K26" s="238"/>
    </row>
    <row r="27" spans="2:11" x14ac:dyDescent="0.25">
      <c r="E27" s="237"/>
      <c r="F27" s="237"/>
      <c r="G27" s="237"/>
      <c r="H27" s="237"/>
      <c r="I27" s="237"/>
      <c r="J27" s="237"/>
      <c r="K27" s="237"/>
    </row>
    <row r="28" spans="2:11" x14ac:dyDescent="0.25">
      <c r="E28" s="238" t="s">
        <v>104</v>
      </c>
      <c r="F28" s="238"/>
      <c r="G28" s="238"/>
      <c r="H28" s="238"/>
      <c r="I28" s="238"/>
      <c r="J28" s="238"/>
      <c r="K28" s="238"/>
    </row>
    <row r="30" spans="2:11" ht="15.75" thickBot="1" x14ac:dyDescent="0.3">
      <c r="B30" s="122"/>
      <c r="D30" s="236" t="s">
        <v>82</v>
      </c>
      <c r="E30" s="236"/>
      <c r="F30" s="236"/>
      <c r="G30" s="236"/>
      <c r="H30" s="236"/>
      <c r="I30" s="236"/>
      <c r="J30" s="236"/>
      <c r="K30" s="236"/>
    </row>
    <row r="31" spans="2:11" ht="6" customHeight="1" x14ac:dyDescent="0.25"/>
    <row r="32" spans="2:11" x14ac:dyDescent="0.25">
      <c r="E32" s="235" t="s">
        <v>83</v>
      </c>
      <c r="F32" s="235"/>
      <c r="G32" s="235"/>
      <c r="H32" s="235"/>
      <c r="I32" s="235"/>
      <c r="J32" s="235"/>
      <c r="K32" s="235"/>
    </row>
    <row r="34" spans="2:6" x14ac:dyDescent="0.25">
      <c r="B34" s="122"/>
      <c r="D34" t="s">
        <v>88</v>
      </c>
    </row>
    <row r="35" spans="2:6" ht="6" customHeight="1" x14ac:dyDescent="0.25"/>
    <row r="36" spans="2:6" ht="15.75" thickBot="1" x14ac:dyDescent="0.3">
      <c r="E36" t="s">
        <v>89</v>
      </c>
      <c r="F36" s="192"/>
    </row>
  </sheetData>
  <mergeCells count="15">
    <mergeCell ref="B1:K2"/>
    <mergeCell ref="D21:K22"/>
    <mergeCell ref="E32:K32"/>
    <mergeCell ref="D30:K30"/>
    <mergeCell ref="E25:K25"/>
    <mergeCell ref="E26:K26"/>
    <mergeCell ref="E27:K27"/>
    <mergeCell ref="E28:K28"/>
    <mergeCell ref="D14:K15"/>
    <mergeCell ref="D4:K4"/>
    <mergeCell ref="E24:K24"/>
    <mergeCell ref="D8:K9"/>
    <mergeCell ref="E11:K12"/>
    <mergeCell ref="E17:H17"/>
    <mergeCell ref="E18:K19"/>
  </mergeCells>
  <hyperlinks>
    <hyperlink ref="D30:K30" location="Calculations!B3" display="Transpose all data highlighted into corresponding spots HERE." xr:uid="{00000000-0004-0000-0200-000000000000}"/>
    <hyperlink ref="E28:K28" location="'Data Landing Pad'!W7" display="Open Ridecheck output and paste loop counts HERE." xr:uid="{00000000-0004-0000-0200-000001000000}"/>
    <hyperlink ref="E26:K26" location="'Data Landing Pad'!N7" display="Open Dashboard output and paste table HERE." xr:uid="{00000000-0004-0000-0200-000002000000}"/>
    <hyperlink ref="E24:K24" location="'Data Landing Pad'!D7" display="Open Headways output and paste table HERE."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Y43"/>
  <sheetViews>
    <sheetView topLeftCell="B1" zoomScale="134" zoomScaleNormal="85" workbookViewId="0">
      <selection activeCell="D7" sqref="D7"/>
    </sheetView>
  </sheetViews>
  <sheetFormatPr defaultColWidth="8.85546875" defaultRowHeight="15" x14ac:dyDescent="0.25"/>
  <cols>
    <col min="1" max="1" width="3.140625" customWidth="1"/>
    <col min="2" max="2" width="3.7109375" customWidth="1"/>
    <col min="3" max="3" width="7.85546875" bestFit="1" customWidth="1"/>
    <col min="4" max="4" width="6.7109375" customWidth="1"/>
    <col min="5" max="5" width="8.42578125" customWidth="1"/>
    <col min="6" max="6" width="5.85546875" customWidth="1"/>
    <col min="7" max="9" width="6.42578125" customWidth="1"/>
    <col min="12" max="12" width="3.7109375" customWidth="1"/>
    <col min="15" max="18" width="8.85546875" customWidth="1"/>
    <col min="21" max="21" width="3.7109375" customWidth="1"/>
    <col min="24" max="25" width="12.85546875" customWidth="1"/>
  </cols>
  <sheetData>
    <row r="2" spans="2:25" ht="23.25" x14ac:dyDescent="0.35">
      <c r="B2" s="1" t="s">
        <v>12</v>
      </c>
      <c r="C2" s="1"/>
      <c r="D2" s="1"/>
      <c r="E2" s="1"/>
      <c r="F2" s="1"/>
      <c r="L2" s="1" t="s">
        <v>28</v>
      </c>
      <c r="U2" s="1" t="s">
        <v>60</v>
      </c>
    </row>
    <row r="3" spans="2:25" ht="9.9499999999999993" customHeight="1" x14ac:dyDescent="0.35">
      <c r="B3" s="1"/>
      <c r="C3" s="1"/>
      <c r="D3" s="1"/>
      <c r="E3" s="1"/>
      <c r="F3" s="1"/>
      <c r="L3" s="1"/>
    </row>
    <row r="4" spans="2:25" x14ac:dyDescent="0.25">
      <c r="C4" s="235" t="s">
        <v>92</v>
      </c>
      <c r="D4" s="235"/>
      <c r="E4" s="235"/>
      <c r="F4" s="235"/>
      <c r="G4" s="235"/>
      <c r="H4" s="235"/>
      <c r="M4" s="235" t="s">
        <v>77</v>
      </c>
      <c r="N4" s="235"/>
      <c r="O4" s="235"/>
      <c r="P4" s="235"/>
      <c r="V4" s="235" t="s">
        <v>97</v>
      </c>
      <c r="W4" s="235"/>
      <c r="X4" s="235"/>
      <c r="Y4" s="235"/>
    </row>
    <row r="5" spans="2:25" ht="9.9499999999999993" customHeight="1" thickBot="1" x14ac:dyDescent="0.3"/>
    <row r="6" spans="2:25" ht="15.75" thickBot="1" x14ac:dyDescent="0.3">
      <c r="C6" s="127" t="s">
        <v>74</v>
      </c>
      <c r="D6" s="128" t="s">
        <v>91</v>
      </c>
      <c r="E6" s="197">
        <v>0.5</v>
      </c>
      <c r="F6" s="197">
        <v>0.75</v>
      </c>
      <c r="G6" s="198">
        <v>0.9</v>
      </c>
      <c r="H6" s="195"/>
      <c r="I6" s="195"/>
      <c r="M6" s="127" t="s">
        <v>74</v>
      </c>
      <c r="N6" s="128" t="s">
        <v>80</v>
      </c>
      <c r="O6" s="128" t="s">
        <v>98</v>
      </c>
      <c r="P6" s="128" t="s">
        <v>99</v>
      </c>
      <c r="Q6" s="128" t="s">
        <v>100</v>
      </c>
      <c r="R6" s="129" t="s">
        <v>101</v>
      </c>
      <c r="V6" s="127" t="s">
        <v>74</v>
      </c>
      <c r="W6" s="130" t="s">
        <v>80</v>
      </c>
      <c r="X6" s="128" t="s">
        <v>115</v>
      </c>
      <c r="Y6" s="129" t="s">
        <v>116</v>
      </c>
    </row>
    <row r="7" spans="2:25" x14ac:dyDescent="0.25">
      <c r="C7" s="111" t="s">
        <v>20</v>
      </c>
      <c r="D7" s="11"/>
      <c r="H7" s="196"/>
      <c r="I7" s="196"/>
      <c r="M7" s="111" t="s">
        <v>20</v>
      </c>
      <c r="V7" s="111" t="s">
        <v>40</v>
      </c>
      <c r="W7" s="112"/>
      <c r="X7" s="112"/>
      <c r="Y7" s="113"/>
    </row>
    <row r="8" spans="2:25" x14ac:dyDescent="0.25">
      <c r="C8" s="114" t="s">
        <v>21</v>
      </c>
      <c r="D8" s="11"/>
      <c r="H8" s="196"/>
      <c r="I8" s="196"/>
      <c r="M8" s="114" t="s">
        <v>21</v>
      </c>
      <c r="V8" s="114" t="s">
        <v>41</v>
      </c>
      <c r="W8" s="115"/>
      <c r="X8" s="115"/>
      <c r="Y8" s="116"/>
    </row>
    <row r="9" spans="2:25" x14ac:dyDescent="0.25">
      <c r="C9" s="114" t="s">
        <v>22</v>
      </c>
      <c r="D9" s="11"/>
      <c r="H9" s="196"/>
      <c r="I9" s="196"/>
      <c r="M9" s="114" t="s">
        <v>22</v>
      </c>
      <c r="V9" s="114" t="s">
        <v>42</v>
      </c>
      <c r="W9" s="115"/>
      <c r="X9" s="115"/>
      <c r="Y9" s="116"/>
    </row>
    <row r="10" spans="2:25" x14ac:dyDescent="0.25">
      <c r="C10" s="114" t="s">
        <v>23</v>
      </c>
      <c r="D10" s="11"/>
      <c r="H10" s="196"/>
      <c r="I10" s="196"/>
      <c r="M10" s="114" t="s">
        <v>23</v>
      </c>
      <c r="V10" s="114" t="s">
        <v>78</v>
      </c>
      <c r="W10" s="115"/>
      <c r="X10" s="115"/>
      <c r="Y10" s="116"/>
    </row>
    <row r="11" spans="2:25" x14ac:dyDescent="0.25">
      <c r="C11" s="114" t="s">
        <v>24</v>
      </c>
      <c r="D11" s="11"/>
      <c r="H11" s="196"/>
      <c r="I11" s="196"/>
      <c r="M11" s="114" t="s">
        <v>24</v>
      </c>
      <c r="V11" s="114" t="s">
        <v>44</v>
      </c>
      <c r="W11" s="115"/>
      <c r="X11" s="115"/>
      <c r="Y11" s="116"/>
    </row>
    <row r="12" spans="2:25" ht="15.75" thickBot="1" x14ac:dyDescent="0.3">
      <c r="C12" s="114" t="s">
        <v>25</v>
      </c>
      <c r="D12" s="11"/>
      <c r="H12" s="196"/>
      <c r="I12" s="196"/>
      <c r="M12" s="114" t="s">
        <v>25</v>
      </c>
      <c r="V12" s="117" t="s">
        <v>79</v>
      </c>
      <c r="W12" s="118"/>
      <c r="X12" s="118"/>
      <c r="Y12" s="119"/>
    </row>
    <row r="13" spans="2:25" ht="15.75" thickBot="1" x14ac:dyDescent="0.3">
      <c r="C13" s="117" t="s">
        <v>26</v>
      </c>
      <c r="D13" s="11"/>
      <c r="H13" s="196"/>
      <c r="I13" s="196"/>
      <c r="M13" s="117" t="s">
        <v>26</v>
      </c>
    </row>
    <row r="15" spans="2:25" x14ac:dyDescent="0.25">
      <c r="D15" s="207"/>
      <c r="E15" s="207"/>
      <c r="G15" s="207"/>
    </row>
    <row r="16" spans="2:25" x14ac:dyDescent="0.25">
      <c r="D16" s="207"/>
      <c r="E16" s="207"/>
      <c r="F16" s="207"/>
    </row>
    <row r="17" spans="4:7" x14ac:dyDescent="0.25">
      <c r="D17" s="207"/>
      <c r="E17" s="207"/>
      <c r="G17" s="207"/>
    </row>
    <row r="18" spans="4:7" x14ac:dyDescent="0.25">
      <c r="F18" s="207"/>
    </row>
    <row r="19" spans="4:7" x14ac:dyDescent="0.25">
      <c r="D19" s="207"/>
      <c r="E19" s="207"/>
      <c r="F19" s="207"/>
      <c r="G19" s="207"/>
    </row>
    <row r="20" spans="4:7" x14ac:dyDescent="0.25">
      <c r="D20" s="207"/>
      <c r="F20" s="207"/>
      <c r="G20" s="207"/>
    </row>
    <row r="21" spans="4:7" x14ac:dyDescent="0.25">
      <c r="D21" s="207"/>
      <c r="E21" s="207"/>
      <c r="F21" s="207"/>
    </row>
    <row r="41" ht="9.9499999999999993" customHeight="1" x14ac:dyDescent="0.25"/>
    <row r="43" ht="9.9499999999999993" customHeight="1" x14ac:dyDescent="0.25"/>
  </sheetData>
  <mergeCells count="3">
    <mergeCell ref="C4:H4"/>
    <mergeCell ref="M4:P4"/>
    <mergeCell ref="V4:Y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Q47"/>
  <sheetViews>
    <sheetView topLeftCell="A4" zoomScale="85" zoomScaleNormal="85" workbookViewId="0">
      <selection activeCell="K6" sqref="K6"/>
    </sheetView>
  </sheetViews>
  <sheetFormatPr defaultColWidth="8.85546875" defaultRowHeight="15" x14ac:dyDescent="0.25"/>
  <cols>
    <col min="8" max="8" width="10.42578125" bestFit="1" customWidth="1"/>
    <col min="15" max="15" width="10.28515625" customWidth="1"/>
    <col min="16" max="16" width="11.42578125" customWidth="1"/>
    <col min="17" max="17" width="6.140625" customWidth="1"/>
    <col min="18" max="18" width="7.7109375" bestFit="1" customWidth="1"/>
    <col min="19" max="19" width="6.42578125" customWidth="1"/>
    <col min="20" max="28" width="5.42578125" customWidth="1"/>
    <col min="29" max="30" width="11.42578125" customWidth="1"/>
    <col min="31" max="31" width="6.28515625" customWidth="1"/>
    <col min="32" max="33" width="5.7109375" customWidth="1"/>
    <col min="34" max="42" width="5.42578125" customWidth="1"/>
  </cols>
  <sheetData>
    <row r="2" spans="2:43" ht="19.5" thickBot="1" x14ac:dyDescent="0.35">
      <c r="C2" s="221" t="str">
        <f>"Headway (Mins.) - " &amp; 'Start Here'!F6</f>
        <v>Headway (Mins.) - January 2026</v>
      </c>
      <c r="D2" s="239"/>
      <c r="E2" s="239"/>
      <c r="F2" s="239"/>
    </row>
    <row r="3" spans="2:43" ht="48" thickBot="1" x14ac:dyDescent="0.3">
      <c r="B3" s="38" t="s">
        <v>13</v>
      </c>
      <c r="C3" s="60" t="s">
        <v>14</v>
      </c>
      <c r="D3" s="42" t="s">
        <v>15</v>
      </c>
      <c r="E3" s="43" t="s">
        <v>16</v>
      </c>
      <c r="F3" s="43" t="s">
        <v>17</v>
      </c>
      <c r="G3" s="133" t="s">
        <v>18</v>
      </c>
      <c r="H3" s="134" t="s">
        <v>19</v>
      </c>
    </row>
    <row r="4" spans="2:43" ht="19.5" thickBot="1" x14ac:dyDescent="0.3">
      <c r="B4" s="36" t="s">
        <v>20</v>
      </c>
      <c r="C4" s="83">
        <v>10</v>
      </c>
      <c r="D4" s="105">
        <f>'Data Landing Pad'!E7</f>
        <v>0</v>
      </c>
      <c r="E4" s="53">
        <f>'Data Landing Pad'!F7</f>
        <v>0</v>
      </c>
      <c r="F4" s="53">
        <f>'Data Landing Pad'!G7</f>
        <v>0</v>
      </c>
      <c r="G4" s="123">
        <f>'Data Landing Pad'!N7</f>
        <v>0</v>
      </c>
      <c r="H4" s="136">
        <f>'Data Landing Pad'!D7</f>
        <v>0</v>
      </c>
      <c r="O4" s="145"/>
      <c r="P4" s="144" t="s">
        <v>117</v>
      </c>
      <c r="Q4" s="144"/>
      <c r="R4" s="144"/>
      <c r="S4" s="144"/>
      <c r="T4" s="144"/>
      <c r="U4" s="145"/>
      <c r="V4" s="145"/>
      <c r="W4" s="145"/>
      <c r="X4" s="145"/>
      <c r="Y4" s="145"/>
      <c r="Z4" s="145"/>
      <c r="AA4" s="145"/>
      <c r="AB4" s="145"/>
      <c r="AC4" s="145"/>
      <c r="AD4" s="146" t="s">
        <v>105</v>
      </c>
      <c r="AE4" s="145"/>
      <c r="AF4" s="145"/>
      <c r="AG4" s="145"/>
      <c r="AH4" s="145"/>
      <c r="AI4" s="145"/>
      <c r="AJ4" s="145"/>
      <c r="AK4" s="145"/>
      <c r="AL4" s="145"/>
      <c r="AM4" s="145"/>
      <c r="AN4" s="145"/>
      <c r="AO4" s="145"/>
      <c r="AP4" s="145"/>
      <c r="AQ4" s="145"/>
    </row>
    <row r="5" spans="2:43" ht="30.75" thickBot="1" x14ac:dyDescent="0.3">
      <c r="B5" s="36" t="s">
        <v>21</v>
      </c>
      <c r="C5" s="131">
        <v>3</v>
      </c>
      <c r="D5" s="47">
        <f>'Data Landing Pad'!E8</f>
        <v>0</v>
      </c>
      <c r="E5" s="54">
        <f>'Data Landing Pad'!F8</f>
        <v>0</v>
      </c>
      <c r="F5" s="54">
        <f>'Data Landing Pad'!G8</f>
        <v>0</v>
      </c>
      <c r="G5">
        <f>'Data Landing Pad'!N8</f>
        <v>0</v>
      </c>
      <c r="H5" s="137">
        <f>'Data Landing Pad'!D8</f>
        <v>0</v>
      </c>
      <c r="O5" s="145"/>
      <c r="P5" s="147" t="s">
        <v>13</v>
      </c>
      <c r="Q5" s="148" t="s">
        <v>0</v>
      </c>
      <c r="R5" s="149" t="s">
        <v>1</v>
      </c>
      <c r="S5" s="149" t="s">
        <v>2</v>
      </c>
      <c r="T5" s="149" t="s">
        <v>3</v>
      </c>
      <c r="U5" s="149" t="s">
        <v>4</v>
      </c>
      <c r="V5" s="149" t="s">
        <v>5</v>
      </c>
      <c r="W5" s="149" t="s">
        <v>6</v>
      </c>
      <c r="X5" s="149" t="s">
        <v>7</v>
      </c>
      <c r="Y5" s="149" t="s">
        <v>8</v>
      </c>
      <c r="Z5" s="149" t="s">
        <v>9</v>
      </c>
      <c r="AA5" s="149" t="s">
        <v>10</v>
      </c>
      <c r="AB5" s="150" t="s">
        <v>11</v>
      </c>
      <c r="AC5" s="145"/>
      <c r="AD5" s="151" t="s">
        <v>13</v>
      </c>
      <c r="AE5" s="148" t="s">
        <v>0</v>
      </c>
      <c r="AF5" s="149" t="s">
        <v>1</v>
      </c>
      <c r="AG5" s="149" t="s">
        <v>2</v>
      </c>
      <c r="AH5" s="149" t="s">
        <v>3</v>
      </c>
      <c r="AI5" s="149" t="s">
        <v>4</v>
      </c>
      <c r="AJ5" s="149" t="s">
        <v>5</v>
      </c>
      <c r="AK5" s="149" t="s">
        <v>6</v>
      </c>
      <c r="AL5" s="149" t="s">
        <v>7</v>
      </c>
      <c r="AM5" s="149" t="s">
        <v>8</v>
      </c>
      <c r="AN5" s="149" t="s">
        <v>9</v>
      </c>
      <c r="AO5" s="149" t="s">
        <v>10</v>
      </c>
      <c r="AP5" s="150" t="s">
        <v>11</v>
      </c>
      <c r="AQ5" s="145"/>
    </row>
    <row r="6" spans="2:43" x14ac:dyDescent="0.25">
      <c r="B6" s="36" t="s">
        <v>22</v>
      </c>
      <c r="C6" s="131">
        <v>3</v>
      </c>
      <c r="D6" s="47">
        <f>'Data Landing Pad'!E9</f>
        <v>0</v>
      </c>
      <c r="E6" s="54">
        <f>'Data Landing Pad'!F9</f>
        <v>0</v>
      </c>
      <c r="F6" s="54">
        <f>'Data Landing Pad'!G9</f>
        <v>0</v>
      </c>
      <c r="G6">
        <f>'Data Landing Pad'!N9</f>
        <v>0</v>
      </c>
      <c r="H6" s="137">
        <f>'Data Landing Pad'!D9</f>
        <v>0</v>
      </c>
      <c r="O6" s="145"/>
      <c r="P6" s="152" t="s">
        <v>40</v>
      </c>
      <c r="Q6" s="161"/>
      <c r="R6" s="154"/>
      <c r="S6" s="154"/>
      <c r="T6" s="155"/>
      <c r="U6" s="155"/>
      <c r="V6" s="155"/>
      <c r="W6" s="155"/>
      <c r="X6" s="155"/>
      <c r="Y6" s="155"/>
      <c r="Z6" s="155"/>
      <c r="AA6" s="155"/>
      <c r="AB6" s="156"/>
      <c r="AC6" s="145"/>
      <c r="AD6" s="157" t="s">
        <v>40</v>
      </c>
      <c r="AE6" s="153"/>
      <c r="AF6" s="155"/>
      <c r="AG6" s="155"/>
      <c r="AH6" s="155"/>
      <c r="AI6" s="155"/>
      <c r="AJ6" s="155"/>
      <c r="AK6" s="155"/>
      <c r="AL6" s="155"/>
      <c r="AM6" s="155"/>
      <c r="AN6" s="155"/>
      <c r="AO6" s="155"/>
      <c r="AP6" s="156"/>
      <c r="AQ6" s="145"/>
    </row>
    <row r="7" spans="2:43" x14ac:dyDescent="0.25">
      <c r="B7" s="36" t="s">
        <v>23</v>
      </c>
      <c r="C7" s="131">
        <v>10</v>
      </c>
      <c r="D7" s="47">
        <f>'Data Landing Pad'!E10</f>
        <v>0</v>
      </c>
      <c r="E7" s="54">
        <f>'Data Landing Pad'!F10</f>
        <v>0</v>
      </c>
      <c r="F7" s="54">
        <f>'Data Landing Pad'!G10</f>
        <v>0</v>
      </c>
      <c r="G7">
        <f>'Data Landing Pad'!N10</f>
        <v>0</v>
      </c>
      <c r="H7" s="137">
        <f>'Data Landing Pad'!D10</f>
        <v>0</v>
      </c>
      <c r="O7" s="145"/>
      <c r="P7" s="158" t="s">
        <v>41</v>
      </c>
      <c r="Q7" s="161"/>
      <c r="R7" s="160"/>
      <c r="S7" s="160"/>
      <c r="T7" s="161"/>
      <c r="U7" s="161"/>
      <c r="V7" s="161"/>
      <c r="W7" s="161"/>
      <c r="X7" s="161"/>
      <c r="Y7" s="161"/>
      <c r="Z7" s="161"/>
      <c r="AA7" s="161"/>
      <c r="AB7" s="162"/>
      <c r="AC7" s="145"/>
      <c r="AD7" s="158" t="s">
        <v>41</v>
      </c>
      <c r="AE7" s="159"/>
      <c r="AF7" s="161"/>
      <c r="AG7" s="161"/>
      <c r="AH7" s="161"/>
      <c r="AI7" s="161"/>
      <c r="AJ7" s="161"/>
      <c r="AK7" s="161"/>
      <c r="AL7" s="161"/>
      <c r="AM7" s="161"/>
      <c r="AN7" s="161"/>
      <c r="AO7" s="161"/>
      <c r="AP7" s="162"/>
      <c r="AQ7" s="145"/>
    </row>
    <row r="8" spans="2:43" x14ac:dyDescent="0.25">
      <c r="B8" s="36" t="s">
        <v>24</v>
      </c>
      <c r="C8" s="131">
        <v>5</v>
      </c>
      <c r="D8" s="110">
        <f>'Data Landing Pad'!E11</f>
        <v>0</v>
      </c>
      <c r="E8" s="54">
        <f>'Data Landing Pad'!F11</f>
        <v>0</v>
      </c>
      <c r="F8" s="54">
        <f>'Data Landing Pad'!G11</f>
        <v>0</v>
      </c>
      <c r="G8">
        <f>'Data Landing Pad'!N11</f>
        <v>0</v>
      </c>
      <c r="H8" s="137">
        <f>'Data Landing Pad'!D11</f>
        <v>0</v>
      </c>
      <c r="O8" s="145"/>
      <c r="P8" s="157" t="s">
        <v>42</v>
      </c>
      <c r="Q8" s="161"/>
      <c r="R8" s="160"/>
      <c r="S8" s="160"/>
      <c r="T8" s="161"/>
      <c r="U8" s="161"/>
      <c r="V8" s="161"/>
      <c r="W8" s="161"/>
      <c r="X8" s="161"/>
      <c r="Y8" s="161"/>
      <c r="Z8" s="161"/>
      <c r="AA8" s="161"/>
      <c r="AB8" s="162"/>
      <c r="AC8" s="145"/>
      <c r="AD8" s="157" t="s">
        <v>42</v>
      </c>
      <c r="AE8" s="159"/>
      <c r="AF8" s="161"/>
      <c r="AG8" s="161"/>
      <c r="AH8" s="161"/>
      <c r="AI8" s="161"/>
      <c r="AJ8" s="161"/>
      <c r="AK8" s="161"/>
      <c r="AL8" s="161"/>
      <c r="AM8" s="161"/>
      <c r="AN8" s="161"/>
      <c r="AO8" s="161"/>
      <c r="AP8" s="162"/>
      <c r="AQ8" s="145"/>
    </row>
    <row r="9" spans="2:43" x14ac:dyDescent="0.25">
      <c r="B9" s="36" t="s">
        <v>25</v>
      </c>
      <c r="C9" s="131">
        <v>10</v>
      </c>
      <c r="D9" s="110">
        <f>'Data Landing Pad'!E12</f>
        <v>0</v>
      </c>
      <c r="E9" s="54">
        <f>'Data Landing Pad'!F12</f>
        <v>0</v>
      </c>
      <c r="F9" s="54">
        <f>'Data Landing Pad'!G12</f>
        <v>0</v>
      </c>
      <c r="G9">
        <f>'Data Landing Pad'!N12</f>
        <v>0</v>
      </c>
      <c r="H9" s="137">
        <f>'Data Landing Pad'!D12</f>
        <v>0</v>
      </c>
      <c r="O9" s="145"/>
      <c r="P9" s="157" t="s">
        <v>43</v>
      </c>
      <c r="Q9" s="161"/>
      <c r="R9" s="161"/>
      <c r="S9" s="161"/>
      <c r="T9" s="161"/>
      <c r="U9" s="161"/>
      <c r="V9" s="161"/>
      <c r="W9" s="161"/>
      <c r="X9" s="161"/>
      <c r="Y9" s="161"/>
      <c r="Z9" s="161"/>
      <c r="AA9" s="161"/>
      <c r="AB9" s="162"/>
      <c r="AC9" s="145"/>
      <c r="AD9" s="157" t="s">
        <v>43</v>
      </c>
      <c r="AE9" s="159"/>
      <c r="AF9" s="161"/>
      <c r="AG9" s="161"/>
      <c r="AH9" s="161"/>
      <c r="AI9" s="161"/>
      <c r="AJ9" s="161"/>
      <c r="AK9" s="161"/>
      <c r="AL9" s="161"/>
      <c r="AM9" s="161"/>
      <c r="AN9" s="161"/>
      <c r="AO9" s="161"/>
      <c r="AP9" s="162"/>
      <c r="AQ9" s="145"/>
    </row>
    <row r="10" spans="2:43" ht="15.75" thickBot="1" x14ac:dyDescent="0.3">
      <c r="B10" s="37" t="s">
        <v>26</v>
      </c>
      <c r="C10" s="132">
        <v>5</v>
      </c>
      <c r="D10" s="106">
        <f>'Data Landing Pad'!E13</f>
        <v>0</v>
      </c>
      <c r="E10" s="55">
        <f>'Data Landing Pad'!F13</f>
        <v>0</v>
      </c>
      <c r="F10" s="55">
        <f>'Data Landing Pad'!G13</f>
        <v>0</v>
      </c>
      <c r="G10" s="12">
        <f>'Data Landing Pad'!N13</f>
        <v>0</v>
      </c>
      <c r="H10" s="138">
        <f>'Data Landing Pad'!D13</f>
        <v>0</v>
      </c>
      <c r="O10" s="145"/>
      <c r="P10" s="157" t="s">
        <v>44</v>
      </c>
      <c r="Q10" s="161"/>
      <c r="R10" s="161"/>
      <c r="S10" s="161"/>
      <c r="T10" s="161"/>
      <c r="U10" s="161"/>
      <c r="V10" s="161"/>
      <c r="W10" s="161"/>
      <c r="X10" s="161"/>
      <c r="Y10" s="161"/>
      <c r="Z10" s="161"/>
      <c r="AA10" s="161"/>
      <c r="AB10" s="162"/>
      <c r="AC10" s="145"/>
      <c r="AD10" s="157" t="s">
        <v>44</v>
      </c>
      <c r="AE10" s="159"/>
      <c r="AF10" s="161"/>
      <c r="AG10" s="161"/>
      <c r="AH10" s="161"/>
      <c r="AI10" s="161"/>
      <c r="AJ10" s="161"/>
      <c r="AK10" s="161"/>
      <c r="AL10" s="161"/>
      <c r="AM10" s="161"/>
      <c r="AN10" s="161"/>
      <c r="AO10" s="161"/>
      <c r="AP10" s="162"/>
      <c r="AQ10" s="145"/>
    </row>
    <row r="11" spans="2:43" ht="15.75" thickBot="1" x14ac:dyDescent="0.3">
      <c r="G11" s="139">
        <f>SUM(G4:G10)</f>
        <v>0</v>
      </c>
      <c r="H11" s="200" t="e">
        <f>(G4*H4+G5*H5+G6*H6+G7*H7+G8*H8+G9*H9+G10*H10)/G11</f>
        <v>#DIV/0!</v>
      </c>
      <c r="O11" s="145"/>
      <c r="P11" s="163" t="s">
        <v>45</v>
      </c>
      <c r="Q11" s="161"/>
      <c r="R11" s="165"/>
      <c r="S11" s="165"/>
      <c r="T11" s="165"/>
      <c r="U11" s="165"/>
      <c r="V11" s="165"/>
      <c r="W11" s="165"/>
      <c r="X11" s="165"/>
      <c r="Y11" s="165"/>
      <c r="Z11" s="165"/>
      <c r="AA11" s="165"/>
      <c r="AB11" s="166"/>
      <c r="AC11" s="145"/>
      <c r="AD11" s="163" t="s">
        <v>45</v>
      </c>
      <c r="AE11" s="164"/>
      <c r="AF11" s="165"/>
      <c r="AG11" s="165"/>
      <c r="AH11" s="165"/>
      <c r="AI11" s="165"/>
      <c r="AJ11" s="165"/>
      <c r="AK11" s="165"/>
      <c r="AL11" s="165"/>
      <c r="AM11" s="165"/>
      <c r="AN11" s="165"/>
      <c r="AO11" s="165"/>
      <c r="AP11" s="166"/>
      <c r="AQ11" s="145"/>
    </row>
    <row r="12" spans="2:43" ht="15.75" thickBot="1" x14ac:dyDescent="0.3">
      <c r="H12" s="183"/>
      <c r="O12" s="145"/>
      <c r="P12" s="167" t="s">
        <v>46</v>
      </c>
      <c r="Q12" s="168" t="str">
        <f>IF(Q6="","",(Q6*Q19+Q7*Q20+Q8*Q21+Q9*Q22+Q10*Q23+Q11*Q24)/Q25)</f>
        <v/>
      </c>
      <c r="R12" s="169" t="str">
        <f>IF(R6="","",(R6*R19+R7*R20+R8*R21+R9*R22+R10*R23+R11*R24)/R25)</f>
        <v/>
      </c>
      <c r="S12" s="169" t="str">
        <f>IF(S6="","",(S6*S19+S7*S20+S8*S21+S9*S22+S10*S23+S11*S24)/S25)</f>
        <v/>
      </c>
      <c r="T12" s="169" t="str">
        <f>IF(T6="","",(T6*T19+T7*T20+T8*T21+T9*T22+T10*T23+T11*T24)/T25)</f>
        <v/>
      </c>
      <c r="U12" s="169" t="str">
        <f>IF(U6="","",(U6*U19+U7*U20+U8*U21+U9*U22+U10*U23+U11*U24)/U25)</f>
        <v/>
      </c>
      <c r="V12" s="169" t="str">
        <f t="shared" ref="V12:AB12" si="0">IF(V6="","",(V6*V19+V7*V20+V8*V21+V9*V22+V10*V23+V11*V24)/V25)</f>
        <v/>
      </c>
      <c r="W12" s="169" t="str">
        <f t="shared" si="0"/>
        <v/>
      </c>
      <c r="X12" s="169" t="str">
        <f>IF(X6="","",(X6*X19+X7*X20+X8*X21+X9*X22+X10*X23+X11*X24)/X25)</f>
        <v/>
      </c>
      <c r="Y12" s="169" t="str">
        <f t="shared" si="0"/>
        <v/>
      </c>
      <c r="Z12" s="169" t="str">
        <f t="shared" si="0"/>
        <v/>
      </c>
      <c r="AA12" s="169" t="str">
        <f t="shared" si="0"/>
        <v/>
      </c>
      <c r="AB12" s="170" t="str">
        <f t="shared" si="0"/>
        <v/>
      </c>
      <c r="AC12" s="145"/>
      <c r="AD12" s="171" t="s">
        <v>46</v>
      </c>
      <c r="AE12" s="168" t="str">
        <f>IF(AE6="","",(AE6*Q19+AE7*Q20+AE8*Q21+AE9*Q22+AE10*Q23+AE11*Q24)/Q25)</f>
        <v/>
      </c>
      <c r="AF12" s="169" t="str">
        <f t="shared" ref="AF12:AP12" si="1">IF(AF6="","",(AF6*R19+AF7*R20+AF8*R21+AF9*R22+AF10*R23+AF11*R24)/R25)</f>
        <v/>
      </c>
      <c r="AG12" s="169" t="str">
        <f t="shared" si="1"/>
        <v/>
      </c>
      <c r="AH12" s="169" t="str">
        <f t="shared" si="1"/>
        <v/>
      </c>
      <c r="AI12" s="169" t="str">
        <f t="shared" si="1"/>
        <v/>
      </c>
      <c r="AJ12" s="169" t="str">
        <f t="shared" si="1"/>
        <v/>
      </c>
      <c r="AK12" s="169" t="str">
        <f t="shared" si="1"/>
        <v/>
      </c>
      <c r="AL12" s="169" t="str">
        <f t="shared" si="1"/>
        <v/>
      </c>
      <c r="AM12" s="169" t="str">
        <f t="shared" si="1"/>
        <v/>
      </c>
      <c r="AN12" s="169" t="str">
        <f t="shared" si="1"/>
        <v/>
      </c>
      <c r="AO12" s="169" t="str">
        <f t="shared" si="1"/>
        <v/>
      </c>
      <c r="AP12" s="170" t="str">
        <f t="shared" si="1"/>
        <v/>
      </c>
      <c r="AQ12" s="145"/>
    </row>
    <row r="13" spans="2:43" ht="15.75" thickBot="1" x14ac:dyDescent="0.3">
      <c r="B13" s="241" t="s">
        <v>86</v>
      </c>
      <c r="C13" s="241"/>
      <c r="D13" s="241"/>
      <c r="E13" s="241"/>
      <c r="F13" s="241"/>
      <c r="G13" s="241"/>
      <c r="H13" s="241"/>
      <c r="I13" s="241"/>
      <c r="J13" s="241"/>
      <c r="K13" s="241"/>
      <c r="L13" s="241"/>
      <c r="M13" s="241"/>
      <c r="O13" s="145"/>
      <c r="P13" s="172" t="s">
        <v>118</v>
      </c>
      <c r="Q13" s="145"/>
      <c r="R13" s="145"/>
      <c r="S13" s="145"/>
      <c r="T13" s="145"/>
      <c r="U13" s="145"/>
      <c r="V13" s="172"/>
      <c r="W13" s="145"/>
      <c r="X13" s="145"/>
      <c r="Y13" s="145"/>
      <c r="Z13" s="145"/>
      <c r="AA13" s="145"/>
      <c r="AB13" s="145"/>
      <c r="AC13" s="145"/>
      <c r="AD13" s="172" t="s">
        <v>113</v>
      </c>
      <c r="AE13" s="145"/>
      <c r="AF13" s="145"/>
      <c r="AG13" s="145"/>
      <c r="AH13" s="145"/>
      <c r="AI13" s="145"/>
      <c r="AJ13" s="172"/>
      <c r="AK13" s="145"/>
      <c r="AL13" s="145"/>
      <c r="AM13" s="145"/>
      <c r="AN13" s="145"/>
      <c r="AO13" s="145"/>
      <c r="AP13" s="145"/>
      <c r="AQ13" s="145"/>
    </row>
    <row r="14" spans="2:43" ht="15.75" thickBot="1" x14ac:dyDescent="0.3">
      <c r="B14" s="100" t="s">
        <v>0</v>
      </c>
      <c r="C14" s="91" t="s">
        <v>1</v>
      </c>
      <c r="D14" s="91" t="s">
        <v>2</v>
      </c>
      <c r="E14" s="91" t="s">
        <v>3</v>
      </c>
      <c r="F14" s="91" t="s">
        <v>4</v>
      </c>
      <c r="G14" s="91" t="s">
        <v>5</v>
      </c>
      <c r="H14" s="91" t="s">
        <v>6</v>
      </c>
      <c r="I14" s="91" t="s">
        <v>7</v>
      </c>
      <c r="J14" s="91" t="s">
        <v>8</v>
      </c>
      <c r="K14" s="91" t="s">
        <v>9</v>
      </c>
      <c r="L14" s="91" t="s">
        <v>10</v>
      </c>
      <c r="M14" s="92" t="s">
        <v>11</v>
      </c>
      <c r="O14" s="145"/>
      <c r="P14" s="172" t="s">
        <v>119</v>
      </c>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row>
    <row r="15" spans="2:43" ht="15.75" thickBot="1" x14ac:dyDescent="0.3">
      <c r="B15" s="187"/>
      <c r="C15" s="39"/>
      <c r="D15" s="39"/>
      <c r="E15" s="39"/>
      <c r="F15" s="39"/>
      <c r="G15" s="39"/>
      <c r="H15" s="39"/>
      <c r="I15" s="39"/>
      <c r="J15" s="39"/>
      <c r="K15" s="39"/>
      <c r="L15" s="39"/>
      <c r="M15" s="140"/>
    </row>
    <row r="16" spans="2:43" x14ac:dyDescent="0.25">
      <c r="AF16" s="243" t="s">
        <v>106</v>
      </c>
      <c r="AG16" s="243" t="s">
        <v>107</v>
      </c>
    </row>
    <row r="17" spans="2:36" ht="19.5" thickBot="1" x14ac:dyDescent="0.35">
      <c r="C17" s="210" t="str">
        <f>"Passenger Load - " &amp; 'Start Here'!F6</f>
        <v>Passenger Load - January 2026</v>
      </c>
      <c r="D17" s="210"/>
      <c r="E17" s="210"/>
      <c r="F17" s="210"/>
      <c r="P17" s="241" t="s">
        <v>84</v>
      </c>
      <c r="Q17" s="241"/>
      <c r="R17" s="241"/>
      <c r="S17" s="241"/>
      <c r="T17" s="241"/>
      <c r="U17" s="241"/>
      <c r="V17" s="241"/>
      <c r="W17" s="241"/>
      <c r="X17" s="241"/>
      <c r="Y17" s="241"/>
      <c r="Z17" s="241"/>
      <c r="AA17" s="241"/>
      <c r="AB17" s="241"/>
      <c r="AD17" s="120"/>
      <c r="AF17" s="243"/>
      <c r="AG17" s="243"/>
    </row>
    <row r="18" spans="2:36" ht="16.5" thickBot="1" x14ac:dyDescent="0.3">
      <c r="B18" s="218" t="s">
        <v>13</v>
      </c>
      <c r="C18" s="215" t="s">
        <v>29</v>
      </c>
      <c r="D18" s="216"/>
      <c r="E18" s="216"/>
      <c r="F18" s="217"/>
      <c r="P18" s="184" t="s">
        <v>74</v>
      </c>
      <c r="Q18" s="185" t="s">
        <v>0</v>
      </c>
      <c r="R18" s="185" t="s">
        <v>1</v>
      </c>
      <c r="S18" s="185" t="s">
        <v>2</v>
      </c>
      <c r="T18" s="185" t="s">
        <v>3</v>
      </c>
      <c r="U18" s="185" t="s">
        <v>4</v>
      </c>
      <c r="V18" s="185" t="s">
        <v>5</v>
      </c>
      <c r="W18" s="185" t="s">
        <v>6</v>
      </c>
      <c r="X18" s="185" t="s">
        <v>7</v>
      </c>
      <c r="Y18" s="185" t="s">
        <v>8</v>
      </c>
      <c r="Z18" s="185" t="s">
        <v>9</v>
      </c>
      <c r="AA18" s="185" t="s">
        <v>10</v>
      </c>
      <c r="AB18" s="186" t="s">
        <v>11</v>
      </c>
      <c r="AD18" t="str">
        <f>'Data Landing Pad'!V6</f>
        <v>Time</v>
      </c>
      <c r="AE18" t="str">
        <f>'Data Landing Pad'!W6</f>
        <v>Loops</v>
      </c>
      <c r="AF18" s="243"/>
      <c r="AG18" s="243"/>
    </row>
    <row r="19" spans="2:36" ht="15.75" thickBot="1" x14ac:dyDescent="0.3">
      <c r="B19" s="219"/>
      <c r="C19" s="56" t="s">
        <v>30</v>
      </c>
      <c r="D19" s="57" t="s">
        <v>31</v>
      </c>
      <c r="E19" s="57" t="s">
        <v>32</v>
      </c>
      <c r="F19" s="58" t="s">
        <v>33</v>
      </c>
      <c r="P19" s="6" t="s">
        <v>40</v>
      </c>
      <c r="AB19" s="125"/>
      <c r="AD19" t="str">
        <f>'Data Landing Pad'!V7</f>
        <v>5:30-7a</v>
      </c>
      <c r="AE19" s="203">
        <f>'Data Landing Pad'!W7</f>
        <v>0</v>
      </c>
      <c r="AF19" s="204">
        <f>SUM('Data Landing Pad'!X7:X7)</f>
        <v>0</v>
      </c>
      <c r="AG19" s="205">
        <f>'Data Landing Pad'!Y7</f>
        <v>0</v>
      </c>
    </row>
    <row r="20" spans="2:36" x14ac:dyDescent="0.25">
      <c r="B20" s="67" t="s">
        <v>20</v>
      </c>
      <c r="C20" s="68" t="e">
        <f>'Data Landing Pad'!O7/SUM('Data Landing Pad'!$O7:$R7)</f>
        <v>#DIV/0!</v>
      </c>
      <c r="D20" s="69" t="e">
        <f>'Data Landing Pad'!P7/SUM('Data Landing Pad'!$O7:$R7)</f>
        <v>#DIV/0!</v>
      </c>
      <c r="E20" s="69" t="e">
        <f>'Data Landing Pad'!Q7/SUM('Data Landing Pad'!$O7:$R7)</f>
        <v>#DIV/0!</v>
      </c>
      <c r="F20" s="70" t="e">
        <f>'Data Landing Pad'!R7/SUM('Data Landing Pad'!$O7:$R7)</f>
        <v>#DIV/0!</v>
      </c>
      <c r="P20" s="10" t="s">
        <v>41</v>
      </c>
      <c r="AB20" s="125"/>
      <c r="AD20" t="str">
        <f>'Data Landing Pad'!V8</f>
        <v>7-10a</v>
      </c>
      <c r="AE20" s="203">
        <f>'Data Landing Pad'!W8</f>
        <v>0</v>
      </c>
      <c r="AF20" s="204">
        <f>SUM('Data Landing Pad'!X8:X8)</f>
        <v>0</v>
      </c>
      <c r="AG20" s="205">
        <f>'Data Landing Pad'!Y8</f>
        <v>0</v>
      </c>
    </row>
    <row r="21" spans="2:36" x14ac:dyDescent="0.25">
      <c r="B21" s="36" t="s">
        <v>21</v>
      </c>
      <c r="C21" s="68" t="e">
        <f>'Data Landing Pad'!O8/SUM('Data Landing Pad'!$O8:$R8)</f>
        <v>#DIV/0!</v>
      </c>
      <c r="D21" s="69" t="e">
        <f>'Data Landing Pad'!P8/SUM('Data Landing Pad'!$O8:$R8)</f>
        <v>#DIV/0!</v>
      </c>
      <c r="E21" s="69" t="e">
        <f>'Data Landing Pad'!Q8/SUM('Data Landing Pad'!$O8:$R8)</f>
        <v>#DIV/0!</v>
      </c>
      <c r="F21" s="70" t="e">
        <f>'Data Landing Pad'!R8/SUM('Data Landing Pad'!$O8:$R8)</f>
        <v>#DIV/0!</v>
      </c>
      <c r="P21" s="6" t="s">
        <v>42</v>
      </c>
      <c r="AB21" s="125"/>
      <c r="AD21" t="str">
        <f>'Data Landing Pad'!V9</f>
        <v>10a-4p</v>
      </c>
      <c r="AE21" s="203">
        <f>'Data Landing Pad'!W9</f>
        <v>0</v>
      </c>
      <c r="AF21" s="204">
        <f>SUM('Data Landing Pad'!X9:X9)</f>
        <v>0</v>
      </c>
      <c r="AG21" s="205">
        <f>'Data Landing Pad'!Y9</f>
        <v>0</v>
      </c>
    </row>
    <row r="22" spans="2:36" x14ac:dyDescent="0.25">
      <c r="B22" s="36" t="s">
        <v>22</v>
      </c>
      <c r="C22" s="68" t="e">
        <f>'Data Landing Pad'!O9/SUM('Data Landing Pad'!$O9:$R9)</f>
        <v>#DIV/0!</v>
      </c>
      <c r="D22" s="69" t="e">
        <f>'Data Landing Pad'!P9/SUM('Data Landing Pad'!$O9:$R9)</f>
        <v>#DIV/0!</v>
      </c>
      <c r="E22" s="69" t="e">
        <f>'Data Landing Pad'!Q9/SUM('Data Landing Pad'!$O9:$R9)</f>
        <v>#DIV/0!</v>
      </c>
      <c r="F22" s="70" t="e">
        <f>'Data Landing Pad'!R9/SUM('Data Landing Pad'!$O9:$R9)</f>
        <v>#DIV/0!</v>
      </c>
      <c r="P22" s="6" t="s">
        <v>43</v>
      </c>
      <c r="AB22" s="125"/>
      <c r="AD22" t="str">
        <f>'Data Landing Pad'!V10</f>
        <v>4-7p</v>
      </c>
      <c r="AE22" s="203">
        <f>'Data Landing Pad'!W10</f>
        <v>0</v>
      </c>
      <c r="AF22" s="204">
        <f>SUM('Data Landing Pad'!X10:X10)</f>
        <v>0</v>
      </c>
      <c r="AG22" s="205">
        <f>'Data Landing Pad'!Y10</f>
        <v>0</v>
      </c>
    </row>
    <row r="23" spans="2:36" x14ac:dyDescent="0.25">
      <c r="B23" s="36" t="s">
        <v>23</v>
      </c>
      <c r="C23" s="68" t="e">
        <f>'Data Landing Pad'!O10/SUM('Data Landing Pad'!$O10:$R10)</f>
        <v>#DIV/0!</v>
      </c>
      <c r="D23" s="69" t="e">
        <f>'Data Landing Pad'!P10/SUM('Data Landing Pad'!$O10:$R10)</f>
        <v>#DIV/0!</v>
      </c>
      <c r="E23" s="69" t="e">
        <f>'Data Landing Pad'!Q10/SUM('Data Landing Pad'!$O10:$R10)</f>
        <v>#DIV/0!</v>
      </c>
      <c r="F23" s="70" t="e">
        <f>'Data Landing Pad'!R10/SUM('Data Landing Pad'!$O10:$R10)</f>
        <v>#DIV/0!</v>
      </c>
      <c r="P23" s="6" t="s">
        <v>44</v>
      </c>
      <c r="AB23" s="125"/>
      <c r="AD23" t="str">
        <f>'Data Landing Pad'!V11</f>
        <v>7p-12a</v>
      </c>
      <c r="AE23" s="203">
        <f>'Data Landing Pad'!W11</f>
        <v>0</v>
      </c>
      <c r="AF23" s="204">
        <f>SUM('Data Landing Pad'!X11:X11)</f>
        <v>0</v>
      </c>
      <c r="AG23" s="205">
        <f>'Data Landing Pad'!Y11</f>
        <v>0</v>
      </c>
    </row>
    <row r="24" spans="2:36" ht="15.75" thickBot="1" x14ac:dyDescent="0.3">
      <c r="B24" s="36" t="s">
        <v>24</v>
      </c>
      <c r="C24" s="68" t="e">
        <f>'Data Landing Pad'!O11/SUM('Data Landing Pad'!$O11:$R11)</f>
        <v>#DIV/0!</v>
      </c>
      <c r="D24" s="69" t="e">
        <f>'Data Landing Pad'!P11/SUM('Data Landing Pad'!$O11:$R11)</f>
        <v>#DIV/0!</v>
      </c>
      <c r="E24" s="69" t="e">
        <f>'Data Landing Pad'!Q11/SUM('Data Landing Pad'!$O11:$R11)</f>
        <v>#DIV/0!</v>
      </c>
      <c r="F24" s="70" t="e">
        <f>'Data Landing Pad'!R11/SUM('Data Landing Pad'!$O11:$R11)</f>
        <v>#DIV/0!</v>
      </c>
      <c r="P24" s="7" t="s">
        <v>45</v>
      </c>
      <c r="Q24" s="12"/>
      <c r="R24" s="12"/>
      <c r="S24" s="12"/>
      <c r="T24" s="12"/>
      <c r="U24" s="12"/>
      <c r="V24" s="12"/>
      <c r="W24" s="12"/>
      <c r="X24" s="12"/>
      <c r="Y24" s="12"/>
      <c r="Z24" s="12"/>
      <c r="AA24" s="12"/>
      <c r="AB24" s="126"/>
      <c r="AD24" t="str">
        <f>'Data Landing Pad'!V12</f>
        <v>12-5a</v>
      </c>
      <c r="AE24" s="203">
        <f>'Data Landing Pad'!W12</f>
        <v>0</v>
      </c>
      <c r="AF24" s="204">
        <f>SUM('Data Landing Pad'!X12:X12)</f>
        <v>0</v>
      </c>
      <c r="AG24" s="205">
        <f>'Data Landing Pad'!Y12</f>
        <v>0</v>
      </c>
    </row>
    <row r="25" spans="2:36" x14ac:dyDescent="0.25">
      <c r="B25" s="36" t="s">
        <v>25</v>
      </c>
      <c r="C25" s="68" t="e">
        <f>'Data Landing Pad'!O12/SUM('Data Landing Pad'!$O12:$R12)</f>
        <v>#DIV/0!</v>
      </c>
      <c r="D25" s="69" t="e">
        <f>'Data Landing Pad'!P12/SUM('Data Landing Pad'!$O12:$R12)</f>
        <v>#DIV/0!</v>
      </c>
      <c r="E25" s="69" t="e">
        <f>'Data Landing Pad'!Q12/SUM('Data Landing Pad'!$O12:$R12)</f>
        <v>#DIV/0!</v>
      </c>
      <c r="F25" s="70" t="e">
        <f>'Data Landing Pad'!R12/SUM('Data Landing Pad'!$O12:$R12)</f>
        <v>#DIV/0!</v>
      </c>
      <c r="Q25">
        <f>SUM(Q19:Q24)</f>
        <v>0</v>
      </c>
      <c r="R25">
        <f>SUM(R19:R24)</f>
        <v>0</v>
      </c>
      <c r="S25">
        <f>SUM(S19:S24)</f>
        <v>0</v>
      </c>
      <c r="T25">
        <f>SUM(T19:T24)</f>
        <v>0</v>
      </c>
      <c r="U25">
        <f>SUM(U19:U24)</f>
        <v>0</v>
      </c>
      <c r="V25">
        <f t="shared" ref="V25:Z25" si="2">SUM(V19:V24)</f>
        <v>0</v>
      </c>
      <c r="W25">
        <f t="shared" si="2"/>
        <v>0</v>
      </c>
      <c r="X25">
        <f t="shared" si="2"/>
        <v>0</v>
      </c>
      <c r="Y25">
        <f t="shared" si="2"/>
        <v>0</v>
      </c>
      <c r="Z25">
        <f t="shared" si="2"/>
        <v>0</v>
      </c>
      <c r="AA25">
        <f>SUM(AA19:AA24)</f>
        <v>0</v>
      </c>
      <c r="AB25">
        <f>SUM(AB19:AB24)</f>
        <v>0</v>
      </c>
    </row>
    <row r="26" spans="2:36" ht="15.75" thickBot="1" x14ac:dyDescent="0.3">
      <c r="B26" s="37" t="s">
        <v>26</v>
      </c>
      <c r="C26" s="68" t="e">
        <f>'Data Landing Pad'!O13/SUM('Data Landing Pad'!$O13:$R13)</f>
        <v>#DIV/0!</v>
      </c>
      <c r="D26" s="69" t="e">
        <f>'Data Landing Pad'!P13/SUM('Data Landing Pad'!$O13:$R13)</f>
        <v>#DIV/0!</v>
      </c>
      <c r="E26" s="69" t="e">
        <f>'Data Landing Pad'!Q13/SUM('Data Landing Pad'!$O13:$R13)</f>
        <v>#DIV/0!</v>
      </c>
      <c r="F26" s="70" t="e">
        <f>'Data Landing Pad'!R13/SUM('Data Landing Pad'!$O13:$R13)</f>
        <v>#DIV/0!</v>
      </c>
    </row>
    <row r="27" spans="2:36" x14ac:dyDescent="0.25">
      <c r="B27" s="63" t="s">
        <v>35</v>
      </c>
      <c r="C27" s="141">
        <f>SUM('Data Landing Pad'!O7:O13)</f>
        <v>0</v>
      </c>
      <c r="D27" s="142">
        <f>SUM('Data Landing Pad'!P7:P13)</f>
        <v>0</v>
      </c>
      <c r="E27" s="142">
        <f>SUM('Data Landing Pad'!Q7:Q13)</f>
        <v>0</v>
      </c>
      <c r="F27" s="143">
        <f>SUM('Data Landing Pad'!R7:R13)</f>
        <v>0</v>
      </c>
    </row>
    <row r="28" spans="2:36" x14ac:dyDescent="0.25">
      <c r="B28" s="63" t="s">
        <v>36</v>
      </c>
      <c r="C28" s="77" t="e">
        <f>C27/SUM($C27:$F27)</f>
        <v>#DIV/0!</v>
      </c>
      <c r="D28" s="78" t="e">
        <f t="shared" ref="D28:F28" si="3">D27/SUM($C27:$F27)</f>
        <v>#DIV/0!</v>
      </c>
      <c r="E28" s="78" t="e">
        <f t="shared" si="3"/>
        <v>#DIV/0!</v>
      </c>
      <c r="F28" s="79" t="e">
        <f t="shared" si="3"/>
        <v>#DIV/0!</v>
      </c>
    </row>
    <row r="29" spans="2:36" ht="15.75" thickBot="1" x14ac:dyDescent="0.3">
      <c r="B29" s="64" t="s">
        <v>37</v>
      </c>
      <c r="C29" s="50" t="e">
        <f>SUM(B33:M33)/SUM(B33:M36)</f>
        <v>#DIV/0!</v>
      </c>
      <c r="D29" s="51" t="e">
        <f>SUM(B34:M34)/SUM(B33:M36)</f>
        <v>#DIV/0!</v>
      </c>
      <c r="E29" s="51" t="e">
        <f>SUM(B35:M35)/SUM(B33:M36)</f>
        <v>#DIV/0!</v>
      </c>
      <c r="F29" s="52" t="e">
        <f>SUM(B36:M36)/SUM(B33:M36)</f>
        <v>#DIV/0!</v>
      </c>
    </row>
    <row r="31" spans="2:36" ht="19.5" customHeight="1" thickBot="1" x14ac:dyDescent="0.35">
      <c r="B31" s="242" t="s">
        <v>87</v>
      </c>
      <c r="C31" s="242"/>
      <c r="D31" s="242"/>
      <c r="E31" s="242"/>
      <c r="F31" s="242"/>
      <c r="G31" s="242"/>
      <c r="H31" s="242"/>
      <c r="I31" s="242"/>
      <c r="J31" s="242"/>
      <c r="K31" s="242"/>
      <c r="L31" s="242"/>
      <c r="M31" s="242"/>
      <c r="P31" s="242" t="s">
        <v>85</v>
      </c>
      <c r="Q31" s="242"/>
      <c r="R31" s="242"/>
      <c r="S31" s="242"/>
      <c r="T31" s="242"/>
      <c r="U31" s="242"/>
      <c r="V31" s="242"/>
      <c r="W31" s="242"/>
      <c r="X31" s="242"/>
      <c r="Y31" s="242"/>
      <c r="Z31" s="242"/>
      <c r="AA31" s="242"/>
      <c r="AB31" s="242"/>
      <c r="AC31" s="242"/>
      <c r="AD31" s="242"/>
      <c r="AE31" s="242"/>
      <c r="AF31" s="242"/>
      <c r="AG31" s="242"/>
      <c r="AH31" s="242"/>
      <c r="AI31" s="242"/>
      <c r="AJ31" s="242"/>
    </row>
    <row r="32" spans="2:36" ht="15.75" thickBot="1" x14ac:dyDescent="0.3">
      <c r="B32" s="100" t="s">
        <v>0</v>
      </c>
      <c r="C32" s="91" t="s">
        <v>1</v>
      </c>
      <c r="D32" s="91" t="s">
        <v>2</v>
      </c>
      <c r="E32" s="91" t="s">
        <v>3</v>
      </c>
      <c r="F32" s="91" t="s">
        <v>4</v>
      </c>
      <c r="G32" s="91" t="s">
        <v>5</v>
      </c>
      <c r="H32" s="91" t="s">
        <v>6</v>
      </c>
      <c r="I32" s="91" t="s">
        <v>7</v>
      </c>
      <c r="J32" s="91" t="s">
        <v>8</v>
      </c>
      <c r="K32" s="91" t="s">
        <v>9</v>
      </c>
      <c r="L32" s="91" t="s">
        <v>10</v>
      </c>
      <c r="M32" s="92" t="s">
        <v>11</v>
      </c>
      <c r="P32" s="173" t="s">
        <v>0</v>
      </c>
      <c r="Q32" s="240" t="s">
        <v>1</v>
      </c>
      <c r="R32" s="240"/>
      <c r="S32" s="240" t="s">
        <v>2</v>
      </c>
      <c r="T32" s="240"/>
      <c r="U32" s="240" t="s">
        <v>3</v>
      </c>
      <c r="V32" s="240"/>
      <c r="W32" s="240" t="s">
        <v>4</v>
      </c>
      <c r="X32" s="240"/>
      <c r="Y32" s="240" t="s">
        <v>5</v>
      </c>
      <c r="Z32" s="240"/>
      <c r="AA32" s="240" t="s">
        <v>6</v>
      </c>
      <c r="AB32" s="240"/>
      <c r="AC32" s="174" t="s">
        <v>7</v>
      </c>
      <c r="AD32" s="174" t="s">
        <v>8</v>
      </c>
      <c r="AE32" s="240" t="s">
        <v>9</v>
      </c>
      <c r="AF32" s="240"/>
      <c r="AG32" s="240" t="s">
        <v>10</v>
      </c>
      <c r="AH32" s="240"/>
      <c r="AI32" s="240" t="s">
        <v>11</v>
      </c>
      <c r="AJ32" s="246"/>
    </row>
    <row r="33" spans="2:36" x14ac:dyDescent="0.25">
      <c r="B33" s="83"/>
      <c r="C33" s="123"/>
      <c r="D33" s="123"/>
      <c r="E33" s="123"/>
      <c r="F33" s="123"/>
      <c r="G33" s="123"/>
      <c r="H33" s="123"/>
      <c r="I33" s="123"/>
      <c r="J33" s="123"/>
      <c r="K33" s="123"/>
      <c r="L33" s="123"/>
      <c r="M33" s="124"/>
      <c r="O33" s="175">
        <f>SUM(P33:AJ33)</f>
        <v>0</v>
      </c>
      <c r="P33" s="188"/>
      <c r="Q33" s="244"/>
      <c r="R33" s="244"/>
      <c r="S33" s="244"/>
      <c r="T33" s="244"/>
      <c r="U33" s="244"/>
      <c r="V33" s="244"/>
      <c r="W33" s="244"/>
      <c r="X33" s="244"/>
      <c r="Y33" s="244"/>
      <c r="Z33" s="244"/>
      <c r="AA33" s="244"/>
      <c r="AB33" s="244"/>
      <c r="AC33" s="193"/>
      <c r="AD33" s="193"/>
      <c r="AE33" s="244"/>
      <c r="AF33" s="244"/>
      <c r="AG33" s="244"/>
      <c r="AH33" s="244"/>
      <c r="AI33" s="244"/>
      <c r="AJ33" s="245"/>
    </row>
    <row r="34" spans="2:36" ht="15.75" thickBot="1" x14ac:dyDescent="0.3">
      <c r="B34" s="131"/>
      <c r="M34" s="125"/>
      <c r="O34">
        <f>SUM(P34:AJ34)</f>
        <v>0</v>
      </c>
      <c r="P34" s="189">
        <v>0</v>
      </c>
      <c r="Q34" s="247"/>
      <c r="R34" s="247"/>
      <c r="S34" s="247"/>
      <c r="T34" s="247"/>
      <c r="U34" s="247"/>
      <c r="V34" s="247"/>
      <c r="W34" s="247"/>
      <c r="X34" s="247"/>
      <c r="Y34" s="247"/>
      <c r="Z34" s="247"/>
      <c r="AA34" s="247"/>
      <c r="AB34" s="247"/>
      <c r="AC34" s="194"/>
      <c r="AD34" s="194"/>
      <c r="AE34" s="247"/>
      <c r="AF34" s="247"/>
      <c r="AG34" s="247"/>
      <c r="AH34" s="247"/>
      <c r="AI34" s="247"/>
      <c r="AJ34" s="248"/>
    </row>
    <row r="35" spans="2:36" x14ac:dyDescent="0.25">
      <c r="B35" s="131"/>
      <c r="M35" s="125"/>
      <c r="O35" t="s">
        <v>81</v>
      </c>
      <c r="P35" s="201">
        <f>'Start Here'!I17</f>
        <v>0</v>
      </c>
    </row>
    <row r="36" spans="2:36" ht="15.75" thickBot="1" x14ac:dyDescent="0.3">
      <c r="B36" s="132"/>
      <c r="C36" s="12"/>
      <c r="D36" s="12"/>
      <c r="E36" s="12"/>
      <c r="F36" s="12"/>
      <c r="G36" s="12"/>
      <c r="H36" s="12"/>
      <c r="I36" s="12"/>
      <c r="J36" s="12"/>
      <c r="K36" s="12"/>
      <c r="L36" s="12"/>
      <c r="M36" s="126"/>
      <c r="P36" s="202">
        <v>0</v>
      </c>
    </row>
    <row r="37" spans="2:36" ht="18.75" x14ac:dyDescent="0.3">
      <c r="N37" s="176"/>
    </row>
    <row r="38" spans="2:36" ht="19.5" thickBot="1" x14ac:dyDescent="0.35">
      <c r="B38" s="249" t="s">
        <v>34</v>
      </c>
      <c r="C38" s="249"/>
      <c r="D38" s="249"/>
      <c r="E38" s="249"/>
      <c r="F38" s="249"/>
      <c r="G38" s="249"/>
      <c r="H38" s="249"/>
      <c r="I38" s="249"/>
      <c r="J38" s="249"/>
      <c r="K38" s="249"/>
      <c r="L38" s="249"/>
      <c r="M38" s="249"/>
      <c r="N38" s="95"/>
    </row>
    <row r="39" spans="2:36" x14ac:dyDescent="0.25">
      <c r="B39" s="42" t="s">
        <v>0</v>
      </c>
      <c r="C39" s="43" t="s">
        <v>1</v>
      </c>
      <c r="D39" s="43" t="s">
        <v>2</v>
      </c>
      <c r="E39" s="43" t="s">
        <v>3</v>
      </c>
      <c r="F39" s="43" t="s">
        <v>4</v>
      </c>
      <c r="G39" s="43" t="s">
        <v>5</v>
      </c>
      <c r="H39" s="43" t="s">
        <v>6</v>
      </c>
      <c r="I39" s="43" t="s">
        <v>7</v>
      </c>
      <c r="J39" s="43" t="s">
        <v>8</v>
      </c>
      <c r="K39" s="43" t="s">
        <v>9</v>
      </c>
      <c r="L39" s="43" t="s">
        <v>10</v>
      </c>
      <c r="M39" s="44" t="s">
        <v>11</v>
      </c>
      <c r="N39" s="41"/>
    </row>
    <row r="40" spans="2:36" ht="15.75" thickBot="1" x14ac:dyDescent="0.3">
      <c r="B40" s="182" t="str">
        <f>IF(B33="","",B36/SUM(B33:B36))</f>
        <v/>
      </c>
      <c r="C40" s="177" t="str">
        <f t="shared" ref="C40:M40" si="4">IF(C33="","",C36/SUM(C33:C36))</f>
        <v/>
      </c>
      <c r="D40" s="178" t="str">
        <f t="shared" si="4"/>
        <v/>
      </c>
      <c r="E40" s="178" t="str">
        <f t="shared" si="4"/>
        <v/>
      </c>
      <c r="F40" s="178" t="str">
        <f t="shared" si="4"/>
        <v/>
      </c>
      <c r="G40" s="177" t="str">
        <f t="shared" si="4"/>
        <v/>
      </c>
      <c r="H40" s="177" t="str">
        <f t="shared" si="4"/>
        <v/>
      </c>
      <c r="I40" s="178" t="str">
        <f t="shared" si="4"/>
        <v/>
      </c>
      <c r="J40" s="177" t="str">
        <f t="shared" si="4"/>
        <v/>
      </c>
      <c r="K40" s="177" t="str">
        <f t="shared" si="4"/>
        <v/>
      </c>
      <c r="L40" s="177" t="str">
        <f t="shared" si="4"/>
        <v/>
      </c>
      <c r="M40" s="179" t="str">
        <f t="shared" si="4"/>
        <v/>
      </c>
    </row>
    <row r="45" spans="2:36" x14ac:dyDescent="0.25">
      <c r="N45" s="5"/>
      <c r="O45" s="5"/>
    </row>
    <row r="46" spans="2:36" x14ac:dyDescent="0.25">
      <c r="D46" s="5"/>
      <c r="E46" s="5"/>
      <c r="F46" s="5"/>
      <c r="G46" s="5"/>
      <c r="H46" s="5"/>
      <c r="I46" s="5"/>
      <c r="J46" s="5"/>
      <c r="K46" s="5"/>
      <c r="L46" s="5"/>
      <c r="M46" s="5"/>
      <c r="N46" s="107"/>
      <c r="O46" s="107"/>
    </row>
    <row r="47" spans="2:36" x14ac:dyDescent="0.25">
      <c r="D47" s="107"/>
      <c r="F47" s="107"/>
      <c r="J47" s="107"/>
      <c r="K47" s="107"/>
      <c r="L47" s="107"/>
      <c r="M47" s="107"/>
    </row>
  </sheetData>
  <mergeCells count="38">
    <mergeCell ref="U33:V33"/>
    <mergeCell ref="S33:T33"/>
    <mergeCell ref="Q33:R33"/>
    <mergeCell ref="U32:V32"/>
    <mergeCell ref="B38:M38"/>
    <mergeCell ref="W34:X34"/>
    <mergeCell ref="U34:V34"/>
    <mergeCell ref="S34:T34"/>
    <mergeCell ref="Q34:R34"/>
    <mergeCell ref="AI34:AJ34"/>
    <mergeCell ref="AG34:AH34"/>
    <mergeCell ref="AE34:AF34"/>
    <mergeCell ref="AA34:AB34"/>
    <mergeCell ref="Y34:Z34"/>
    <mergeCell ref="AI33:AJ33"/>
    <mergeCell ref="AG33:AH33"/>
    <mergeCell ref="AA32:AB32"/>
    <mergeCell ref="W33:X33"/>
    <mergeCell ref="Y32:Z32"/>
    <mergeCell ref="W32:X32"/>
    <mergeCell ref="AI32:AJ32"/>
    <mergeCell ref="AG32:AH32"/>
    <mergeCell ref="AE33:AF33"/>
    <mergeCell ref="AA33:AB33"/>
    <mergeCell ref="Y33:Z33"/>
    <mergeCell ref="AG16:AG18"/>
    <mergeCell ref="AF16:AF18"/>
    <mergeCell ref="AE32:AF32"/>
    <mergeCell ref="P31:AJ31"/>
    <mergeCell ref="P17:AB17"/>
    <mergeCell ref="S32:T32"/>
    <mergeCell ref="C2:F2"/>
    <mergeCell ref="C17:F17"/>
    <mergeCell ref="B18:B19"/>
    <mergeCell ref="C18:F18"/>
    <mergeCell ref="Q32:R32"/>
    <mergeCell ref="B13:M13"/>
    <mergeCell ref="B31:M31"/>
  </mergeCells>
  <phoneticPr fontId="2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 stopIfTrue="1" id="{0F7B0C49-F7FE-40EB-A75A-CBB65FE9D06F}">
            <xm:f>(LEFT('Start Here'!$F$6,3)=B$14)</xm:f>
            <x14:dxf>
              <fill>
                <patternFill>
                  <bgColor rgb="FF92D050"/>
                </patternFill>
              </fill>
            </x14:dxf>
          </x14:cfRule>
          <xm:sqref>B15:M15</xm:sqref>
        </x14:conditionalFormatting>
        <x14:conditionalFormatting xmlns:xm="http://schemas.microsoft.com/office/excel/2006/main">
          <x14:cfRule type="expression" priority="4" id="{CD040C2D-CBA5-499B-86E5-D1FBFCD48160}">
            <xm:f>(LEFT('Start Here'!$F$6,3)=B$32)</xm:f>
            <x14:dxf>
              <fill>
                <patternFill>
                  <bgColor rgb="FFFFC000"/>
                </patternFill>
              </fill>
            </x14:dxf>
          </x14:cfRule>
          <xm:sqref>B33:M36</xm:sqref>
        </x14:conditionalFormatting>
        <x14:conditionalFormatting xmlns:xm="http://schemas.microsoft.com/office/excel/2006/main">
          <x14:cfRule type="expression" priority="3" stopIfTrue="1" id="{3ED6B944-DC16-4EE0-91DD-F91EDCE2D95E}">
            <xm:f>(LEFT('Start Here'!$F$6,3)=P$32)</xm:f>
            <x14:dxf>
              <fill>
                <patternFill>
                  <bgColor rgb="FF00B0F0"/>
                </patternFill>
              </fill>
            </x14:dxf>
          </x14:cfRule>
          <xm:sqref>P33:AJ34</xm:sqref>
        </x14:conditionalFormatting>
        <x14:conditionalFormatting xmlns:xm="http://schemas.microsoft.com/office/excel/2006/main">
          <x14:cfRule type="expression" priority="2" id="{D50CC5EE-365A-DA4C-9C3B-E64B810C82FA}">
            <xm:f>(LEFT('Start Here'!$F$6,3)=Q$5)</xm:f>
            <x14:dxf>
              <fill>
                <patternFill>
                  <bgColor rgb="FFFF0000"/>
                </patternFill>
              </fill>
            </x14:dxf>
          </x14:cfRule>
          <xm:sqref>Q3:AB3</xm:sqref>
        </x14:conditionalFormatting>
        <x14:conditionalFormatting xmlns:xm="http://schemas.microsoft.com/office/excel/2006/main">
          <x14:cfRule type="expression" priority="7" stopIfTrue="1" id="{51973119-C639-48CB-83FB-814E91AC98EB}">
            <xm:f>(LEFT('Start Here'!$F$6,3)=Q$18)</xm:f>
            <x14:dxf>
              <fill>
                <patternFill>
                  <bgColor rgb="FFFF85FF"/>
                </patternFill>
              </fill>
            </x14:dxf>
          </x14:cfRule>
          <xm:sqref>Q19:AB24</xm:sqref>
        </x14:conditionalFormatting>
        <x14:conditionalFormatting xmlns:xm="http://schemas.microsoft.com/office/excel/2006/main">
          <x14:cfRule type="expression" priority="1" id="{8B22255B-C0BD-D544-8B13-FDF1FFD5EAF4}">
            <xm:f>(LEFT('Start Here'!$F$6,3)=AE$5)</xm:f>
            <x14:dxf>
              <fill>
                <patternFill>
                  <bgColor rgb="FF009193"/>
                </patternFill>
              </fill>
            </x14:dxf>
          </x14:cfRule>
          <xm:sqref>AE3:AP3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625E541C5BC7B4D9EF81E2BE5A23786" ma:contentTypeVersion="0" ma:contentTypeDescription="Create a new document." ma:contentTypeScope="" ma:versionID="fa642c575efe0032c0af0175a90d9318">
  <xsd:schema xmlns:xsd="http://www.w3.org/2001/XMLSchema" xmlns:xs="http://www.w3.org/2001/XMLSchema" xmlns:p="http://schemas.microsoft.com/office/2006/metadata/properties" targetNamespace="http://schemas.microsoft.com/office/2006/metadata/properties" ma:root="true" ma:fieldsID="d413257cd9829394d17656a545d5fa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C25A53-815E-4DD5-A2E0-6B9DD163070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746F78-6D07-4A70-8700-EF75AADC8B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BDD6C72-72A7-489E-B65E-AD484B723C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Dashboard</vt:lpstr>
      <vt:lpstr>Definitions</vt:lpstr>
      <vt:lpstr>Start Here</vt:lpstr>
      <vt:lpstr>Data Landing Pad</vt:lpstr>
      <vt:lpstr>Calculations</vt:lpstr>
      <vt:lpstr>Dashboard!Print_Area</vt:lpstr>
      <vt:lpstr>Definitions!Print_Area</vt:lpstr>
      <vt:lpstr>Definitions!Print_Titles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Holman, Tom</dc:creator>
  <cp:keywords/>
  <dc:description/>
  <cp:lastModifiedBy>Morgan, Clay</cp:lastModifiedBy>
  <cp:revision/>
  <cp:lastPrinted>2022-02-24T16:37:47Z</cp:lastPrinted>
  <dcterms:created xsi:type="dcterms:W3CDTF">2019-01-16T16:22:47Z</dcterms:created>
  <dcterms:modified xsi:type="dcterms:W3CDTF">2026-04-14T13:35:49Z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0x0101008625E541C5BC7B4D9EF81E2BE5A23786</vt:lpwstr>
  </property>
</Properties>
</file>